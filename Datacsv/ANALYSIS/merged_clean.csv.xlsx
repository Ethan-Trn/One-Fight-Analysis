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than\Downloads\One-Fight-Analysis\Datacsv\ANALYSIS\"/>
    </mc:Choice>
  </mc:AlternateContent>
  <xr:revisionPtr revIDLastSave="0" documentId="13_ncr:1_{D42A68BF-26FD-4CF2-A4F4-8A8EB8C16DE1}" xr6:coauthVersionLast="47" xr6:coauthVersionMax="47" xr10:uidLastSave="{00000000-0000-0000-0000-000000000000}"/>
  <bookViews>
    <workbookView xWindow="2510" yWindow="4630" windowWidth="18660" windowHeight="11630" xr2:uid="{E5605851-005C-4543-9D32-405E03F4660C}"/>
  </bookViews>
  <sheets>
    <sheet name="merged_clea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1481" i="1" l="1" a="1"/>
  <c r="AA1481" i="1" s="1"/>
  <c r="AA3" i="1" a="1"/>
  <c r="AA3" i="1" s="1"/>
  <c r="AA1454" i="1" a="1"/>
  <c r="AA1454" i="1" s="1"/>
  <c r="AA5" i="1" a="1"/>
  <c r="AA5" i="1" s="1"/>
  <c r="AA1304" i="1" a="1"/>
  <c r="AA1304" i="1" s="1"/>
  <c r="AC1304" i="1" s="1"/>
  <c r="AA1294" i="1" a="1"/>
  <c r="AA1294" i="1" s="1"/>
  <c r="AA1260" i="1" a="1"/>
  <c r="AA1260" i="1" s="1"/>
  <c r="AA1247" i="1" a="1"/>
  <c r="AA1247" i="1" s="1"/>
  <c r="AA10" i="1" a="1"/>
  <c r="AA10" i="1" s="1"/>
  <c r="AA1164" i="1" a="1"/>
  <c r="AA1164" i="1" s="1"/>
  <c r="AA12" i="1" a="1"/>
  <c r="AA12" i="1" s="1"/>
  <c r="AA992" i="1" a="1"/>
  <c r="AA992" i="1" s="1"/>
  <c r="AA951" i="1" a="1"/>
  <c r="AA951" i="1" s="1"/>
  <c r="AC951" i="1" s="1"/>
  <c r="AA950" i="1" a="1"/>
  <c r="AA950" i="1" s="1"/>
  <c r="AA943" i="1" a="1"/>
  <c r="AA943" i="1" s="1"/>
  <c r="AC943" i="1" s="1"/>
  <c r="AA939" i="1" a="1"/>
  <c r="AA939" i="1" s="1"/>
  <c r="AA925" i="1" a="1"/>
  <c r="AA925" i="1" s="1"/>
  <c r="AA713" i="1" a="1"/>
  <c r="AA713" i="1" s="1"/>
  <c r="AA20" i="1" a="1"/>
  <c r="AA20" i="1" s="1"/>
  <c r="AA636" i="1" a="1"/>
  <c r="AA636" i="1" s="1"/>
  <c r="AC636" i="1" s="1"/>
  <c r="AA599" i="1" a="1"/>
  <c r="AA599" i="1" s="1"/>
  <c r="AA570" i="1" a="1"/>
  <c r="AA570" i="1" s="1"/>
  <c r="AC570" i="1" s="1"/>
  <c r="AA524" i="1" a="1"/>
  <c r="AA524" i="1" s="1"/>
  <c r="AA25" i="1" a="1"/>
  <c r="AA25" i="1" s="1"/>
  <c r="AA435" i="1" a="1"/>
  <c r="AA435" i="1" s="1"/>
  <c r="AA404" i="1" a="1"/>
  <c r="AA404" i="1" s="1"/>
  <c r="AC404" i="1" s="1"/>
  <c r="AA373" i="1" a="1"/>
  <c r="AA373" i="1" s="1"/>
  <c r="AA371" i="1" a="1"/>
  <c r="AA371" i="1" s="1"/>
  <c r="AA30" i="1" a="1"/>
  <c r="AA30" i="1" s="1"/>
  <c r="AA31" i="1" a="1"/>
  <c r="AA31" i="1" s="1"/>
  <c r="AA186" i="1" a="1"/>
  <c r="AA186" i="1" s="1"/>
  <c r="AA183" i="1" a="1"/>
  <c r="AA183" i="1" s="1"/>
  <c r="AA158" i="1" a="1"/>
  <c r="AA158" i="1" s="1"/>
  <c r="AA151" i="1" a="1"/>
  <c r="AA151" i="1" s="1"/>
  <c r="AA140" i="1" a="1"/>
  <c r="AA140" i="1" s="1"/>
  <c r="AA88" i="1" a="1"/>
  <c r="AA88" i="1" s="1"/>
  <c r="AA38" i="1" a="1"/>
  <c r="AA38" i="1" s="1"/>
  <c r="AA2" i="1" a="1"/>
  <c r="AA2" i="1" s="1"/>
  <c r="AA1529" i="1" a="1"/>
  <c r="AA1529" i="1" s="1"/>
  <c r="AA1528" i="1" a="1"/>
  <c r="AA1528" i="1" s="1"/>
  <c r="AA1527" i="1" a="1"/>
  <c r="AA1527" i="1" s="1"/>
  <c r="AA1526" i="1" a="1"/>
  <c r="AA1526" i="1" s="1"/>
  <c r="AA1525" i="1" a="1"/>
  <c r="AA1525" i="1" s="1"/>
  <c r="AA1524" i="1" a="1"/>
  <c r="AA1524" i="1" s="1"/>
  <c r="AA1523" i="1" a="1"/>
  <c r="AA1523" i="1" s="1"/>
  <c r="AA1522" i="1" a="1"/>
  <c r="AA1522" i="1" s="1"/>
  <c r="AC1522" i="1" s="1"/>
  <c r="AA1521" i="1" a="1"/>
  <c r="AA1521" i="1" s="1"/>
  <c r="AA1520" i="1" a="1"/>
  <c r="AA1520" i="1" s="1"/>
  <c r="AA1196" i="1" a="1"/>
  <c r="AA1196" i="1" s="1"/>
  <c r="AA1519" i="1" a="1"/>
  <c r="AA1519" i="1" s="1"/>
  <c r="AA1518" i="1" a="1"/>
  <c r="AA1518" i="1" s="1"/>
  <c r="AA1517" i="1" a="1"/>
  <c r="AA1517" i="1" s="1"/>
  <c r="AA1516" i="1" a="1"/>
  <c r="AA1516" i="1" s="1"/>
  <c r="AA1515" i="1" a="1"/>
  <c r="AA1515" i="1" s="1"/>
  <c r="AA1514" i="1" a="1"/>
  <c r="AA1514" i="1" s="1"/>
  <c r="AA1513" i="1" a="1"/>
  <c r="AA1513" i="1" s="1"/>
  <c r="AA1512" i="1" a="1"/>
  <c r="AA1512" i="1" s="1"/>
  <c r="AA1511" i="1" a="1"/>
  <c r="AA1511" i="1" s="1"/>
  <c r="AA1510" i="1" a="1"/>
  <c r="AA1510" i="1" s="1"/>
  <c r="AA1509" i="1" a="1"/>
  <c r="AA1509" i="1" s="1"/>
  <c r="AA1508" i="1" a="1"/>
  <c r="AA1508" i="1" s="1"/>
  <c r="AA1507" i="1" a="1"/>
  <c r="AA1507" i="1" s="1"/>
  <c r="AA1506" i="1" a="1"/>
  <c r="AA1506" i="1" s="1"/>
  <c r="AA1505" i="1" a="1"/>
  <c r="AA1505" i="1" s="1"/>
  <c r="AA66" i="1" a="1"/>
  <c r="AA66" i="1" s="1"/>
  <c r="AA1504" i="1" a="1"/>
  <c r="AA1504" i="1" s="1"/>
  <c r="AC1504" i="1" s="1"/>
  <c r="AA1503" i="1" a="1"/>
  <c r="AA1503" i="1" s="1"/>
  <c r="AA1398" i="1" a="1"/>
  <c r="AA1398" i="1" s="1"/>
  <c r="AA1502" i="1" a="1"/>
  <c r="AA1502" i="1" s="1"/>
  <c r="AA1501" i="1" a="1"/>
  <c r="AA1501" i="1" s="1"/>
  <c r="AA1500" i="1" a="1"/>
  <c r="AA1500" i="1" s="1"/>
  <c r="AA1499" i="1" a="1"/>
  <c r="AA1499" i="1" s="1"/>
  <c r="AA1498" i="1" a="1"/>
  <c r="AA1498" i="1" s="1"/>
  <c r="AA1497" i="1" a="1"/>
  <c r="AA1497" i="1" s="1"/>
  <c r="AA1496" i="1" a="1"/>
  <c r="AA1496" i="1" s="1"/>
  <c r="AA1495" i="1" a="1"/>
  <c r="AA1495" i="1" s="1"/>
  <c r="AA1494" i="1" a="1"/>
  <c r="AA1494" i="1" s="1"/>
  <c r="AC1494" i="1" s="1"/>
  <c r="AA1493" i="1" a="1"/>
  <c r="AA1493" i="1" s="1"/>
  <c r="AA1492" i="1" a="1"/>
  <c r="AA1492" i="1" s="1"/>
  <c r="AA1491" i="1" a="1"/>
  <c r="AA1491" i="1" s="1"/>
  <c r="AA1490" i="1" a="1"/>
  <c r="AA1490" i="1" s="1"/>
  <c r="AA1489" i="1" a="1"/>
  <c r="AA1489" i="1" s="1"/>
  <c r="AA1488" i="1" a="1"/>
  <c r="AA1488" i="1" s="1"/>
  <c r="AA1487" i="1" a="1"/>
  <c r="AA1487" i="1" s="1"/>
  <c r="AA1486" i="1" a="1"/>
  <c r="AA1486" i="1" s="1"/>
  <c r="AA1485" i="1" a="1"/>
  <c r="AA1485" i="1" s="1"/>
  <c r="AA1484" i="1" a="1"/>
  <c r="AA1484" i="1" s="1"/>
  <c r="AA1483" i="1" a="1"/>
  <c r="AA1483" i="1" s="1"/>
  <c r="AA1482" i="1" a="1"/>
  <c r="AA1482" i="1" s="1"/>
  <c r="AA1480" i="1" a="1"/>
  <c r="AA1480" i="1" s="1"/>
  <c r="AA1479" i="1" a="1"/>
  <c r="AA1479" i="1" s="1"/>
  <c r="AA1478" i="1" a="1"/>
  <c r="AA1478" i="1" s="1"/>
  <c r="AA1477" i="1" a="1"/>
  <c r="AA1477" i="1" s="1"/>
  <c r="AA1469" i="1" a="1"/>
  <c r="AA1469" i="1" s="1"/>
  <c r="AA1476" i="1" a="1"/>
  <c r="AA1476" i="1" s="1"/>
  <c r="AA1475" i="1" a="1"/>
  <c r="AA1475" i="1" s="1"/>
  <c r="AA1474" i="1" a="1"/>
  <c r="AA1474" i="1" s="1"/>
  <c r="AA1473" i="1" a="1"/>
  <c r="AA1473" i="1" s="1"/>
  <c r="AA1472" i="1" a="1"/>
  <c r="AA1472" i="1" s="1"/>
  <c r="AA1471" i="1" a="1"/>
  <c r="AA1471" i="1" s="1"/>
  <c r="AA1470" i="1" a="1"/>
  <c r="AA1470" i="1" s="1"/>
  <c r="AA1465" i="1" a="1"/>
  <c r="AA1465" i="1" s="1"/>
  <c r="AA1468" i="1" a="1"/>
  <c r="AA1468" i="1" s="1"/>
  <c r="AA105" i="1" a="1"/>
  <c r="AA105" i="1" s="1"/>
  <c r="AA106" i="1" a="1"/>
  <c r="AA106" i="1" s="1"/>
  <c r="AA107" i="1" a="1"/>
  <c r="AA107" i="1" s="1"/>
  <c r="AA1464" i="1" a="1"/>
  <c r="AA1464" i="1" s="1"/>
  <c r="AA109" i="1" a="1"/>
  <c r="AA109" i="1" s="1"/>
  <c r="AA1463" i="1" a="1"/>
  <c r="AA1463" i="1" s="1"/>
  <c r="AA1462" i="1" a="1"/>
  <c r="AA1462" i="1" s="1"/>
  <c r="AA1461" i="1" a="1"/>
  <c r="AA1461" i="1" s="1"/>
  <c r="AA1460" i="1" a="1"/>
  <c r="AA1460" i="1" s="1"/>
  <c r="AA1459" i="1" a="1"/>
  <c r="AA1459" i="1" s="1"/>
  <c r="AC1459" i="1" s="1"/>
  <c r="AA1458" i="1" a="1"/>
  <c r="AA1458" i="1" s="1"/>
  <c r="AA1457" i="1" a="1"/>
  <c r="AA1457" i="1" s="1"/>
  <c r="AA117" i="1" a="1"/>
  <c r="AA117" i="1" s="1"/>
  <c r="AA1456" i="1" a="1"/>
  <c r="AA1456" i="1" s="1"/>
  <c r="AA1455" i="1" a="1"/>
  <c r="AA1455" i="1" s="1"/>
  <c r="AA1453" i="1" a="1"/>
  <c r="AA1453" i="1" s="1"/>
  <c r="AA1452" i="1" a="1"/>
  <c r="AA1452" i="1" s="1"/>
  <c r="AA1451" i="1" a="1"/>
  <c r="AA1451" i="1" s="1"/>
  <c r="AA1450" i="1" a="1"/>
  <c r="AA1450" i="1" s="1"/>
  <c r="AA1449" i="1" a="1"/>
  <c r="AA1449" i="1" s="1"/>
  <c r="AA1448" i="1" a="1"/>
  <c r="AA1448" i="1" s="1"/>
  <c r="AA1447" i="1" a="1"/>
  <c r="AA1447" i="1" s="1"/>
  <c r="AC1447" i="1" s="1"/>
  <c r="AA127" i="1" a="1"/>
  <c r="AA127" i="1" s="1"/>
  <c r="AA1446" i="1" a="1"/>
  <c r="AA1446" i="1" s="1"/>
  <c r="AA129" i="1" a="1"/>
  <c r="AA129" i="1" s="1"/>
  <c r="AA1445" i="1" a="1"/>
  <c r="AA1445" i="1" s="1"/>
  <c r="AA1444" i="1" a="1"/>
  <c r="AA1444" i="1" s="1"/>
  <c r="AA1443" i="1" a="1"/>
  <c r="AA1443" i="1" s="1"/>
  <c r="AC1443" i="1" s="1"/>
  <c r="AA1442" i="1" a="1"/>
  <c r="AA1442" i="1" s="1"/>
  <c r="AA1441" i="1" a="1"/>
  <c r="AA1441" i="1" s="1"/>
  <c r="AA1440" i="1" a="1"/>
  <c r="AA1440" i="1" s="1"/>
  <c r="AA1439" i="1" a="1"/>
  <c r="AA1439" i="1" s="1"/>
  <c r="AA1438" i="1" a="1"/>
  <c r="AA1438" i="1" s="1"/>
  <c r="AA1437" i="1" a="1"/>
  <c r="AA1437" i="1" s="1"/>
  <c r="AA1436" i="1" a="1"/>
  <c r="AA1436" i="1" s="1"/>
  <c r="AA1435" i="1" a="1"/>
  <c r="AA1435" i="1" s="1"/>
  <c r="AA1434" i="1" a="1"/>
  <c r="AA1434" i="1" s="1"/>
  <c r="AA1433" i="1" a="1"/>
  <c r="AA1433" i="1" s="1"/>
  <c r="AA1432" i="1" a="1"/>
  <c r="AA1432" i="1" s="1"/>
  <c r="AA1431" i="1" a="1"/>
  <c r="AA1431" i="1" s="1"/>
  <c r="AA1430" i="1" a="1"/>
  <c r="AA1430" i="1" s="1"/>
  <c r="AA1429" i="1" a="1"/>
  <c r="AA1429" i="1" s="1"/>
  <c r="AA1428" i="1" a="1"/>
  <c r="AA1428" i="1" s="1"/>
  <c r="AA1427" i="1" a="1"/>
  <c r="AA1427" i="1" s="1"/>
  <c r="AA1426" i="1" a="1"/>
  <c r="AA1426" i="1" s="1"/>
  <c r="AC1426" i="1" s="1"/>
  <c r="AA1425" i="1" a="1"/>
  <c r="AA1425" i="1" s="1"/>
  <c r="AC1425" i="1" s="1"/>
  <c r="AA1424" i="1" a="1"/>
  <c r="AA1424" i="1" s="1"/>
  <c r="AA1423" i="1" a="1"/>
  <c r="AA1423" i="1" s="1"/>
  <c r="AA1422" i="1" a="1"/>
  <c r="AA1422" i="1" s="1"/>
  <c r="AA1421" i="1" a="1"/>
  <c r="AA1421" i="1" s="1"/>
  <c r="AA1420" i="1" a="1"/>
  <c r="AA1420" i="1" s="1"/>
  <c r="AA1419" i="1" a="1"/>
  <c r="AA1419" i="1" s="1"/>
  <c r="AA1418" i="1" a="1"/>
  <c r="AA1418" i="1" s="1"/>
  <c r="AA1417" i="1" a="1"/>
  <c r="AA1417" i="1" s="1"/>
  <c r="AA1416" i="1" a="1"/>
  <c r="AA1416" i="1" s="1"/>
  <c r="AA1415" i="1" a="1"/>
  <c r="AA1415" i="1" s="1"/>
  <c r="AA1414" i="1" a="1"/>
  <c r="AA1414" i="1" s="1"/>
  <c r="AA1413" i="1" a="1"/>
  <c r="AA1413" i="1" s="1"/>
  <c r="AA163" i="1" a="1"/>
  <c r="AA163" i="1" s="1"/>
  <c r="AA1412" i="1" a="1"/>
  <c r="AA1412" i="1" s="1"/>
  <c r="AA1411" i="1" a="1"/>
  <c r="AA1411" i="1" s="1"/>
  <c r="AA1410" i="1" a="1"/>
  <c r="AA1410" i="1" s="1"/>
  <c r="AA1409" i="1" a="1"/>
  <c r="AA1409" i="1" s="1"/>
  <c r="AA1408" i="1" a="1"/>
  <c r="AA1408" i="1" s="1"/>
  <c r="AA1407" i="1" a="1"/>
  <c r="AA1407" i="1" s="1"/>
  <c r="AA1406" i="1" a="1"/>
  <c r="AA1406" i="1" s="1"/>
  <c r="AA1405" i="1" a="1"/>
  <c r="AA1405" i="1" s="1"/>
  <c r="AA1404" i="1" a="1"/>
  <c r="AA1404" i="1" s="1"/>
  <c r="AA1403" i="1" a="1"/>
  <c r="AA1403" i="1" s="1"/>
  <c r="AA1402" i="1" a="1"/>
  <c r="AA1402" i="1" s="1"/>
  <c r="AC1402" i="1" s="1"/>
  <c r="AA1401" i="1" a="1"/>
  <c r="AA1401" i="1" s="1"/>
  <c r="AA176" i="1" a="1"/>
  <c r="AA176" i="1" s="1"/>
  <c r="AA1400" i="1" a="1"/>
  <c r="AA1400" i="1" s="1"/>
  <c r="AA1399" i="1" a="1"/>
  <c r="AA1399" i="1" s="1"/>
  <c r="AA1397" i="1" a="1"/>
  <c r="AA1397" i="1" s="1"/>
  <c r="AA1396" i="1" a="1"/>
  <c r="AA1396" i="1" s="1"/>
  <c r="AA1395" i="1" a="1"/>
  <c r="AA1395" i="1" s="1"/>
  <c r="AA1394" i="1" a="1"/>
  <c r="AA1394" i="1" s="1"/>
  <c r="AA1392" i="1" a="1"/>
  <c r="AA1392" i="1" s="1"/>
  <c r="AA1390" i="1" a="1"/>
  <c r="AA1390" i="1" s="1"/>
  <c r="AC1390" i="1" s="1"/>
  <c r="AA1389" i="1" a="1"/>
  <c r="AA1389" i="1" s="1"/>
  <c r="AA1388" i="1" a="1"/>
  <c r="AA1388" i="1" s="1"/>
  <c r="AA1387" i="1" a="1"/>
  <c r="AA1387" i="1" s="1"/>
  <c r="AA1386" i="1" a="1"/>
  <c r="AA1386" i="1" s="1"/>
  <c r="AA1385" i="1" a="1"/>
  <c r="AA1385" i="1" s="1"/>
  <c r="AA1384" i="1" a="1"/>
  <c r="AA1384" i="1" s="1"/>
  <c r="AA1383" i="1" a="1"/>
  <c r="AA1383" i="1" s="1"/>
  <c r="AA1382" i="1" a="1"/>
  <c r="AA1382" i="1" s="1"/>
  <c r="AA1381" i="1" a="1"/>
  <c r="AA1381" i="1" s="1"/>
  <c r="AA1380" i="1" a="1"/>
  <c r="AA1380" i="1" s="1"/>
  <c r="AA1379" i="1" a="1"/>
  <c r="AA1379" i="1" s="1"/>
  <c r="AA1378" i="1" a="1"/>
  <c r="AA1378" i="1" s="1"/>
  <c r="AA1377" i="1" a="1"/>
  <c r="AA1377" i="1" s="1"/>
  <c r="AA1376" i="1" a="1"/>
  <c r="AA1376" i="1" s="1"/>
  <c r="AA1375" i="1" a="1"/>
  <c r="AA1375" i="1" s="1"/>
  <c r="AA1374" i="1" a="1"/>
  <c r="AA1374" i="1" s="1"/>
  <c r="AA1373" i="1" a="1"/>
  <c r="AA1373" i="1" s="1"/>
  <c r="AA1372" i="1" a="1"/>
  <c r="AA1372" i="1" s="1"/>
  <c r="AA1371" i="1" a="1"/>
  <c r="AA1371" i="1" s="1"/>
  <c r="AA1370" i="1" a="1"/>
  <c r="AA1370" i="1" s="1"/>
  <c r="AA205" i="1" a="1"/>
  <c r="AA205" i="1" s="1"/>
  <c r="AA1369" i="1" a="1"/>
  <c r="AA1369" i="1" s="1"/>
  <c r="AA1368" i="1" a="1"/>
  <c r="AA1368" i="1" s="1"/>
  <c r="AA1367" i="1" a="1"/>
  <c r="AA1367" i="1" s="1"/>
  <c r="AA1366" i="1" a="1"/>
  <c r="AA1366" i="1" s="1"/>
  <c r="AA1365" i="1" a="1"/>
  <c r="AA1365" i="1" s="1"/>
  <c r="AA1364" i="1" a="1"/>
  <c r="AA1364" i="1" s="1"/>
  <c r="AA1363" i="1" a="1"/>
  <c r="AA1363" i="1" s="1"/>
  <c r="AA1362" i="1" a="1"/>
  <c r="AA1362" i="1" s="1"/>
  <c r="AA1361" i="1" a="1"/>
  <c r="AA1361" i="1" s="1"/>
  <c r="AA1360" i="1" a="1"/>
  <c r="AA1360" i="1" s="1"/>
  <c r="AA1359" i="1" a="1"/>
  <c r="AA1359" i="1" s="1"/>
  <c r="AA1358" i="1" a="1"/>
  <c r="AA1358" i="1" s="1"/>
  <c r="AA1357" i="1" a="1"/>
  <c r="AA1357" i="1" s="1"/>
  <c r="AA1356" i="1" a="1"/>
  <c r="AA1356" i="1" s="1"/>
  <c r="AA1355" i="1" a="1"/>
  <c r="AA1355" i="1" s="1"/>
  <c r="AA1354" i="1" a="1"/>
  <c r="AA1354" i="1" s="1"/>
  <c r="AA1353" i="1" a="1"/>
  <c r="AA1353" i="1" s="1"/>
  <c r="AA1352" i="1" a="1"/>
  <c r="AA1352" i="1" s="1"/>
  <c r="AA1351" i="1" a="1"/>
  <c r="AA1351" i="1" s="1"/>
  <c r="AA1350" i="1" a="1"/>
  <c r="AA1350" i="1" s="1"/>
  <c r="AA1349" i="1" a="1"/>
  <c r="AA1349" i="1" s="1"/>
  <c r="AA1348" i="1" a="1"/>
  <c r="AA1348" i="1" s="1"/>
  <c r="AA1347" i="1" a="1"/>
  <c r="AA1347" i="1" s="1"/>
  <c r="AA229" i="1" a="1"/>
  <c r="AA229" i="1" s="1"/>
  <c r="AA1346" i="1" a="1"/>
  <c r="AA1346" i="1" s="1"/>
  <c r="AA725" i="1" a="1"/>
  <c r="AA725" i="1" s="1"/>
  <c r="AA1345" i="1" a="1"/>
  <c r="AA1345" i="1" s="1"/>
  <c r="AA1344" i="1" a="1"/>
  <c r="AA1344" i="1" s="1"/>
  <c r="AA1343" i="1" a="1"/>
  <c r="AA1343" i="1" s="1"/>
  <c r="AA1342" i="1" a="1"/>
  <c r="AA1342" i="1" s="1"/>
  <c r="AA1341" i="1" a="1"/>
  <c r="AA1341" i="1" s="1"/>
  <c r="AA1340" i="1" a="1"/>
  <c r="AA1340" i="1" s="1"/>
  <c r="AA1339" i="1" a="1"/>
  <c r="AA1339" i="1" s="1"/>
  <c r="AA1338" i="1" a="1"/>
  <c r="AA1338" i="1" s="1"/>
  <c r="AA1337" i="1" a="1"/>
  <c r="AA1337" i="1" s="1"/>
  <c r="AA1336" i="1" a="1"/>
  <c r="AA1336" i="1" s="1"/>
  <c r="AA1335" i="1" a="1"/>
  <c r="AA1335" i="1" s="1"/>
  <c r="AA1334" i="1" a="1"/>
  <c r="AA1334" i="1" s="1"/>
  <c r="AA1333" i="1" a="1"/>
  <c r="AA1333" i="1" s="1"/>
  <c r="AA1332" i="1" a="1"/>
  <c r="AA1332" i="1" s="1"/>
  <c r="AA1331" i="1" a="1"/>
  <c r="AA1331" i="1" s="1"/>
  <c r="AA1330" i="1" a="1"/>
  <c r="AA1330" i="1" s="1"/>
  <c r="AA1329" i="1" a="1"/>
  <c r="AA1329" i="1" s="1"/>
  <c r="AA1328" i="1" a="1"/>
  <c r="AA1328" i="1" s="1"/>
  <c r="AA1327" i="1" a="1"/>
  <c r="AA1327" i="1" s="1"/>
  <c r="AA1326" i="1" a="1"/>
  <c r="AA1326" i="1" s="1"/>
  <c r="AA1325" i="1" a="1"/>
  <c r="AA1325" i="1" s="1"/>
  <c r="AA1324" i="1" a="1"/>
  <c r="AA1324" i="1" s="1"/>
  <c r="AA1323" i="1" a="1"/>
  <c r="AA1323" i="1" s="1"/>
  <c r="AA1322" i="1" a="1"/>
  <c r="AA1322" i="1" s="1"/>
  <c r="AA1321" i="1" a="1"/>
  <c r="AA1321" i="1" s="1"/>
  <c r="AA1320" i="1" a="1"/>
  <c r="AA1320" i="1" s="1"/>
  <c r="AA1319" i="1" a="1"/>
  <c r="AA1319" i="1" s="1"/>
  <c r="AA1318" i="1" a="1"/>
  <c r="AA1318" i="1" s="1"/>
  <c r="AA1317" i="1" a="1"/>
  <c r="AA1317" i="1" s="1"/>
  <c r="AA1316" i="1" a="1"/>
  <c r="AA1316" i="1" s="1"/>
  <c r="AA1314" i="1" a="1"/>
  <c r="AA1314" i="1" s="1"/>
  <c r="AA1315" i="1" a="1"/>
  <c r="AA1315" i="1" s="1"/>
  <c r="AA1313" i="1" a="1"/>
  <c r="AA1313" i="1" s="1"/>
  <c r="AA1312" i="1" a="1"/>
  <c r="AA1312" i="1" s="1"/>
  <c r="AA1311" i="1" a="1"/>
  <c r="AA1311" i="1" s="1"/>
  <c r="AA1310" i="1" a="1"/>
  <c r="AA1310" i="1" s="1"/>
  <c r="AA1309" i="1" a="1"/>
  <c r="AA1309" i="1" s="1"/>
  <c r="AA1308" i="1" a="1"/>
  <c r="AA1308" i="1" s="1"/>
  <c r="AA1307" i="1" a="1"/>
  <c r="AA1307" i="1" s="1"/>
  <c r="AA1306" i="1" a="1"/>
  <c r="AA1306" i="1" s="1"/>
  <c r="AA1305" i="1" a="1"/>
  <c r="AA1305" i="1" s="1"/>
  <c r="AA1303" i="1" a="1"/>
  <c r="AA1303" i="1" s="1"/>
  <c r="AA1302" i="1" a="1"/>
  <c r="AA1302" i="1" s="1"/>
  <c r="AA1301" i="1" a="1"/>
  <c r="AA1301" i="1" s="1"/>
  <c r="AA1299" i="1" a="1"/>
  <c r="AA1299" i="1" s="1"/>
  <c r="AA1298" i="1" a="1"/>
  <c r="AA1298" i="1" s="1"/>
  <c r="AA1297" i="1" a="1"/>
  <c r="AA1297" i="1" s="1"/>
  <c r="AA1296" i="1" a="1"/>
  <c r="AA1296" i="1" s="1"/>
  <c r="AA1295" i="1" a="1"/>
  <c r="AA1295" i="1" s="1"/>
  <c r="AA1293" i="1" a="1"/>
  <c r="AA1293" i="1" s="1"/>
  <c r="AA1292" i="1" a="1"/>
  <c r="AA1292" i="1" s="1"/>
  <c r="AA1291" i="1" a="1"/>
  <c r="AA1291" i="1" s="1"/>
  <c r="AA1290" i="1" a="1"/>
  <c r="AA1290" i="1" s="1"/>
  <c r="AA1289" i="1" a="1"/>
  <c r="AA1289" i="1" s="1"/>
  <c r="AA1288" i="1" a="1"/>
  <c r="AA1288" i="1" s="1"/>
  <c r="AA1287" i="1" a="1"/>
  <c r="AA1287" i="1" s="1"/>
  <c r="AA288" i="1" a="1"/>
  <c r="AA288" i="1" s="1"/>
  <c r="AA1286" i="1" a="1"/>
  <c r="AA1286" i="1" s="1"/>
  <c r="AA1285" i="1" a="1"/>
  <c r="AA1285" i="1" s="1"/>
  <c r="AA1284" i="1" a="1"/>
  <c r="AA1284" i="1" s="1"/>
  <c r="AA1283" i="1" a="1"/>
  <c r="AA1283" i="1" s="1"/>
  <c r="AA1282" i="1" a="1"/>
  <c r="AA1282" i="1" s="1"/>
  <c r="AC1282" i="1" s="1"/>
  <c r="AA1281" i="1" a="1"/>
  <c r="AA1281" i="1" s="1"/>
  <c r="AA1279" i="1" a="1"/>
  <c r="AA1279" i="1" s="1"/>
  <c r="AA1278" i="1" a="1"/>
  <c r="AA1278" i="1" s="1"/>
  <c r="AA1277" i="1" a="1"/>
  <c r="AA1277" i="1" s="1"/>
  <c r="AA1276" i="1" a="1"/>
  <c r="AA1276" i="1" s="1"/>
  <c r="AA1275" i="1" a="1"/>
  <c r="AA1275" i="1" s="1"/>
  <c r="AC1275" i="1" s="1"/>
  <c r="AA300" i="1" a="1"/>
  <c r="AA300" i="1" s="1"/>
  <c r="AA1274" i="1" a="1"/>
  <c r="AA1274" i="1" s="1"/>
  <c r="AA1272" i="1" a="1"/>
  <c r="AA1272" i="1" s="1"/>
  <c r="AA1271" i="1" a="1"/>
  <c r="AA1271" i="1" s="1"/>
  <c r="AA1270" i="1" a="1"/>
  <c r="AA1270" i="1" s="1"/>
  <c r="AA1267" i="1" a="1"/>
  <c r="AA1267" i="1" s="1"/>
  <c r="AA1266" i="1" a="1"/>
  <c r="AA1266" i="1" s="1"/>
  <c r="AA1265" i="1" a="1"/>
  <c r="AA1265" i="1" s="1"/>
  <c r="AA1264" i="1" a="1"/>
  <c r="AA1264" i="1" s="1"/>
  <c r="AC1264" i="1" s="1"/>
  <c r="AA1263" i="1" a="1"/>
  <c r="AA1263" i="1" s="1"/>
  <c r="AA1262" i="1" a="1"/>
  <c r="AA1262" i="1" s="1"/>
  <c r="AA1261" i="1" a="1"/>
  <c r="AA1261" i="1" s="1"/>
  <c r="AA1259" i="1" a="1"/>
  <c r="AA1259" i="1" s="1"/>
  <c r="AA1258" i="1" a="1"/>
  <c r="AA1258" i="1" s="1"/>
  <c r="AA1257" i="1" a="1"/>
  <c r="AA1257" i="1" s="1"/>
  <c r="AA1256" i="1" a="1"/>
  <c r="AA1256" i="1" s="1"/>
  <c r="AA1255" i="1" a="1"/>
  <c r="AA1255" i="1" s="1"/>
  <c r="AA1254" i="1" a="1"/>
  <c r="AA1254" i="1" s="1"/>
  <c r="AA1253" i="1" a="1"/>
  <c r="AA1253" i="1" s="1"/>
  <c r="AA1252" i="1" a="1"/>
  <c r="AA1252" i="1" s="1"/>
  <c r="AA1251" i="1" a="1"/>
  <c r="AA1251" i="1" s="1"/>
  <c r="AA1273" i="1" a="1"/>
  <c r="AA1273" i="1" s="1"/>
  <c r="AA322" i="1" a="1"/>
  <c r="AA322" i="1" s="1"/>
  <c r="AA1250" i="1" a="1"/>
  <c r="AA1250" i="1" s="1"/>
  <c r="AA1249" i="1" a="1"/>
  <c r="AA1249" i="1" s="1"/>
  <c r="AA1248" i="1" a="1"/>
  <c r="AA1248" i="1" s="1"/>
  <c r="AA1246" i="1" a="1"/>
  <c r="AA1246" i="1" s="1"/>
  <c r="AA1245" i="1" a="1"/>
  <c r="AA1245" i="1" s="1"/>
  <c r="AA1244" i="1" a="1"/>
  <c r="AA1244" i="1" s="1"/>
  <c r="AA1243" i="1" a="1"/>
  <c r="AA1243" i="1" s="1"/>
  <c r="AC1243" i="1" s="1"/>
  <c r="AA1242" i="1" a="1"/>
  <c r="AA1242" i="1" s="1"/>
  <c r="AC1242" i="1" s="1"/>
  <c r="AA1241" i="1" a="1"/>
  <c r="AA1241" i="1" s="1"/>
  <c r="AA1240" i="1" a="1"/>
  <c r="AA1240" i="1" s="1"/>
  <c r="AA1239" i="1" a="1"/>
  <c r="AA1239" i="1" s="1"/>
  <c r="AA1238" i="1" a="1"/>
  <c r="AA1238" i="1" s="1"/>
  <c r="AA1237" i="1" a="1"/>
  <c r="AA1237" i="1" s="1"/>
  <c r="AA1236" i="1" a="1"/>
  <c r="AA1236" i="1" s="1"/>
  <c r="AA1235" i="1" a="1"/>
  <c r="AA1235" i="1" s="1"/>
  <c r="AA1234" i="1" a="1"/>
  <c r="AA1234" i="1" s="1"/>
  <c r="AA1233" i="1" a="1"/>
  <c r="AA1233" i="1" s="1"/>
  <c r="AA1232" i="1" a="1"/>
  <c r="AA1232" i="1" s="1"/>
  <c r="AA1230" i="1" a="1"/>
  <c r="AA1230" i="1" s="1"/>
  <c r="AA342" i="1" a="1"/>
  <c r="AA342" i="1" s="1"/>
  <c r="AA1229" i="1" a="1"/>
  <c r="AA1229" i="1" s="1"/>
  <c r="AC1229" i="1" s="1"/>
  <c r="AA1228" i="1" a="1"/>
  <c r="AA1228" i="1" s="1"/>
  <c r="AA1227" i="1" a="1"/>
  <c r="AA1227" i="1" s="1"/>
  <c r="AA1226" i="1" a="1"/>
  <c r="AA1226" i="1" s="1"/>
  <c r="AA1225" i="1" a="1"/>
  <c r="AA1225" i="1" s="1"/>
  <c r="AA1224" i="1" a="1"/>
  <c r="AA1224" i="1" s="1"/>
  <c r="AA1223" i="1" a="1"/>
  <c r="AA1223" i="1" s="1"/>
  <c r="AA1222" i="1" a="1"/>
  <c r="AA1222" i="1" s="1"/>
  <c r="AA1221" i="1" a="1"/>
  <c r="AA1221" i="1" s="1"/>
  <c r="AA1220" i="1" a="1"/>
  <c r="AA1220" i="1" s="1"/>
  <c r="AA1219" i="1" a="1"/>
  <c r="AA1219" i="1" s="1"/>
  <c r="AA1218" i="1" a="1"/>
  <c r="AA1218" i="1" s="1"/>
  <c r="AA1217" i="1" a="1"/>
  <c r="AA1217" i="1" s="1"/>
  <c r="AA1216" i="1" a="1"/>
  <c r="AA1216" i="1" s="1"/>
  <c r="AA1215" i="1" a="1"/>
  <c r="AA1215" i="1" s="1"/>
  <c r="AA1214" i="1" a="1"/>
  <c r="AA1214" i="1" s="1"/>
  <c r="AA1213" i="1" a="1"/>
  <c r="AA1213" i="1" s="1"/>
  <c r="AA1212" i="1" a="1"/>
  <c r="AA1212" i="1" s="1"/>
  <c r="AA1210" i="1" a="1"/>
  <c r="AA1210" i="1" s="1"/>
  <c r="AA1209" i="1" a="1"/>
  <c r="AA1209" i="1" s="1"/>
  <c r="AA1208" i="1" a="1"/>
  <c r="AA1208" i="1" s="1"/>
  <c r="AA1207" i="1" a="1"/>
  <c r="AA1207" i="1" s="1"/>
  <c r="AA1206" i="1" a="1"/>
  <c r="AA1206" i="1" s="1"/>
  <c r="AC1206" i="1" s="1"/>
  <c r="AA1205" i="1" a="1"/>
  <c r="AA1205" i="1" s="1"/>
  <c r="AA1204" i="1" a="1"/>
  <c r="AA1204" i="1" s="1"/>
  <c r="AA1203" i="1" a="1"/>
  <c r="AA1203" i="1" s="1"/>
  <c r="AA1202" i="1" a="1"/>
  <c r="AA1202" i="1" s="1"/>
  <c r="AA1201" i="1" a="1"/>
  <c r="AA1201" i="1" s="1"/>
  <c r="AA1200" i="1" a="1"/>
  <c r="AA1200" i="1" s="1"/>
  <c r="AA1199" i="1" a="1"/>
  <c r="AA1199" i="1" s="1"/>
  <c r="AA1198" i="1" a="1"/>
  <c r="AA1198" i="1" s="1"/>
  <c r="AA1197" i="1" a="1"/>
  <c r="AA1197" i="1" s="1"/>
  <c r="AA375" i="1" a="1"/>
  <c r="AA375" i="1" s="1"/>
  <c r="AA1195" i="1" a="1"/>
  <c r="AA1195" i="1" s="1"/>
  <c r="AA1194" i="1" a="1"/>
  <c r="AA1194" i="1" s="1"/>
  <c r="AC1194" i="1" s="1"/>
  <c r="AA1193" i="1" a="1"/>
  <c r="AA1193" i="1" s="1"/>
  <c r="AA1192" i="1" a="1"/>
  <c r="AA1192" i="1" s="1"/>
  <c r="AA1191" i="1" a="1"/>
  <c r="AA1191" i="1" s="1"/>
  <c r="AA1190" i="1" a="1"/>
  <c r="AA1190" i="1" s="1"/>
  <c r="AA1189" i="1" a="1"/>
  <c r="AA1189" i="1" s="1"/>
  <c r="AA1188" i="1" a="1"/>
  <c r="AA1188" i="1" s="1"/>
  <c r="AA1187" i="1" a="1"/>
  <c r="AA1187" i="1" s="1"/>
  <c r="AA1186" i="1" a="1"/>
  <c r="AA1186" i="1" s="1"/>
  <c r="AA1185" i="1" a="1"/>
  <c r="AA1185" i="1" s="1"/>
  <c r="AA1184" i="1" a="1"/>
  <c r="AA1184" i="1" s="1"/>
  <c r="AA1183" i="1" a="1"/>
  <c r="AA1183" i="1" s="1"/>
  <c r="AA1182" i="1" a="1"/>
  <c r="AA1182" i="1" s="1"/>
  <c r="AA1181" i="1" a="1"/>
  <c r="AA1181" i="1" s="1"/>
  <c r="AA1180" i="1" a="1"/>
  <c r="AA1180" i="1" s="1"/>
  <c r="AA1179" i="1" a="1"/>
  <c r="AA1179" i="1" s="1"/>
  <c r="AA1178" i="1" a="1"/>
  <c r="AA1178" i="1" s="1"/>
  <c r="AA1177" i="1" a="1"/>
  <c r="AA1177" i="1" s="1"/>
  <c r="AA1176" i="1" a="1"/>
  <c r="AA1176" i="1" s="1"/>
  <c r="AA1175" i="1" a="1"/>
  <c r="AA1175" i="1" s="1"/>
  <c r="AA1174" i="1" a="1"/>
  <c r="AA1174" i="1" s="1"/>
  <c r="AA1173" i="1" a="1"/>
  <c r="AA1173" i="1" s="1"/>
  <c r="AA1171" i="1" a="1"/>
  <c r="AA1171" i="1" s="1"/>
  <c r="AC1171" i="1" s="1"/>
  <c r="AA1170" i="1" a="1"/>
  <c r="AA1170" i="1" s="1"/>
  <c r="AA1169" i="1" a="1"/>
  <c r="AA1169" i="1" s="1"/>
  <c r="AA1168" i="1" a="1"/>
  <c r="AA1168" i="1" s="1"/>
  <c r="AA1167" i="1" a="1"/>
  <c r="AA1167" i="1" s="1"/>
  <c r="AA1166" i="1" a="1"/>
  <c r="AA1166" i="1" s="1"/>
  <c r="AC1166" i="1" s="1"/>
  <c r="AA1165" i="1" a="1"/>
  <c r="AA1165" i="1" s="1"/>
  <c r="AA1163" i="1" a="1"/>
  <c r="AA1163" i="1" s="1"/>
  <c r="AA1162" i="1" a="1"/>
  <c r="AA1162" i="1" s="1"/>
  <c r="AA1161" i="1" a="1"/>
  <c r="AA1161" i="1" s="1"/>
  <c r="AA1160" i="1" a="1"/>
  <c r="AA1160" i="1" s="1"/>
  <c r="AA1159" i="1" a="1"/>
  <c r="AA1159" i="1" s="1"/>
  <c r="AA1158" i="1" a="1"/>
  <c r="AA1158" i="1" s="1"/>
  <c r="AA1157" i="1" a="1"/>
  <c r="AA1157" i="1" s="1"/>
  <c r="AA1156" i="1" a="1"/>
  <c r="AA1156" i="1" s="1"/>
  <c r="AA1155" i="1" a="1"/>
  <c r="AA1155" i="1" s="1"/>
  <c r="AA1154" i="1" a="1"/>
  <c r="AA1154" i="1" s="1"/>
  <c r="AA1153" i="1" a="1"/>
  <c r="AA1153" i="1" s="1"/>
  <c r="AA1152" i="1" a="1"/>
  <c r="AA1152" i="1" s="1"/>
  <c r="AA1151" i="1" a="1"/>
  <c r="AA1151" i="1" s="1"/>
  <c r="AA1149" i="1" a="1"/>
  <c r="AA1149" i="1" s="1"/>
  <c r="AA1148" i="1" a="1"/>
  <c r="AA1148" i="1" s="1"/>
  <c r="AA1147" i="1" a="1"/>
  <c r="AA1147" i="1" s="1"/>
  <c r="AA1146" i="1" a="1"/>
  <c r="AA1146" i="1" s="1"/>
  <c r="AA1145" i="1" a="1"/>
  <c r="AA1145" i="1" s="1"/>
  <c r="AA1144" i="1" a="1"/>
  <c r="AA1144" i="1" s="1"/>
  <c r="AA1143" i="1" a="1"/>
  <c r="AA1143" i="1" s="1"/>
  <c r="AC1143" i="1" s="1"/>
  <c r="AA1142" i="1" a="1"/>
  <c r="AA1142" i="1" s="1"/>
  <c r="AA1141" i="1" a="1"/>
  <c r="AA1141" i="1" s="1"/>
  <c r="AA1140" i="1" a="1"/>
  <c r="AA1140" i="1" s="1"/>
  <c r="AA1139" i="1" a="1"/>
  <c r="AA1139" i="1" s="1"/>
  <c r="AA1138" i="1" a="1"/>
  <c r="AA1138" i="1" s="1"/>
  <c r="AA1137" i="1" a="1"/>
  <c r="AA1137" i="1" s="1"/>
  <c r="AA1136" i="1" a="1"/>
  <c r="AA1136" i="1" s="1"/>
  <c r="AA1134" i="1" a="1"/>
  <c r="AA1134" i="1" s="1"/>
  <c r="AA1133" i="1" a="1"/>
  <c r="AA1133" i="1" s="1"/>
  <c r="AA1132" i="1" a="1"/>
  <c r="AA1132" i="1" s="1"/>
  <c r="AA1131" i="1" a="1"/>
  <c r="AA1131" i="1" s="1"/>
  <c r="AA1130" i="1" a="1"/>
  <c r="AA1130" i="1" s="1"/>
  <c r="AA1128" i="1" a="1"/>
  <c r="AA1128" i="1" s="1"/>
  <c r="AA1127" i="1" a="1"/>
  <c r="AA1127" i="1" s="1"/>
  <c r="AA1126" i="1" a="1"/>
  <c r="AA1126" i="1" s="1"/>
  <c r="AC1126" i="1" s="1"/>
  <c r="AA1125" i="1" a="1"/>
  <c r="AA1125" i="1" s="1"/>
  <c r="AA1124" i="1" a="1"/>
  <c r="AA1124" i="1" s="1"/>
  <c r="AA1123" i="1" a="1"/>
  <c r="AA1123" i="1" s="1"/>
  <c r="AA1122" i="1" a="1"/>
  <c r="AA1122" i="1" s="1"/>
  <c r="AA445" i="1" a="1"/>
  <c r="AA445" i="1" s="1"/>
  <c r="AA1121" i="1" a="1"/>
  <c r="AA1121" i="1" s="1"/>
  <c r="AA1120" i="1" a="1"/>
  <c r="AA1120" i="1" s="1"/>
  <c r="AA1119" i="1" a="1"/>
  <c r="AA1119" i="1" s="1"/>
  <c r="AA1118" i="1" a="1"/>
  <c r="AA1118" i="1" s="1"/>
  <c r="AA1117" i="1" a="1"/>
  <c r="AA1117" i="1" s="1"/>
  <c r="AC1117" i="1" s="1"/>
  <c r="AA1116" i="1" a="1"/>
  <c r="AA1116" i="1" s="1"/>
  <c r="AA1115" i="1" a="1"/>
  <c r="AA1115" i="1" s="1"/>
  <c r="AA1114" i="1" a="1"/>
  <c r="AA1114" i="1" s="1"/>
  <c r="AA1113" i="1" a="1"/>
  <c r="AA1113" i="1" s="1"/>
  <c r="AA1112" i="1" a="1"/>
  <c r="AA1112" i="1" s="1"/>
  <c r="AA1111" i="1" a="1"/>
  <c r="AA1111" i="1" s="1"/>
  <c r="AA1110" i="1" a="1"/>
  <c r="AA1110" i="1" s="1"/>
  <c r="AA1109" i="1" a="1"/>
  <c r="AA1109" i="1" s="1"/>
  <c r="AA1108" i="1" a="1"/>
  <c r="AA1108" i="1" s="1"/>
  <c r="AA1107" i="1" a="1"/>
  <c r="AA1107" i="1" s="1"/>
  <c r="AA1106" i="1" a="1"/>
  <c r="AA1106" i="1" s="1"/>
  <c r="AA1105" i="1" a="1"/>
  <c r="AA1105" i="1" s="1"/>
  <c r="AA1104" i="1" a="1"/>
  <c r="AA1104" i="1" s="1"/>
  <c r="AA1103" i="1" a="1"/>
  <c r="AA1103" i="1" s="1"/>
  <c r="AA1102" i="1" a="1"/>
  <c r="AA1102" i="1" s="1"/>
  <c r="AA1101" i="1" a="1"/>
  <c r="AA1101" i="1" s="1"/>
  <c r="AA1100" i="1" a="1"/>
  <c r="AA1100" i="1" s="1"/>
  <c r="AA1099" i="1" a="1"/>
  <c r="AA1099" i="1" s="1"/>
  <c r="AA1098" i="1" a="1"/>
  <c r="AA1098" i="1" s="1"/>
  <c r="AC1098" i="1" s="1"/>
  <c r="AA1097" i="1" a="1"/>
  <c r="AA1097" i="1" s="1"/>
  <c r="AA1096" i="1" a="1"/>
  <c r="AA1096" i="1" s="1"/>
  <c r="AA1095" i="1" a="1"/>
  <c r="AA1095" i="1" s="1"/>
  <c r="AC1095" i="1" s="1"/>
  <c r="AA1094" i="1" a="1"/>
  <c r="AA1094" i="1" s="1"/>
  <c r="AA1093" i="1" a="1"/>
  <c r="AA1093" i="1" s="1"/>
  <c r="AA1092" i="1" a="1"/>
  <c r="AA1092" i="1" s="1"/>
  <c r="AA1091" i="1" a="1"/>
  <c r="AA1091" i="1" s="1"/>
  <c r="AA1090" i="1" a="1"/>
  <c r="AA1090" i="1" s="1"/>
  <c r="AA1089" i="1" a="1"/>
  <c r="AA1089" i="1" s="1"/>
  <c r="AA1088" i="1" a="1"/>
  <c r="AA1088" i="1" s="1"/>
  <c r="AA1087" i="1" a="1"/>
  <c r="AA1087" i="1" s="1"/>
  <c r="AA1086" i="1" a="1"/>
  <c r="AA1086" i="1" s="1"/>
  <c r="AA1085" i="1" a="1"/>
  <c r="AA1085" i="1" s="1"/>
  <c r="AA1084" i="1" a="1"/>
  <c r="AA1084" i="1" s="1"/>
  <c r="AA1083" i="1" a="1"/>
  <c r="AA1083" i="1" s="1"/>
  <c r="AA1082" i="1" a="1"/>
  <c r="AA1082" i="1" s="1"/>
  <c r="AA1080" i="1" a="1"/>
  <c r="AA1080" i="1" s="1"/>
  <c r="AA1079" i="1" a="1"/>
  <c r="AA1079" i="1" s="1"/>
  <c r="AA1078" i="1" a="1"/>
  <c r="AA1078" i="1" s="1"/>
  <c r="AA1077" i="1" a="1"/>
  <c r="AA1077" i="1" s="1"/>
  <c r="AA1076" i="1" a="1"/>
  <c r="AA1076" i="1" s="1"/>
  <c r="AA1075" i="1" a="1"/>
  <c r="AA1075" i="1" s="1"/>
  <c r="AA1074" i="1" a="1"/>
  <c r="AA1074" i="1" s="1"/>
  <c r="AA1073" i="1" a="1"/>
  <c r="AA1073" i="1" s="1"/>
  <c r="AA1072" i="1" a="1"/>
  <c r="AA1072" i="1" s="1"/>
  <c r="AA1071" i="1" a="1"/>
  <c r="AA1071" i="1" s="1"/>
  <c r="AA1070" i="1" a="1"/>
  <c r="AA1070" i="1" s="1"/>
  <c r="AA1069" i="1" a="1"/>
  <c r="AA1069" i="1" s="1"/>
  <c r="AA1068" i="1" a="1"/>
  <c r="AA1068" i="1" s="1"/>
  <c r="AA1067" i="1" a="1"/>
  <c r="AA1067" i="1" s="1"/>
  <c r="AA1066" i="1" a="1"/>
  <c r="AA1066" i="1" s="1"/>
  <c r="AA1065" i="1" a="1"/>
  <c r="AA1065" i="1" s="1"/>
  <c r="AA1064" i="1" a="1"/>
  <c r="AA1064" i="1" s="1"/>
  <c r="AA1063" i="1" a="1"/>
  <c r="AA1063" i="1" s="1"/>
  <c r="AA1062" i="1" a="1"/>
  <c r="AA1062" i="1" s="1"/>
  <c r="AA1061" i="1" a="1"/>
  <c r="AA1061" i="1" s="1"/>
  <c r="AA1060" i="1" a="1"/>
  <c r="AA1060" i="1" s="1"/>
  <c r="AA1059" i="1" a="1"/>
  <c r="AA1059" i="1" s="1"/>
  <c r="AA1058" i="1" a="1"/>
  <c r="AA1058" i="1" s="1"/>
  <c r="AA1057" i="1" a="1"/>
  <c r="AA1057" i="1" s="1"/>
  <c r="AA1056" i="1" a="1"/>
  <c r="AA1056" i="1" s="1"/>
  <c r="AA1055" i="1" a="1"/>
  <c r="AA1055" i="1" s="1"/>
  <c r="AA1054" i="1" a="1"/>
  <c r="AA1054" i="1" s="1"/>
  <c r="AA1053" i="1" a="1"/>
  <c r="AA1053" i="1" s="1"/>
  <c r="AA1052" i="1" a="1"/>
  <c r="AA1052" i="1" s="1"/>
  <c r="AA1051" i="1" a="1"/>
  <c r="AA1051" i="1" s="1"/>
  <c r="AA1050" i="1" a="1"/>
  <c r="AA1050" i="1" s="1"/>
  <c r="AA1049" i="1" a="1"/>
  <c r="AA1049" i="1" s="1"/>
  <c r="AA1048" i="1" a="1"/>
  <c r="AA1048" i="1" s="1"/>
  <c r="AA1047" i="1" a="1"/>
  <c r="AA1047" i="1" s="1"/>
  <c r="AA1046" i="1" a="1"/>
  <c r="AA1046" i="1" s="1"/>
  <c r="AA1045" i="1" a="1"/>
  <c r="AA1045" i="1" s="1"/>
  <c r="AA1044" i="1" a="1"/>
  <c r="AA1044" i="1" s="1"/>
  <c r="AA1043" i="1" a="1"/>
  <c r="AA1043" i="1" s="1"/>
  <c r="AA1042" i="1" a="1"/>
  <c r="AA1042" i="1" s="1"/>
  <c r="AA1041" i="1" a="1"/>
  <c r="AA1041" i="1" s="1"/>
  <c r="AA1040" i="1" a="1"/>
  <c r="AA1040" i="1" s="1"/>
  <c r="AA1039" i="1" a="1"/>
  <c r="AA1039" i="1" s="1"/>
  <c r="AA1038" i="1" a="1"/>
  <c r="AA1038" i="1" s="1"/>
  <c r="AC1038" i="1" s="1"/>
  <c r="AA529" i="1" a="1"/>
  <c r="AA529" i="1" s="1"/>
  <c r="AA1037" i="1" a="1"/>
  <c r="AA1037" i="1" s="1"/>
  <c r="AA1036" i="1" a="1"/>
  <c r="AA1036" i="1" s="1"/>
  <c r="AA1035" i="1" a="1"/>
  <c r="AA1035" i="1" s="1"/>
  <c r="AA1034" i="1" a="1"/>
  <c r="AA1034" i="1" s="1"/>
  <c r="AA1033" i="1" a="1"/>
  <c r="AA1033" i="1" s="1"/>
  <c r="AA1032" i="1" a="1"/>
  <c r="AA1032" i="1" s="1"/>
  <c r="AA1031" i="1" a="1"/>
  <c r="AA1031" i="1" s="1"/>
  <c r="AA1030" i="1" a="1"/>
  <c r="AA1030" i="1" s="1"/>
  <c r="AC1030" i="1" s="1"/>
  <c r="AA1029" i="1" a="1"/>
  <c r="AA1029" i="1" s="1"/>
  <c r="AA1028" i="1" a="1"/>
  <c r="AA1028" i="1" s="1"/>
  <c r="AA1027" i="1" a="1"/>
  <c r="AA1027" i="1" s="1"/>
  <c r="AA1026" i="1" a="1"/>
  <c r="AA1026" i="1" s="1"/>
  <c r="AA1025" i="1" a="1"/>
  <c r="AA1025" i="1" s="1"/>
  <c r="AC1025" i="1" s="1"/>
  <c r="AA1024" i="1" a="1"/>
  <c r="AA1024" i="1" s="1"/>
  <c r="AA1023" i="1" a="1"/>
  <c r="AA1023" i="1" s="1"/>
  <c r="AA545" i="1" a="1"/>
  <c r="AA545" i="1" s="1"/>
  <c r="AA1022" i="1" a="1"/>
  <c r="AA1022" i="1" s="1"/>
  <c r="AA1021" i="1" a="1"/>
  <c r="AA1021" i="1" s="1"/>
  <c r="AA1020" i="1" a="1"/>
  <c r="AA1020" i="1" s="1"/>
  <c r="AA1019" i="1" a="1"/>
  <c r="AA1019" i="1" s="1"/>
  <c r="AA1018" i="1" a="1"/>
  <c r="AA1018" i="1" s="1"/>
  <c r="AA1017" i="1" a="1"/>
  <c r="AA1017" i="1" s="1"/>
  <c r="AA1016" i="1" a="1"/>
  <c r="AA1016" i="1" s="1"/>
  <c r="AA1015" i="1" a="1"/>
  <c r="AA1015" i="1" s="1"/>
  <c r="AA1014" i="1" a="1"/>
  <c r="AA1014" i="1" s="1"/>
  <c r="AA1013" i="1" a="1"/>
  <c r="AA1013" i="1" s="1"/>
  <c r="AA1012" i="1" a="1"/>
  <c r="AA1012" i="1" s="1"/>
  <c r="AA1011" i="1" a="1"/>
  <c r="AA1011" i="1" s="1"/>
  <c r="AA1010" i="1" a="1"/>
  <c r="AA1010" i="1" s="1"/>
  <c r="AA1009" i="1" a="1"/>
  <c r="AA1009" i="1" s="1"/>
  <c r="AA1008" i="1" a="1"/>
  <c r="AA1008" i="1" s="1"/>
  <c r="AC1008" i="1" s="1"/>
  <c r="AA1007" i="1" a="1"/>
  <c r="AA1007" i="1" s="1"/>
  <c r="AA1006" i="1" a="1"/>
  <c r="AA1006" i="1" s="1"/>
  <c r="AA1005" i="1" a="1"/>
  <c r="AA1005" i="1" s="1"/>
  <c r="AA1004" i="1" a="1"/>
  <c r="AA1004" i="1" s="1"/>
  <c r="AA1002" i="1" a="1"/>
  <c r="AA1002" i="1" s="1"/>
  <c r="AA1001" i="1" a="1"/>
  <c r="AA1001" i="1" s="1"/>
  <c r="AA1000" i="1" a="1"/>
  <c r="AA1000" i="1" s="1"/>
  <c r="AA999" i="1" a="1"/>
  <c r="AA999" i="1" s="1"/>
  <c r="AA998" i="1" a="1"/>
  <c r="AA998" i="1" s="1"/>
  <c r="AA997" i="1" a="1"/>
  <c r="AA997" i="1" s="1"/>
  <c r="AA996" i="1" a="1"/>
  <c r="AA996" i="1" s="1"/>
  <c r="AA995" i="1" a="1"/>
  <c r="AA995" i="1" s="1"/>
  <c r="AA994" i="1" a="1"/>
  <c r="AA994" i="1" s="1"/>
  <c r="AA993" i="1" a="1"/>
  <c r="AA993" i="1" s="1"/>
  <c r="AA991" i="1" a="1"/>
  <c r="AA991" i="1" s="1"/>
  <c r="AA990" i="1" a="1"/>
  <c r="AA990" i="1" s="1"/>
  <c r="AA989" i="1" a="1"/>
  <c r="AA989" i="1" s="1"/>
  <c r="AA988" i="1" a="1"/>
  <c r="AA988" i="1" s="1"/>
  <c r="AA987" i="1" a="1"/>
  <c r="AA987" i="1" s="1"/>
  <c r="AA986" i="1" a="1"/>
  <c r="AA986" i="1" s="1"/>
  <c r="AA985" i="1" a="1"/>
  <c r="AA985" i="1" s="1"/>
  <c r="AA984" i="1" a="1"/>
  <c r="AA984" i="1" s="1"/>
  <c r="AA983" i="1" a="1"/>
  <c r="AA983" i="1" s="1"/>
  <c r="AA982" i="1" a="1"/>
  <c r="AA982" i="1" s="1"/>
  <c r="AA981" i="1" a="1"/>
  <c r="AA981" i="1" s="1"/>
  <c r="AA980" i="1" a="1"/>
  <c r="AA980" i="1" s="1"/>
  <c r="AA979" i="1" a="1"/>
  <c r="AA979" i="1" s="1"/>
  <c r="AA978" i="1" a="1"/>
  <c r="AA978" i="1" s="1"/>
  <c r="AA589" i="1" a="1"/>
  <c r="AA589" i="1" s="1"/>
  <c r="AA977" i="1" a="1"/>
  <c r="AA977" i="1" s="1"/>
  <c r="AA976" i="1" a="1"/>
  <c r="AA976" i="1" s="1"/>
  <c r="AA975" i="1" a="1"/>
  <c r="AA975" i="1" s="1"/>
  <c r="AA974" i="1" a="1"/>
  <c r="AA974" i="1" s="1"/>
  <c r="AA973" i="1" a="1"/>
  <c r="AA973" i="1" s="1"/>
  <c r="AA972" i="1" a="1"/>
  <c r="AA972" i="1" s="1"/>
  <c r="AA971" i="1" a="1"/>
  <c r="AA971" i="1" s="1"/>
  <c r="AA970" i="1" a="1"/>
  <c r="AA970" i="1" s="1"/>
  <c r="AA969" i="1" a="1"/>
  <c r="AA969" i="1" s="1"/>
  <c r="AA968" i="1" a="1"/>
  <c r="AA968" i="1" s="1"/>
  <c r="AA967" i="1" a="1"/>
  <c r="AA967" i="1" s="1"/>
  <c r="AA966" i="1" a="1"/>
  <c r="AA966" i="1" s="1"/>
  <c r="AA965" i="1" a="1"/>
  <c r="AA965" i="1" s="1"/>
  <c r="AA964" i="1" a="1"/>
  <c r="AA964" i="1" s="1"/>
  <c r="AA963" i="1" a="1"/>
  <c r="AA963" i="1" s="1"/>
  <c r="AA962" i="1" a="1"/>
  <c r="AA962" i="1" s="1"/>
  <c r="AA961" i="1" a="1"/>
  <c r="AA961" i="1" s="1"/>
  <c r="AA960" i="1" a="1"/>
  <c r="AA960" i="1" s="1"/>
  <c r="AA959" i="1" a="1"/>
  <c r="AA959" i="1" s="1"/>
  <c r="AA958" i="1" a="1"/>
  <c r="AA958" i="1" s="1"/>
  <c r="AA957" i="1" a="1"/>
  <c r="AA957" i="1" s="1"/>
  <c r="AA956" i="1" a="1"/>
  <c r="AA956" i="1" s="1"/>
  <c r="AA954" i="1" a="1"/>
  <c r="AA954" i="1" s="1"/>
  <c r="AA955" i="1" a="1"/>
  <c r="AA955" i="1" s="1"/>
  <c r="AA953" i="1" a="1"/>
  <c r="AA953" i="1" s="1"/>
  <c r="AA952" i="1" a="1"/>
  <c r="AA952" i="1" s="1"/>
  <c r="AA949" i="1" a="1"/>
  <c r="AA949" i="1" s="1"/>
  <c r="AA948" i="1" a="1"/>
  <c r="AA948" i="1" s="1"/>
  <c r="AA947" i="1" a="1"/>
  <c r="AA947" i="1" s="1"/>
  <c r="AA946" i="1" a="1"/>
  <c r="AA946" i="1" s="1"/>
  <c r="AA945" i="1" a="1"/>
  <c r="AA945" i="1" s="1"/>
  <c r="AA944" i="1" a="1"/>
  <c r="AA944" i="1" s="1"/>
  <c r="AA942" i="1" a="1"/>
  <c r="AA942" i="1" s="1"/>
  <c r="AA941" i="1" a="1"/>
  <c r="AA941" i="1" s="1"/>
  <c r="AA940" i="1" a="1"/>
  <c r="AA940" i="1" s="1"/>
  <c r="AA938" i="1" a="1"/>
  <c r="AA938" i="1" s="1"/>
  <c r="AA937" i="1" a="1"/>
  <c r="AA937" i="1" s="1"/>
  <c r="AA936" i="1" a="1"/>
  <c r="AA936" i="1" s="1"/>
  <c r="AA935" i="1" a="1"/>
  <c r="AA935" i="1" s="1"/>
  <c r="AA932" i="1" a="1"/>
  <c r="AA932" i="1" s="1"/>
  <c r="AA931" i="1" a="1"/>
  <c r="AA931" i="1" s="1"/>
  <c r="AA930" i="1" a="1"/>
  <c r="AA930" i="1" s="1"/>
  <c r="AA929" i="1" a="1"/>
  <c r="AA929" i="1" s="1"/>
  <c r="AA928" i="1" a="1"/>
  <c r="AA928" i="1" s="1"/>
  <c r="AA927" i="1" a="1"/>
  <c r="AA927" i="1" s="1"/>
  <c r="AA926" i="1" a="1"/>
  <c r="AA926" i="1" s="1"/>
  <c r="AA924" i="1" a="1"/>
  <c r="AA924" i="1" s="1"/>
  <c r="AA923" i="1" a="1"/>
  <c r="AA923" i="1" s="1"/>
  <c r="AA738" i="1" a="1"/>
  <c r="AA738" i="1" s="1"/>
  <c r="AA922" i="1" a="1"/>
  <c r="AA922" i="1" s="1"/>
  <c r="AA921" i="1" a="1"/>
  <c r="AA921" i="1" s="1"/>
  <c r="AA920" i="1" a="1"/>
  <c r="AA920" i="1" s="1"/>
  <c r="AA919" i="1" a="1"/>
  <c r="AA919" i="1" s="1"/>
  <c r="AA917" i="1" a="1"/>
  <c r="AA917" i="1" s="1"/>
  <c r="AA918" i="1" a="1"/>
  <c r="AA918" i="1" s="1"/>
  <c r="AA916" i="1" a="1"/>
  <c r="AA916" i="1" s="1"/>
  <c r="AA915" i="1" a="1"/>
  <c r="AA915" i="1" s="1"/>
  <c r="AA914" i="1" a="1"/>
  <c r="AA914" i="1" s="1"/>
  <c r="AA913" i="1" a="1"/>
  <c r="AA913" i="1" s="1"/>
  <c r="AA912" i="1" a="1"/>
  <c r="AA912" i="1" s="1"/>
  <c r="AA911" i="1" a="1"/>
  <c r="AA911" i="1" s="1"/>
  <c r="AA910" i="1" a="1"/>
  <c r="AA910" i="1" s="1"/>
  <c r="AA909" i="1" a="1"/>
  <c r="AA909" i="1" s="1"/>
  <c r="AA908" i="1" a="1"/>
  <c r="AA908" i="1" s="1"/>
  <c r="AA907" i="1" a="1"/>
  <c r="AA907" i="1" s="1"/>
  <c r="AA906" i="1" a="1"/>
  <c r="AA906" i="1" s="1"/>
  <c r="AA905" i="1" a="1"/>
  <c r="AA905" i="1" s="1"/>
  <c r="AA904" i="1" a="1"/>
  <c r="AA904" i="1" s="1"/>
  <c r="AA903" i="1" a="1"/>
  <c r="AA903" i="1" s="1"/>
  <c r="AA902" i="1" a="1"/>
  <c r="AA902" i="1" s="1"/>
  <c r="AA901" i="1" a="1"/>
  <c r="AA901" i="1" s="1"/>
  <c r="AA900" i="1" a="1"/>
  <c r="AA900" i="1" s="1"/>
  <c r="AA899" i="1" a="1"/>
  <c r="AA899" i="1" s="1"/>
  <c r="AA898" i="1" a="1"/>
  <c r="AA898" i="1" s="1"/>
  <c r="AA897" i="1" a="1"/>
  <c r="AA897" i="1" s="1"/>
  <c r="AA896" i="1" a="1"/>
  <c r="AA896" i="1" s="1"/>
  <c r="AA895" i="1" a="1"/>
  <c r="AA895" i="1" s="1"/>
  <c r="AA894" i="1" a="1"/>
  <c r="AA894" i="1" s="1"/>
  <c r="AA893" i="1" a="1"/>
  <c r="AA893" i="1" s="1"/>
  <c r="AA892" i="1" a="1"/>
  <c r="AA892" i="1" s="1"/>
  <c r="AA891" i="1" a="1"/>
  <c r="AA891" i="1" s="1"/>
  <c r="AA890" i="1" a="1"/>
  <c r="AA890" i="1" s="1"/>
  <c r="AA889" i="1" a="1"/>
  <c r="AA889" i="1" s="1"/>
  <c r="AA888" i="1" a="1"/>
  <c r="AA888" i="1" s="1"/>
  <c r="AA887" i="1" a="1"/>
  <c r="AA887" i="1" s="1"/>
  <c r="AA886" i="1" a="1"/>
  <c r="AA886" i="1" s="1"/>
  <c r="AA885" i="1" a="1"/>
  <c r="AA885" i="1" s="1"/>
  <c r="AA884" i="1" a="1"/>
  <c r="AA884" i="1" s="1"/>
  <c r="AA883" i="1" a="1"/>
  <c r="AA883" i="1" s="1"/>
  <c r="AA882" i="1" a="1"/>
  <c r="AA882" i="1" s="1"/>
  <c r="AA881" i="1" a="1"/>
  <c r="AA881" i="1" s="1"/>
  <c r="AA880" i="1" a="1"/>
  <c r="AA880" i="1" s="1"/>
  <c r="AA879" i="1" a="1"/>
  <c r="AA879" i="1" s="1"/>
  <c r="AA878" i="1" a="1"/>
  <c r="AA878" i="1" s="1"/>
  <c r="AA877" i="1" a="1"/>
  <c r="AA877" i="1" s="1"/>
  <c r="AA876" i="1" a="1"/>
  <c r="AA876" i="1" s="1"/>
  <c r="AA875" i="1" a="1"/>
  <c r="AA875" i="1" s="1"/>
  <c r="AA874" i="1" a="1"/>
  <c r="AA874" i="1" s="1"/>
  <c r="AA873" i="1" a="1"/>
  <c r="AA873" i="1" s="1"/>
  <c r="AA872" i="1" a="1"/>
  <c r="AA872" i="1" s="1"/>
  <c r="AA871" i="1" a="1"/>
  <c r="AA871" i="1" s="1"/>
  <c r="AA870" i="1" a="1"/>
  <c r="AA870" i="1" s="1"/>
  <c r="AA869" i="1" a="1"/>
  <c r="AA869" i="1" s="1"/>
  <c r="AA868" i="1" a="1"/>
  <c r="AA868" i="1" s="1"/>
  <c r="AA867" i="1" a="1"/>
  <c r="AA867" i="1" s="1"/>
  <c r="AA866" i="1" a="1"/>
  <c r="AA866" i="1" s="1"/>
  <c r="AA865" i="1" a="1"/>
  <c r="AA865" i="1" s="1"/>
  <c r="AA864" i="1" a="1"/>
  <c r="AA864" i="1" s="1"/>
  <c r="AA863" i="1" a="1"/>
  <c r="AA863" i="1" s="1"/>
  <c r="AA862" i="1" a="1"/>
  <c r="AA862" i="1" s="1"/>
  <c r="AA861" i="1" a="1"/>
  <c r="AA861" i="1" s="1"/>
  <c r="AA860" i="1" a="1"/>
  <c r="AA860" i="1" s="1"/>
  <c r="AA859" i="1" a="1"/>
  <c r="AA859" i="1" s="1"/>
  <c r="AA858" i="1" a="1"/>
  <c r="AA858" i="1" s="1"/>
  <c r="AA857" i="1" a="1"/>
  <c r="AA857" i="1" s="1"/>
  <c r="AA856" i="1" a="1"/>
  <c r="AA856" i="1" s="1"/>
  <c r="AA855" i="1" a="1"/>
  <c r="AA855" i="1" s="1"/>
  <c r="AA854" i="1" a="1"/>
  <c r="AA854" i="1" s="1"/>
  <c r="AA853" i="1" a="1"/>
  <c r="AA853" i="1" s="1"/>
  <c r="AA852" i="1" a="1"/>
  <c r="AA852" i="1" s="1"/>
  <c r="AA851" i="1" a="1"/>
  <c r="AA851" i="1" s="1"/>
  <c r="AA850" i="1" a="1"/>
  <c r="AA850" i="1" s="1"/>
  <c r="AA849" i="1" a="1"/>
  <c r="AA849" i="1" s="1"/>
  <c r="AA848" i="1" a="1"/>
  <c r="AA848" i="1" s="1"/>
  <c r="AA847" i="1" a="1"/>
  <c r="AA847" i="1" s="1"/>
  <c r="AA846" i="1" a="1"/>
  <c r="AA846" i="1" s="1"/>
  <c r="AA845" i="1" a="1"/>
  <c r="AA845" i="1" s="1"/>
  <c r="AA844" i="1" a="1"/>
  <c r="AA844" i="1" s="1"/>
  <c r="AA843" i="1" a="1"/>
  <c r="AA843" i="1" s="1"/>
  <c r="AA842" i="1" a="1"/>
  <c r="AA842" i="1" s="1"/>
  <c r="AA840" i="1" a="1"/>
  <c r="AA840" i="1" s="1"/>
  <c r="AA839" i="1" a="1"/>
  <c r="AA839" i="1" s="1"/>
  <c r="AA838" i="1" a="1"/>
  <c r="AA838" i="1" s="1"/>
  <c r="AA837" i="1" a="1"/>
  <c r="AA837" i="1" s="1"/>
  <c r="AA836" i="1" a="1"/>
  <c r="AA836" i="1" s="1"/>
  <c r="AA835" i="1" a="1"/>
  <c r="AA835" i="1" s="1"/>
  <c r="AA834" i="1" a="1"/>
  <c r="AA834" i="1" s="1"/>
  <c r="AA833" i="1" a="1"/>
  <c r="AA833" i="1" s="1"/>
  <c r="AA832" i="1" a="1"/>
  <c r="AA832" i="1" s="1"/>
  <c r="AA831" i="1" a="1"/>
  <c r="AA831" i="1" s="1"/>
  <c r="AA830" i="1" a="1"/>
  <c r="AA830" i="1" s="1"/>
  <c r="AA829" i="1" a="1"/>
  <c r="AA829" i="1" s="1"/>
  <c r="AA828" i="1" a="1"/>
  <c r="AA828" i="1" s="1"/>
  <c r="AA827" i="1" a="1"/>
  <c r="AA827" i="1" s="1"/>
  <c r="AA826" i="1" a="1"/>
  <c r="AA826" i="1" s="1"/>
  <c r="AA825" i="1" a="1"/>
  <c r="AA825" i="1" s="1"/>
  <c r="AA824" i="1" a="1"/>
  <c r="AA824" i="1" s="1"/>
  <c r="AA823" i="1" a="1"/>
  <c r="AA823" i="1" s="1"/>
  <c r="AA822" i="1" a="1"/>
  <c r="AA822" i="1" s="1"/>
  <c r="AA821" i="1" a="1"/>
  <c r="AA821" i="1" s="1"/>
  <c r="AA740" i="1" a="1"/>
  <c r="AA740" i="1" s="1"/>
  <c r="AA820" i="1" a="1"/>
  <c r="AA820" i="1" s="1"/>
  <c r="AA819" i="1" a="1"/>
  <c r="AA819" i="1" s="1"/>
  <c r="AA818" i="1" a="1"/>
  <c r="AA818" i="1" s="1"/>
  <c r="AA817" i="1" a="1"/>
  <c r="AA817" i="1" s="1"/>
  <c r="AA816" i="1" a="1"/>
  <c r="AA816" i="1" s="1"/>
  <c r="AA815" i="1" a="1"/>
  <c r="AA815" i="1" s="1"/>
  <c r="AA814" i="1" a="1"/>
  <c r="AA814" i="1" s="1"/>
  <c r="AA813" i="1" a="1"/>
  <c r="AA813" i="1" s="1"/>
  <c r="AA749" i="1" a="1"/>
  <c r="AA749" i="1" s="1"/>
  <c r="AA812" i="1" a="1"/>
  <c r="AA812" i="1" s="1"/>
  <c r="AA811" i="1" a="1"/>
  <c r="AA811" i="1" s="1"/>
  <c r="AA810" i="1" a="1"/>
  <c r="AA810" i="1" s="1"/>
  <c r="AA809" i="1" a="1"/>
  <c r="AA809" i="1" s="1"/>
  <c r="AA800" i="1" a="1"/>
  <c r="AA800" i="1" s="1"/>
  <c r="AA808" i="1" a="1"/>
  <c r="AA808" i="1" s="1"/>
  <c r="AA807" i="1" a="1"/>
  <c r="AA807" i="1" s="1"/>
  <c r="AA806" i="1" a="1"/>
  <c r="AA806" i="1" s="1"/>
  <c r="AA805" i="1" a="1"/>
  <c r="AA805" i="1" s="1"/>
  <c r="AA804" i="1" a="1"/>
  <c r="AA804" i="1" s="1"/>
  <c r="AA803" i="1" a="1"/>
  <c r="AA803" i="1" s="1"/>
  <c r="AA802" i="1" a="1"/>
  <c r="AA802" i="1" s="1"/>
  <c r="AA801" i="1" a="1"/>
  <c r="AA801" i="1" s="1"/>
  <c r="AA799" i="1" a="1"/>
  <c r="AA799" i="1" s="1"/>
  <c r="AA764" i="1" a="1"/>
  <c r="AA764" i="1" s="1"/>
  <c r="AA798" i="1" a="1"/>
  <c r="AA798" i="1" s="1"/>
  <c r="AA797" i="1" a="1"/>
  <c r="AA797" i="1" s="1"/>
  <c r="AA796" i="1" a="1"/>
  <c r="AA796" i="1" s="1"/>
  <c r="AA795" i="1" a="1"/>
  <c r="AA795" i="1" s="1"/>
  <c r="AA794" i="1" a="1"/>
  <c r="AA794" i="1" s="1"/>
  <c r="AA793" i="1" a="1"/>
  <c r="AA793" i="1" s="1"/>
  <c r="AA792" i="1" a="1"/>
  <c r="AA792" i="1" s="1"/>
  <c r="AA791" i="1" a="1"/>
  <c r="AA791" i="1" s="1"/>
  <c r="AA790" i="1" a="1"/>
  <c r="AA790" i="1" s="1"/>
  <c r="AA789" i="1" a="1"/>
  <c r="AA789" i="1" s="1"/>
  <c r="AA787" i="1" a="1"/>
  <c r="AA787" i="1" s="1"/>
  <c r="AA786" i="1" a="1"/>
  <c r="AA786" i="1" s="1"/>
  <c r="AA785" i="1" a="1"/>
  <c r="AA785" i="1" s="1"/>
  <c r="AA784" i="1" a="1"/>
  <c r="AA784" i="1" s="1"/>
  <c r="AA783" i="1" a="1"/>
  <c r="AA783" i="1" s="1"/>
  <c r="AA782" i="1" a="1"/>
  <c r="AA782" i="1" s="1"/>
  <c r="AA781" i="1" a="1"/>
  <c r="AA781" i="1" s="1"/>
  <c r="AA780" i="1" a="1"/>
  <c r="AA780" i="1" s="1"/>
  <c r="AA779" i="1" a="1"/>
  <c r="AA779" i="1" s="1"/>
  <c r="AA778" i="1" a="1"/>
  <c r="AA778" i="1" s="1"/>
  <c r="AA777" i="1" a="1"/>
  <c r="AA777" i="1" s="1"/>
  <c r="AA776" i="1" a="1"/>
  <c r="AA776" i="1" s="1"/>
  <c r="AA775" i="1" a="1"/>
  <c r="AA775" i="1" s="1"/>
  <c r="AA774" i="1" a="1"/>
  <c r="AA774" i="1" s="1"/>
  <c r="AA773" i="1" a="1"/>
  <c r="AA773" i="1" s="1"/>
  <c r="AA772" i="1" a="1"/>
  <c r="AA772" i="1" s="1"/>
  <c r="AA771" i="1" a="1"/>
  <c r="AA771" i="1" s="1"/>
  <c r="AA770" i="1" a="1"/>
  <c r="AA770" i="1" s="1"/>
  <c r="AA769" i="1" a="1"/>
  <c r="AA769" i="1" s="1"/>
  <c r="AA768" i="1" a="1"/>
  <c r="AA768" i="1" s="1"/>
  <c r="AA767" i="1" a="1"/>
  <c r="AA767" i="1" s="1"/>
  <c r="AA766" i="1" a="1"/>
  <c r="AA766" i="1" s="1"/>
  <c r="AA765" i="1" a="1"/>
  <c r="AA765" i="1" s="1"/>
  <c r="AA763" i="1" a="1"/>
  <c r="AA763" i="1" s="1"/>
  <c r="AA762" i="1" a="1"/>
  <c r="AA762" i="1" s="1"/>
  <c r="AA761" i="1" a="1"/>
  <c r="AA761" i="1" s="1"/>
  <c r="AA760" i="1" a="1"/>
  <c r="AA760" i="1" s="1"/>
  <c r="AA759" i="1" a="1"/>
  <c r="AA759" i="1" s="1"/>
  <c r="AA758" i="1" a="1"/>
  <c r="AA758" i="1" s="1"/>
  <c r="AA757" i="1" a="1"/>
  <c r="AA757" i="1" s="1"/>
  <c r="AA756" i="1" a="1"/>
  <c r="AA756" i="1" s="1"/>
  <c r="AA755" i="1" a="1"/>
  <c r="AA755" i="1" s="1"/>
  <c r="AA754" i="1" a="1"/>
  <c r="AA754" i="1" s="1"/>
  <c r="AA753" i="1" a="1"/>
  <c r="AA753" i="1" s="1"/>
  <c r="AA752" i="1" a="1"/>
  <c r="AA752" i="1" s="1"/>
  <c r="AA751" i="1" a="1"/>
  <c r="AA751" i="1" s="1"/>
  <c r="AA750" i="1" a="1"/>
  <c r="AA750" i="1" s="1"/>
  <c r="AA748" i="1" a="1"/>
  <c r="AA748" i="1" s="1"/>
  <c r="AA747" i="1" a="1"/>
  <c r="AA747" i="1" s="1"/>
  <c r="AA745" i="1" a="1"/>
  <c r="AA745" i="1" s="1"/>
  <c r="AA746" i="1" a="1"/>
  <c r="AA746" i="1" s="1"/>
  <c r="AA744" i="1" a="1"/>
  <c r="AA744" i="1" s="1"/>
  <c r="AA743" i="1" a="1"/>
  <c r="AA743" i="1" s="1"/>
  <c r="AA742" i="1" a="1"/>
  <c r="AA742" i="1" s="1"/>
  <c r="AA741" i="1" a="1"/>
  <c r="AA741" i="1" s="1"/>
  <c r="AA739" i="1" a="1"/>
  <c r="AA739" i="1" s="1"/>
  <c r="AA737" i="1" a="1"/>
  <c r="AA737" i="1" s="1"/>
  <c r="AA736" i="1" a="1"/>
  <c r="AA736" i="1" s="1"/>
  <c r="AA735" i="1" a="1"/>
  <c r="AA735" i="1" s="1"/>
  <c r="AA734" i="1" a="1"/>
  <c r="AA734" i="1" s="1"/>
  <c r="AA733" i="1" a="1"/>
  <c r="AA733" i="1" s="1"/>
  <c r="AA732" i="1" a="1"/>
  <c r="AA732" i="1" s="1"/>
  <c r="AA731" i="1" a="1"/>
  <c r="AA731" i="1" s="1"/>
  <c r="AA730" i="1" a="1"/>
  <c r="AA730" i="1" s="1"/>
  <c r="AA729" i="1" a="1"/>
  <c r="AA729" i="1" s="1"/>
  <c r="AA728" i="1" a="1"/>
  <c r="AA728" i="1" s="1"/>
  <c r="AA727" i="1" a="1"/>
  <c r="AA727" i="1" s="1"/>
  <c r="AA726" i="1" a="1"/>
  <c r="AA726" i="1" s="1"/>
  <c r="AA724" i="1" a="1"/>
  <c r="AA724" i="1" s="1"/>
  <c r="AA723" i="1" a="1"/>
  <c r="AA723" i="1" s="1"/>
  <c r="AA722" i="1" a="1"/>
  <c r="AA722" i="1" s="1"/>
  <c r="AA721" i="1" a="1"/>
  <c r="AA721" i="1" s="1"/>
  <c r="AA720" i="1" a="1"/>
  <c r="AA720" i="1" s="1"/>
  <c r="AA719" i="1" a="1"/>
  <c r="AA719" i="1" s="1"/>
  <c r="AA718" i="1" a="1"/>
  <c r="AA718" i="1" s="1"/>
  <c r="AA717" i="1" a="1"/>
  <c r="AA717" i="1" s="1"/>
  <c r="AA841" i="1" a="1"/>
  <c r="AA841" i="1" s="1"/>
  <c r="AA716" i="1" a="1"/>
  <c r="AA716" i="1" s="1"/>
  <c r="AA715" i="1" a="1"/>
  <c r="AA715" i="1" s="1"/>
  <c r="AA714" i="1" a="1"/>
  <c r="AA714" i="1" s="1"/>
  <c r="AA712" i="1" a="1"/>
  <c r="AA712" i="1" s="1"/>
  <c r="AA711" i="1" a="1"/>
  <c r="AA711" i="1" s="1"/>
  <c r="AA710" i="1" a="1"/>
  <c r="AA710" i="1" s="1"/>
  <c r="AA709" i="1" a="1"/>
  <c r="AA709" i="1" s="1"/>
  <c r="AA708" i="1" a="1"/>
  <c r="AA708" i="1" s="1"/>
  <c r="AA707" i="1" a="1"/>
  <c r="AA707" i="1" s="1"/>
  <c r="AA706" i="1" a="1"/>
  <c r="AA706" i="1" s="1"/>
  <c r="AA705" i="1" a="1"/>
  <c r="AA705" i="1" s="1"/>
  <c r="AA704" i="1" a="1"/>
  <c r="AA704" i="1" s="1"/>
  <c r="AA703" i="1" a="1"/>
  <c r="AA703" i="1" s="1"/>
  <c r="AC703" i="1" s="1"/>
  <c r="AA702" i="1" a="1"/>
  <c r="AA702" i="1" s="1"/>
  <c r="AA701" i="1" a="1"/>
  <c r="AA701" i="1" s="1"/>
  <c r="AA700" i="1" a="1"/>
  <c r="AA700" i="1" s="1"/>
  <c r="AA699" i="1" a="1"/>
  <c r="AA699" i="1" s="1"/>
  <c r="AA698" i="1" a="1"/>
  <c r="AA698" i="1" s="1"/>
  <c r="AA697" i="1" a="1"/>
  <c r="AA697" i="1" s="1"/>
  <c r="AA696" i="1" a="1"/>
  <c r="AA696" i="1" s="1"/>
  <c r="AA695" i="1" a="1"/>
  <c r="AA695" i="1" s="1"/>
  <c r="AA694" i="1" a="1"/>
  <c r="AA694" i="1" s="1"/>
  <c r="AA693" i="1" a="1"/>
  <c r="AA693" i="1" s="1"/>
  <c r="AA692" i="1" a="1"/>
  <c r="AA692" i="1" s="1"/>
  <c r="AA691" i="1" a="1"/>
  <c r="AA691" i="1" s="1"/>
  <c r="AA690" i="1" a="1"/>
  <c r="AA690" i="1" s="1"/>
  <c r="AA689" i="1" a="1"/>
  <c r="AA689" i="1" s="1"/>
  <c r="AA688" i="1" a="1"/>
  <c r="AA688" i="1" s="1"/>
  <c r="AA687" i="1" a="1"/>
  <c r="AA687" i="1" s="1"/>
  <c r="AA686" i="1" a="1"/>
  <c r="AA686" i="1" s="1"/>
  <c r="AA685" i="1" a="1"/>
  <c r="AA685" i="1" s="1"/>
  <c r="AA684" i="1" a="1"/>
  <c r="AA684" i="1" s="1"/>
  <c r="AA683" i="1" a="1"/>
  <c r="AA683" i="1" s="1"/>
  <c r="AA682" i="1" a="1"/>
  <c r="AA682" i="1" s="1"/>
  <c r="AA681" i="1" a="1"/>
  <c r="AA681" i="1" s="1"/>
  <c r="AA680" i="1" a="1"/>
  <c r="AA680" i="1" s="1"/>
  <c r="AA679" i="1" a="1"/>
  <c r="AA679" i="1" s="1"/>
  <c r="AA678" i="1" a="1"/>
  <c r="AA678" i="1" s="1"/>
  <c r="AA677" i="1" a="1"/>
  <c r="AA677" i="1" s="1"/>
  <c r="AA676" i="1" a="1"/>
  <c r="AA676" i="1" s="1"/>
  <c r="AA675" i="1" a="1"/>
  <c r="AA675" i="1" s="1"/>
  <c r="AA674" i="1" a="1"/>
  <c r="AA674" i="1" s="1"/>
  <c r="AA673" i="1" a="1"/>
  <c r="AA673" i="1" s="1"/>
  <c r="AA220" i="1" a="1"/>
  <c r="AA220" i="1" s="1"/>
  <c r="AA672" i="1" a="1"/>
  <c r="AA672" i="1" s="1"/>
  <c r="AA671" i="1" a="1"/>
  <c r="AA671" i="1" s="1"/>
  <c r="AA670" i="1" a="1"/>
  <c r="AA670" i="1" s="1"/>
  <c r="AA669" i="1" a="1"/>
  <c r="AA669" i="1" s="1"/>
  <c r="AC669" i="1" s="1"/>
  <c r="AA668" i="1" a="1"/>
  <c r="AA668" i="1" s="1"/>
  <c r="AA667" i="1" a="1"/>
  <c r="AA667" i="1" s="1"/>
  <c r="AA666" i="1" a="1"/>
  <c r="AA666" i="1" s="1"/>
  <c r="AA665" i="1" a="1"/>
  <c r="AA665" i="1" s="1"/>
  <c r="AA1081" i="1" a="1"/>
  <c r="AA1081" i="1" s="1"/>
  <c r="AA664" i="1" a="1"/>
  <c r="AA664" i="1" s="1"/>
  <c r="AA663" i="1" a="1"/>
  <c r="AA663" i="1" s="1"/>
  <c r="AA662" i="1" a="1"/>
  <c r="AA662" i="1" s="1"/>
  <c r="AA661" i="1" a="1"/>
  <c r="AA661" i="1" s="1"/>
  <c r="AA660" i="1" a="1"/>
  <c r="AA660" i="1" s="1"/>
  <c r="AA659" i="1" a="1"/>
  <c r="AA659" i="1" s="1"/>
  <c r="AA658" i="1" a="1"/>
  <c r="AA658" i="1" s="1"/>
  <c r="AA657" i="1" a="1"/>
  <c r="AA657" i="1" s="1"/>
  <c r="AA656" i="1" a="1"/>
  <c r="AA656" i="1" s="1"/>
  <c r="AA655" i="1" a="1"/>
  <c r="AA655" i="1" s="1"/>
  <c r="AA654" i="1" a="1"/>
  <c r="AA654" i="1" s="1"/>
  <c r="AA653" i="1" a="1"/>
  <c r="AA653" i="1" s="1"/>
  <c r="AA652" i="1" a="1"/>
  <c r="AA652" i="1" s="1"/>
  <c r="AA651" i="1" a="1"/>
  <c r="AA651" i="1" s="1"/>
  <c r="AA650" i="1" a="1"/>
  <c r="AA650" i="1" s="1"/>
  <c r="AA649" i="1" a="1"/>
  <c r="AA649" i="1" s="1"/>
  <c r="AA648" i="1" a="1"/>
  <c r="AA648" i="1" s="1"/>
  <c r="AA647" i="1" a="1"/>
  <c r="AA647" i="1" s="1"/>
  <c r="AA646" i="1" a="1"/>
  <c r="AA646" i="1" s="1"/>
  <c r="AA645" i="1" a="1"/>
  <c r="AA645" i="1" s="1"/>
  <c r="AA644" i="1" a="1"/>
  <c r="AA644" i="1" s="1"/>
  <c r="AA643" i="1" a="1"/>
  <c r="AA643" i="1" s="1"/>
  <c r="AA642" i="1" a="1"/>
  <c r="AA642" i="1" s="1"/>
  <c r="AA641" i="1" a="1"/>
  <c r="AA641" i="1" s="1"/>
  <c r="AA640" i="1" a="1"/>
  <c r="AA640" i="1" s="1"/>
  <c r="AA639" i="1" a="1"/>
  <c r="AA639" i="1" s="1"/>
  <c r="AA638" i="1" a="1"/>
  <c r="AA638" i="1" s="1"/>
  <c r="AA637" i="1" a="1"/>
  <c r="AA637" i="1" s="1"/>
  <c r="AA1393" i="1" a="1"/>
  <c r="AA1393" i="1" s="1"/>
  <c r="AA635" i="1" a="1"/>
  <c r="AA635" i="1" s="1"/>
  <c r="AA634" i="1" a="1"/>
  <c r="AA634" i="1" s="1"/>
  <c r="AA633" i="1" a="1"/>
  <c r="AA633" i="1" s="1"/>
  <c r="AA632" i="1" a="1"/>
  <c r="AA632" i="1" s="1"/>
  <c r="AA631" i="1" a="1"/>
  <c r="AA631" i="1" s="1"/>
  <c r="AA630" i="1" a="1"/>
  <c r="AA630" i="1" s="1"/>
  <c r="AA629" i="1" a="1"/>
  <c r="AA629" i="1" s="1"/>
  <c r="AA628" i="1" a="1"/>
  <c r="AA628" i="1" s="1"/>
  <c r="AA627" i="1" a="1"/>
  <c r="AA627" i="1" s="1"/>
  <c r="AA933" i="1" a="1"/>
  <c r="AA933" i="1" s="1"/>
  <c r="AA934" i="1" a="1"/>
  <c r="AA934" i="1" s="1"/>
  <c r="AA626" i="1" a="1"/>
  <c r="AA626" i="1" s="1"/>
  <c r="AA625" i="1" a="1"/>
  <c r="AA625" i="1" s="1"/>
  <c r="AA624" i="1" a="1"/>
  <c r="AA624" i="1" s="1"/>
  <c r="AA623" i="1" a="1"/>
  <c r="AA623" i="1" s="1"/>
  <c r="AA622" i="1" a="1"/>
  <c r="AA622" i="1" s="1"/>
  <c r="AA621" i="1" a="1"/>
  <c r="AA621" i="1" s="1"/>
  <c r="AA620" i="1" a="1"/>
  <c r="AA620" i="1" s="1"/>
  <c r="AA619" i="1" a="1"/>
  <c r="AA619" i="1" s="1"/>
  <c r="AA618" i="1" a="1"/>
  <c r="AA618" i="1" s="1"/>
  <c r="AA617" i="1" a="1"/>
  <c r="AA617" i="1" s="1"/>
  <c r="AA616" i="1" a="1"/>
  <c r="AA616" i="1" s="1"/>
  <c r="AA615" i="1" a="1"/>
  <c r="AA615" i="1" s="1"/>
  <c r="AA614" i="1" a="1"/>
  <c r="AA614" i="1" s="1"/>
  <c r="AA613" i="1" a="1"/>
  <c r="AA613" i="1" s="1"/>
  <c r="AA612" i="1" a="1"/>
  <c r="AA612" i="1" s="1"/>
  <c r="AA611" i="1" a="1"/>
  <c r="AA611" i="1" s="1"/>
  <c r="AA610" i="1" a="1"/>
  <c r="AA610" i="1" s="1"/>
  <c r="AA609" i="1" a="1"/>
  <c r="AA609" i="1" s="1"/>
  <c r="AA608" i="1" a="1"/>
  <c r="AA608" i="1" s="1"/>
  <c r="AA607" i="1" a="1"/>
  <c r="AA607" i="1" s="1"/>
  <c r="AA606" i="1" a="1"/>
  <c r="AA606" i="1" s="1"/>
  <c r="AA605" i="1" a="1"/>
  <c r="AA605" i="1" s="1"/>
  <c r="AA604" i="1" a="1"/>
  <c r="AA604" i="1" s="1"/>
  <c r="AA603" i="1" a="1"/>
  <c r="AA603" i="1" s="1"/>
  <c r="AA602" i="1" a="1"/>
  <c r="AA602" i="1" s="1"/>
  <c r="AA601" i="1" a="1"/>
  <c r="AA601" i="1" s="1"/>
  <c r="AA600" i="1" a="1"/>
  <c r="AA600" i="1" s="1"/>
  <c r="AA598" i="1" a="1"/>
  <c r="AA598" i="1" s="1"/>
  <c r="AA597" i="1" a="1"/>
  <c r="AA597" i="1" s="1"/>
  <c r="AA596" i="1" a="1"/>
  <c r="AA596" i="1" s="1"/>
  <c r="AA595" i="1" a="1"/>
  <c r="AA595" i="1" s="1"/>
  <c r="AA594" i="1" a="1"/>
  <c r="AA594" i="1" s="1"/>
  <c r="AA593" i="1" a="1"/>
  <c r="AA593" i="1" s="1"/>
  <c r="AA592" i="1" a="1"/>
  <c r="AA592" i="1" s="1"/>
  <c r="AA591" i="1" a="1"/>
  <c r="AA591" i="1" s="1"/>
  <c r="AA590" i="1" a="1"/>
  <c r="AA590" i="1" s="1"/>
  <c r="AA588" i="1" a="1"/>
  <c r="AA588" i="1" s="1"/>
  <c r="AA587" i="1" a="1"/>
  <c r="AA587" i="1" s="1"/>
  <c r="AA586" i="1" a="1"/>
  <c r="AA586" i="1" s="1"/>
  <c r="AA585" i="1" a="1"/>
  <c r="AA585" i="1" s="1"/>
  <c r="AA584" i="1" a="1"/>
  <c r="AA584" i="1" s="1"/>
  <c r="AA583" i="1" a="1"/>
  <c r="AA583" i="1" s="1"/>
  <c r="AA582" i="1" a="1"/>
  <c r="AA582" i="1" s="1"/>
  <c r="AA581" i="1" a="1"/>
  <c r="AA581" i="1" s="1"/>
  <c r="AA580" i="1" a="1"/>
  <c r="AA580" i="1" s="1"/>
  <c r="AA579" i="1" a="1"/>
  <c r="AA579" i="1" s="1"/>
  <c r="AA578" i="1" a="1"/>
  <c r="AA578" i="1" s="1"/>
  <c r="AA577" i="1" a="1"/>
  <c r="AA577" i="1" s="1"/>
  <c r="AA576" i="1" a="1"/>
  <c r="AA576" i="1" s="1"/>
  <c r="AA575" i="1" a="1"/>
  <c r="AA575" i="1" s="1"/>
  <c r="AA574" i="1" a="1"/>
  <c r="AA574" i="1" s="1"/>
  <c r="AC574" i="1" s="1"/>
  <c r="AA573" i="1" a="1"/>
  <c r="AA573" i="1" s="1"/>
  <c r="AA572" i="1" a="1"/>
  <c r="AA572" i="1" s="1"/>
  <c r="AA571" i="1" a="1"/>
  <c r="AA571" i="1" s="1"/>
  <c r="AA569" i="1" a="1"/>
  <c r="AA569" i="1" s="1"/>
  <c r="AA568" i="1" a="1"/>
  <c r="AA568" i="1" s="1"/>
  <c r="AA567" i="1" a="1"/>
  <c r="AA567" i="1" s="1"/>
  <c r="AA566" i="1" a="1"/>
  <c r="AA566" i="1" s="1"/>
  <c r="AA565" i="1" a="1"/>
  <c r="AA565" i="1" s="1"/>
  <c r="AA564" i="1" a="1"/>
  <c r="AA564" i="1" s="1"/>
  <c r="AA563" i="1" a="1"/>
  <c r="AA563" i="1" s="1"/>
  <c r="AA562" i="1" a="1"/>
  <c r="AA562" i="1" s="1"/>
  <c r="AA561" i="1" a="1"/>
  <c r="AA561" i="1" s="1"/>
  <c r="AA560" i="1" a="1"/>
  <c r="AA560" i="1" s="1"/>
  <c r="AA559" i="1" a="1"/>
  <c r="AA559" i="1" s="1"/>
  <c r="AA558" i="1" a="1"/>
  <c r="AA558" i="1" s="1"/>
  <c r="AA557" i="1" a="1"/>
  <c r="AA557" i="1" s="1"/>
  <c r="AA556" i="1" a="1"/>
  <c r="AA556" i="1" s="1"/>
  <c r="AA1003" i="1" a="1"/>
  <c r="AA1003" i="1" s="1"/>
  <c r="AA555" i="1" a="1"/>
  <c r="AA555" i="1" s="1"/>
  <c r="AA554" i="1" a="1"/>
  <c r="AA554" i="1" s="1"/>
  <c r="AA553" i="1" a="1"/>
  <c r="AA553" i="1" s="1"/>
  <c r="AA552" i="1" a="1"/>
  <c r="AA552" i="1" s="1"/>
  <c r="AA551" i="1" a="1"/>
  <c r="AA551" i="1" s="1"/>
  <c r="AA550" i="1" a="1"/>
  <c r="AA550" i="1" s="1"/>
  <c r="AA549" i="1" a="1"/>
  <c r="AA549" i="1" s="1"/>
  <c r="AA548" i="1" a="1"/>
  <c r="AA548" i="1" s="1"/>
  <c r="AA547" i="1" a="1"/>
  <c r="AA547" i="1" s="1"/>
  <c r="AA546" i="1" a="1"/>
  <c r="AA546" i="1" s="1"/>
  <c r="AA544" i="1" a="1"/>
  <c r="AA544" i="1" s="1"/>
  <c r="AA543" i="1" a="1"/>
  <c r="AA543" i="1" s="1"/>
  <c r="AA542" i="1" a="1"/>
  <c r="AA542" i="1" s="1"/>
  <c r="AA541" i="1" a="1"/>
  <c r="AA541" i="1" s="1"/>
  <c r="AA540" i="1" a="1"/>
  <c r="AA540" i="1" s="1"/>
  <c r="AA788" i="1" a="1"/>
  <c r="AA788" i="1" s="1"/>
  <c r="AA539" i="1" a="1"/>
  <c r="AA539" i="1" s="1"/>
  <c r="AA538" i="1" a="1"/>
  <c r="AA538" i="1" s="1"/>
  <c r="AA537" i="1" a="1"/>
  <c r="AA537" i="1" s="1"/>
  <c r="AA536" i="1" a="1"/>
  <c r="AA536" i="1" s="1"/>
  <c r="AA535" i="1" a="1"/>
  <c r="AA535" i="1" s="1"/>
  <c r="AA534" i="1" a="1"/>
  <c r="AA534" i="1" s="1"/>
  <c r="AA533" i="1" a="1"/>
  <c r="AA533" i="1" s="1"/>
  <c r="AA532" i="1" a="1"/>
  <c r="AA532" i="1" s="1"/>
  <c r="AA531" i="1" a="1"/>
  <c r="AA531" i="1" s="1"/>
  <c r="AA530" i="1" a="1"/>
  <c r="AA530" i="1" s="1"/>
  <c r="AA528" i="1" a="1"/>
  <c r="AA528" i="1" s="1"/>
  <c r="AA527" i="1" a="1"/>
  <c r="AA527" i="1" s="1"/>
  <c r="AA526" i="1" a="1"/>
  <c r="AA526" i="1" s="1"/>
  <c r="AA525" i="1" a="1"/>
  <c r="AA525" i="1" s="1"/>
  <c r="AA523" i="1" a="1"/>
  <c r="AA523" i="1" s="1"/>
  <c r="AA522" i="1" a="1"/>
  <c r="AA522" i="1" s="1"/>
  <c r="AA521" i="1" a="1"/>
  <c r="AA521" i="1" s="1"/>
  <c r="AA520" i="1" a="1"/>
  <c r="AA520" i="1" s="1"/>
  <c r="AA519" i="1" a="1"/>
  <c r="AA519" i="1" s="1"/>
  <c r="AA518" i="1" a="1"/>
  <c r="AA518" i="1" s="1"/>
  <c r="AA517" i="1" a="1"/>
  <c r="AA517" i="1" s="1"/>
  <c r="AA516" i="1" a="1"/>
  <c r="AA516" i="1" s="1"/>
  <c r="AA515" i="1" a="1"/>
  <c r="AA515" i="1" s="1"/>
  <c r="AA514" i="1" a="1"/>
  <c r="AA514" i="1" s="1"/>
  <c r="AA513" i="1" a="1"/>
  <c r="AA513" i="1" s="1"/>
  <c r="AA512" i="1" a="1"/>
  <c r="AA512" i="1" s="1"/>
  <c r="AA511" i="1" a="1"/>
  <c r="AA511" i="1" s="1"/>
  <c r="AA510" i="1" a="1"/>
  <c r="AA510" i="1" s="1"/>
  <c r="AA509" i="1" a="1"/>
  <c r="AA509" i="1" s="1"/>
  <c r="AA508" i="1" a="1"/>
  <c r="AA508" i="1" s="1"/>
  <c r="AA507" i="1" a="1"/>
  <c r="AA507" i="1" s="1"/>
  <c r="AA506" i="1" a="1"/>
  <c r="AA506" i="1" s="1"/>
  <c r="AA505" i="1" a="1"/>
  <c r="AA505" i="1" s="1"/>
  <c r="AA504" i="1" a="1"/>
  <c r="AA504" i="1" s="1"/>
  <c r="AA503" i="1" a="1"/>
  <c r="AA503" i="1" s="1"/>
  <c r="AA502" i="1" a="1"/>
  <c r="AA502" i="1" s="1"/>
  <c r="AA501" i="1" a="1"/>
  <c r="AA501" i="1" s="1"/>
  <c r="AA500" i="1" a="1"/>
  <c r="AA500" i="1" s="1"/>
  <c r="AA499" i="1" a="1"/>
  <c r="AA499" i="1" s="1"/>
  <c r="AA498" i="1" a="1"/>
  <c r="AA498" i="1" s="1"/>
  <c r="AA497" i="1" a="1"/>
  <c r="AA497" i="1" s="1"/>
  <c r="AA496" i="1" a="1"/>
  <c r="AA496" i="1" s="1"/>
  <c r="AA495" i="1" a="1"/>
  <c r="AA495" i="1" s="1"/>
  <c r="AA494" i="1" a="1"/>
  <c r="AA494" i="1" s="1"/>
  <c r="AA493" i="1" a="1"/>
  <c r="AA493" i="1" s="1"/>
  <c r="AA492" i="1" a="1"/>
  <c r="AA492" i="1" s="1"/>
  <c r="AA491" i="1" a="1"/>
  <c r="AA491" i="1" s="1"/>
  <c r="AA490" i="1" a="1"/>
  <c r="AA490" i="1" s="1"/>
  <c r="AA489" i="1" a="1"/>
  <c r="AA489" i="1" s="1"/>
  <c r="AA488" i="1" a="1"/>
  <c r="AA488" i="1" s="1"/>
  <c r="AA487" i="1" a="1"/>
  <c r="AA487" i="1" s="1"/>
  <c r="AA486" i="1" a="1"/>
  <c r="AA486" i="1" s="1"/>
  <c r="AA485" i="1" a="1"/>
  <c r="AA485" i="1" s="1"/>
  <c r="AA484" i="1" a="1"/>
  <c r="AA484" i="1" s="1"/>
  <c r="AA483" i="1" a="1"/>
  <c r="AA483" i="1" s="1"/>
  <c r="AA482" i="1" a="1"/>
  <c r="AA482" i="1" s="1"/>
  <c r="AA481" i="1" a="1"/>
  <c r="AA481" i="1" s="1"/>
  <c r="AA480" i="1" a="1"/>
  <c r="AA480" i="1" s="1"/>
  <c r="AA479" i="1" a="1"/>
  <c r="AA479" i="1" s="1"/>
  <c r="AA478" i="1" a="1"/>
  <c r="AA478" i="1" s="1"/>
  <c r="AA477" i="1" a="1"/>
  <c r="AA477" i="1" s="1"/>
  <c r="AA476" i="1" a="1"/>
  <c r="AA476" i="1" s="1"/>
  <c r="AA475" i="1" a="1"/>
  <c r="AA475" i="1" s="1"/>
  <c r="AA474" i="1" a="1"/>
  <c r="AA474" i="1" s="1"/>
  <c r="AA473" i="1" a="1"/>
  <c r="AA473" i="1" s="1"/>
  <c r="AA472" i="1" a="1"/>
  <c r="AA472" i="1" s="1"/>
  <c r="AA471" i="1" a="1"/>
  <c r="AA471" i="1" s="1"/>
  <c r="AA470" i="1" a="1"/>
  <c r="AA470" i="1" s="1"/>
  <c r="AA469" i="1" a="1"/>
  <c r="AA469" i="1" s="1"/>
  <c r="AA468" i="1" a="1"/>
  <c r="AA468" i="1" s="1"/>
  <c r="AA467" i="1" a="1"/>
  <c r="AA467" i="1" s="1"/>
  <c r="AA466" i="1" a="1"/>
  <c r="AA466" i="1" s="1"/>
  <c r="AA465" i="1" a="1"/>
  <c r="AA465" i="1" s="1"/>
  <c r="AA464" i="1" a="1"/>
  <c r="AA464" i="1" s="1"/>
  <c r="AA463" i="1" a="1"/>
  <c r="AA463" i="1" s="1"/>
  <c r="AA462" i="1" a="1"/>
  <c r="AA462" i="1" s="1"/>
  <c r="AA461" i="1" a="1"/>
  <c r="AA461" i="1" s="1"/>
  <c r="AA460" i="1" a="1"/>
  <c r="AA460" i="1" s="1"/>
  <c r="AA459" i="1" a="1"/>
  <c r="AA459" i="1" s="1"/>
  <c r="AA458" i="1" a="1"/>
  <c r="AA458" i="1" s="1"/>
  <c r="AA457" i="1" a="1"/>
  <c r="AA457" i="1" s="1"/>
  <c r="AA456" i="1" a="1"/>
  <c r="AA456" i="1" s="1"/>
  <c r="AA455" i="1" a="1"/>
  <c r="AA455" i="1" s="1"/>
  <c r="AA454" i="1" a="1"/>
  <c r="AA454" i="1" s="1"/>
  <c r="AA453" i="1" a="1"/>
  <c r="AA453" i="1" s="1"/>
  <c r="AA452" i="1" a="1"/>
  <c r="AA452" i="1" s="1"/>
  <c r="AA451" i="1" a="1"/>
  <c r="AA451" i="1" s="1"/>
  <c r="AA450" i="1" a="1"/>
  <c r="AA450" i="1" s="1"/>
  <c r="AA449" i="1" a="1"/>
  <c r="AA449" i="1" s="1"/>
  <c r="AA448" i="1" a="1"/>
  <c r="AA448" i="1" s="1"/>
  <c r="AA447" i="1" a="1"/>
  <c r="AA447" i="1" s="1"/>
  <c r="AA446" i="1" a="1"/>
  <c r="AA446" i="1" s="1"/>
  <c r="AA444" i="1" a="1"/>
  <c r="AA444" i="1" s="1"/>
  <c r="AA443" i="1" a="1"/>
  <c r="AA443" i="1" s="1"/>
  <c r="AA442" i="1" a="1"/>
  <c r="AA442" i="1" s="1"/>
  <c r="AA441" i="1" a="1"/>
  <c r="AA441" i="1" s="1"/>
  <c r="AA440" i="1" a="1"/>
  <c r="AA440" i="1" s="1"/>
  <c r="AA439" i="1" a="1"/>
  <c r="AA439" i="1" s="1"/>
  <c r="AA438" i="1" a="1"/>
  <c r="AA438" i="1" s="1"/>
  <c r="AA437" i="1" a="1"/>
  <c r="AA437" i="1" s="1"/>
  <c r="AA436" i="1" a="1"/>
  <c r="AA436" i="1" s="1"/>
  <c r="AA434" i="1" a="1"/>
  <c r="AA434" i="1" s="1"/>
  <c r="AA433" i="1" a="1"/>
  <c r="AA433" i="1" s="1"/>
  <c r="AA432" i="1" a="1"/>
  <c r="AA432" i="1" s="1"/>
  <c r="AA431" i="1" a="1"/>
  <c r="AA431" i="1" s="1"/>
  <c r="AA430" i="1" a="1"/>
  <c r="AA430" i="1" s="1"/>
  <c r="AA429" i="1" a="1"/>
  <c r="AA429" i="1" s="1"/>
  <c r="AA428" i="1" a="1"/>
  <c r="AA428" i="1" s="1"/>
  <c r="AA427" i="1" a="1"/>
  <c r="AA427" i="1" s="1"/>
  <c r="AA1129" i="1" a="1"/>
  <c r="AA1129" i="1" s="1"/>
  <c r="AA426" i="1" a="1"/>
  <c r="AA426" i="1" s="1"/>
  <c r="AA425" i="1" a="1"/>
  <c r="AA425" i="1" s="1"/>
  <c r="AA424" i="1" a="1"/>
  <c r="AA424" i="1" s="1"/>
  <c r="AA423" i="1" a="1"/>
  <c r="AA423" i="1" s="1"/>
  <c r="AA422" i="1" a="1"/>
  <c r="AA422" i="1" s="1"/>
  <c r="AA1135" i="1" a="1"/>
  <c r="AA1135" i="1" s="1"/>
  <c r="AA421" i="1" a="1"/>
  <c r="AA421" i="1" s="1"/>
  <c r="AA420" i="1" a="1"/>
  <c r="AA420" i="1" s="1"/>
  <c r="AA419" i="1" a="1"/>
  <c r="AA419" i="1" s="1"/>
  <c r="AA418" i="1" a="1"/>
  <c r="AA418" i="1" s="1"/>
  <c r="AA417" i="1" a="1"/>
  <c r="AA417" i="1" s="1"/>
  <c r="AA416" i="1" a="1"/>
  <c r="AA416" i="1" s="1"/>
  <c r="AA415" i="1" a="1"/>
  <c r="AA415" i="1" s="1"/>
  <c r="AA414" i="1" a="1"/>
  <c r="AA414" i="1" s="1"/>
  <c r="AA413" i="1" a="1"/>
  <c r="AA413" i="1" s="1"/>
  <c r="AA412" i="1" a="1"/>
  <c r="AA412" i="1" s="1"/>
  <c r="AA411" i="1" a="1"/>
  <c r="AA411" i="1" s="1"/>
  <c r="AA410" i="1" a="1"/>
  <c r="AA410" i="1" s="1"/>
  <c r="AA409" i="1" a="1"/>
  <c r="AA409" i="1" s="1"/>
  <c r="AA408" i="1" a="1"/>
  <c r="AA408" i="1" s="1"/>
  <c r="AA1150" i="1" a="1"/>
  <c r="AA1150" i="1" s="1"/>
  <c r="AA407" i="1" a="1"/>
  <c r="AA407" i="1" s="1"/>
  <c r="AA406" i="1" a="1"/>
  <c r="AA406" i="1" s="1"/>
  <c r="AA405" i="1" a="1"/>
  <c r="AA405" i="1" s="1"/>
  <c r="AA403" i="1" a="1"/>
  <c r="AA403" i="1" s="1"/>
  <c r="AA402" i="1" a="1"/>
  <c r="AA402" i="1" s="1"/>
  <c r="AA401" i="1" a="1"/>
  <c r="AA401" i="1" s="1"/>
  <c r="AA400" i="1" a="1"/>
  <c r="AA400" i="1" s="1"/>
  <c r="AA399" i="1" a="1"/>
  <c r="AA399" i="1" s="1"/>
  <c r="AA398" i="1" a="1"/>
  <c r="AA398" i="1" s="1"/>
  <c r="AA397" i="1" a="1"/>
  <c r="AA397" i="1" s="1"/>
  <c r="AA396" i="1" a="1"/>
  <c r="AA396" i="1" s="1"/>
  <c r="AA395" i="1" a="1"/>
  <c r="AA395" i="1" s="1"/>
  <c r="AA394" i="1" a="1"/>
  <c r="AA394" i="1" s="1"/>
  <c r="AA393" i="1" a="1"/>
  <c r="AA393" i="1" s="1"/>
  <c r="AA392" i="1" a="1"/>
  <c r="AA392" i="1" s="1"/>
  <c r="AA391" i="1" a="1"/>
  <c r="AA391" i="1" s="1"/>
  <c r="AA390" i="1" a="1"/>
  <c r="AA390" i="1" s="1"/>
  <c r="AA389" i="1" a="1"/>
  <c r="AA389" i="1" s="1"/>
  <c r="AA388" i="1" a="1"/>
  <c r="AA388" i="1" s="1"/>
  <c r="AA387" i="1" a="1"/>
  <c r="AA387" i="1" s="1"/>
  <c r="AA386" i="1" a="1"/>
  <c r="AA386" i="1" s="1"/>
  <c r="AA1172" i="1" a="1"/>
  <c r="AA1172" i="1" s="1"/>
  <c r="AA385" i="1" a="1"/>
  <c r="AA385" i="1" s="1"/>
  <c r="AA384" i="1" a="1"/>
  <c r="AA384" i="1" s="1"/>
  <c r="AA383" i="1" a="1"/>
  <c r="AA383" i="1" s="1"/>
  <c r="AA382" i="1" a="1"/>
  <c r="AA382" i="1" s="1"/>
  <c r="AA381" i="1" a="1"/>
  <c r="AA381" i="1" s="1"/>
  <c r="AA380" i="1" a="1"/>
  <c r="AA380" i="1" s="1"/>
  <c r="AA379" i="1" a="1"/>
  <c r="AA379" i="1" s="1"/>
  <c r="AA378" i="1" a="1"/>
  <c r="AA378" i="1" s="1"/>
  <c r="AA377" i="1" a="1"/>
  <c r="AA377" i="1" s="1"/>
  <c r="AA376" i="1" a="1"/>
  <c r="AA376" i="1" s="1"/>
  <c r="AA374" i="1" a="1"/>
  <c r="AA374" i="1" s="1"/>
  <c r="AA372" i="1" a="1"/>
  <c r="AA372" i="1" s="1"/>
  <c r="AA370" i="1" a="1"/>
  <c r="AA370" i="1" s="1"/>
  <c r="AA369" i="1" a="1"/>
  <c r="AA369" i="1" s="1"/>
  <c r="AA368" i="1" a="1"/>
  <c r="AA368" i="1" s="1"/>
  <c r="AA367" i="1" a="1"/>
  <c r="AA367" i="1" s="1"/>
  <c r="AA366" i="1" a="1"/>
  <c r="AA366" i="1" s="1"/>
  <c r="AA365" i="1" a="1"/>
  <c r="AA365" i="1" s="1"/>
  <c r="AA364" i="1" a="1"/>
  <c r="AA364" i="1" s="1"/>
  <c r="AA363" i="1" a="1"/>
  <c r="AA363" i="1" s="1"/>
  <c r="AA362" i="1" a="1"/>
  <c r="AA362" i="1" s="1"/>
  <c r="AA361" i="1" a="1"/>
  <c r="AA361" i="1" s="1"/>
  <c r="AA360" i="1" a="1"/>
  <c r="AA360" i="1" s="1"/>
  <c r="AA359" i="1" a="1"/>
  <c r="AA359" i="1" s="1"/>
  <c r="AA358" i="1" a="1"/>
  <c r="AA358" i="1" s="1"/>
  <c r="AA357" i="1" a="1"/>
  <c r="AA357" i="1" s="1"/>
  <c r="AA356" i="1" a="1"/>
  <c r="AA356" i="1" s="1"/>
  <c r="AA355" i="1" a="1"/>
  <c r="AA355" i="1" s="1"/>
  <c r="AA354" i="1" a="1"/>
  <c r="AA354" i="1" s="1"/>
  <c r="AA353" i="1" a="1"/>
  <c r="AA353" i="1" s="1"/>
  <c r="AA352" i="1" a="1"/>
  <c r="AA352" i="1" s="1"/>
  <c r="AA351" i="1" a="1"/>
  <c r="AA351" i="1" s="1"/>
  <c r="AA350" i="1" a="1"/>
  <c r="AA350" i="1" s="1"/>
  <c r="AA349" i="1" a="1"/>
  <c r="AA349" i="1" s="1"/>
  <c r="AA348" i="1" a="1"/>
  <c r="AA348" i="1" s="1"/>
  <c r="AA347" i="1" a="1"/>
  <c r="AA347" i="1" s="1"/>
  <c r="AA346" i="1" a="1"/>
  <c r="AA346" i="1" s="1"/>
  <c r="AA345" i="1" a="1"/>
  <c r="AA345" i="1" s="1"/>
  <c r="AA1211" i="1" a="1"/>
  <c r="AA1211" i="1" s="1"/>
  <c r="AA344" i="1" a="1"/>
  <c r="AA344" i="1" s="1"/>
  <c r="AA343" i="1" a="1"/>
  <c r="AA343" i="1" s="1"/>
  <c r="AA341" i="1" a="1"/>
  <c r="AA341" i="1" s="1"/>
  <c r="AA340" i="1" a="1"/>
  <c r="AA340" i="1" s="1"/>
  <c r="AA339" i="1" a="1"/>
  <c r="AA339" i="1" s="1"/>
  <c r="AA338" i="1" a="1"/>
  <c r="AA338" i="1" s="1"/>
  <c r="AA337" i="1" a="1"/>
  <c r="AA337" i="1" s="1"/>
  <c r="AA336" i="1" a="1"/>
  <c r="AA336" i="1" s="1"/>
  <c r="AA335" i="1" a="1"/>
  <c r="AA335" i="1" s="1"/>
  <c r="AA334" i="1" a="1"/>
  <c r="AA334" i="1" s="1"/>
  <c r="AA333" i="1" a="1"/>
  <c r="AA333" i="1" s="1"/>
  <c r="AA331" i="1" a="1"/>
  <c r="AA331" i="1" s="1"/>
  <c r="AA330" i="1" a="1"/>
  <c r="AA330" i="1" s="1"/>
  <c r="AA329" i="1" a="1"/>
  <c r="AA329" i="1" s="1"/>
  <c r="AA328" i="1" a="1"/>
  <c r="AA328" i="1" s="1"/>
  <c r="AA327" i="1" a="1"/>
  <c r="AA327" i="1" s="1"/>
  <c r="AA332" i="1" a="1"/>
  <c r="AA332" i="1" s="1"/>
  <c r="AA326" i="1" a="1"/>
  <c r="AA326" i="1" s="1"/>
  <c r="AA325" i="1" a="1"/>
  <c r="AA325" i="1" s="1"/>
  <c r="AA1231" i="1" a="1"/>
  <c r="AA1231" i="1" s="1"/>
  <c r="AA324" i="1" a="1"/>
  <c r="AA324" i="1" s="1"/>
  <c r="AA323" i="1" a="1"/>
  <c r="AA323" i="1" s="1"/>
  <c r="AA321" i="1" a="1"/>
  <c r="AA321" i="1" s="1"/>
  <c r="AA320" i="1" a="1"/>
  <c r="AA320" i="1" s="1"/>
  <c r="AA319" i="1" a="1"/>
  <c r="AA319" i="1" s="1"/>
  <c r="AA318" i="1" a="1"/>
  <c r="AA318" i="1" s="1"/>
  <c r="AA317" i="1" a="1"/>
  <c r="AA317" i="1" s="1"/>
  <c r="AA316" i="1" a="1"/>
  <c r="AA316" i="1" s="1"/>
  <c r="AA315" i="1" a="1"/>
  <c r="AA315" i="1" s="1"/>
  <c r="AA314" i="1" a="1"/>
  <c r="AA314" i="1" s="1"/>
  <c r="AA313" i="1" a="1"/>
  <c r="AA313" i="1" s="1"/>
  <c r="AA312" i="1" a="1"/>
  <c r="AA312" i="1" s="1"/>
  <c r="AA311" i="1" a="1"/>
  <c r="AA311" i="1" s="1"/>
  <c r="AA310" i="1" a="1"/>
  <c r="AA310" i="1" s="1"/>
  <c r="AA309" i="1" a="1"/>
  <c r="AA309" i="1" s="1"/>
  <c r="AA308" i="1" a="1"/>
  <c r="AA308" i="1" s="1"/>
  <c r="AA307" i="1" a="1"/>
  <c r="AA307" i="1" s="1"/>
  <c r="AA306" i="1" a="1"/>
  <c r="AA306" i="1" s="1"/>
  <c r="AA305" i="1" a="1"/>
  <c r="AA305" i="1" s="1"/>
  <c r="AA304" i="1" a="1"/>
  <c r="AA304" i="1" s="1"/>
  <c r="AA303" i="1" a="1"/>
  <c r="AA303" i="1" s="1"/>
  <c r="AA302" i="1" a="1"/>
  <c r="AA302" i="1" s="1"/>
  <c r="AA301" i="1" a="1"/>
  <c r="AA301" i="1" s="1"/>
  <c r="AA299" i="1" a="1"/>
  <c r="AA299" i="1" s="1"/>
  <c r="AA298" i="1" a="1"/>
  <c r="AA298" i="1" s="1"/>
  <c r="AA297" i="1" a="1"/>
  <c r="AA297" i="1" s="1"/>
  <c r="AA296" i="1" a="1"/>
  <c r="AA296" i="1" s="1"/>
  <c r="AA295" i="1" a="1"/>
  <c r="AA295" i="1" s="1"/>
  <c r="AA294" i="1" a="1"/>
  <c r="AA294" i="1" s="1"/>
  <c r="AA293" i="1" a="1"/>
  <c r="AA293" i="1" s="1"/>
  <c r="AA292" i="1" a="1"/>
  <c r="AA292" i="1" s="1"/>
  <c r="AC292" i="1" s="1"/>
  <c r="AA291" i="1" a="1"/>
  <c r="AA291" i="1" s="1"/>
  <c r="AA290" i="1" a="1"/>
  <c r="AA290" i="1" s="1"/>
  <c r="AA289" i="1" a="1"/>
  <c r="AA289" i="1" s="1"/>
  <c r="AA287" i="1" a="1"/>
  <c r="AA287" i="1" s="1"/>
  <c r="AA286" i="1" a="1"/>
  <c r="AA286" i="1" s="1"/>
  <c r="AA1268" i="1" a="1"/>
  <c r="AA1268" i="1" s="1"/>
  <c r="AA1269" i="1" a="1"/>
  <c r="AA1269" i="1" s="1"/>
  <c r="AA285" i="1" a="1"/>
  <c r="AA285" i="1" s="1"/>
  <c r="AA284" i="1" a="1"/>
  <c r="AA284" i="1" s="1"/>
  <c r="AA283" i="1" a="1"/>
  <c r="AA283" i="1" s="1"/>
  <c r="AA282" i="1" a="1"/>
  <c r="AA282" i="1" s="1"/>
  <c r="AA281" i="1" a="1"/>
  <c r="AA281" i="1" s="1"/>
  <c r="AA280" i="1" a="1"/>
  <c r="AA280" i="1" s="1"/>
  <c r="AA279" i="1" a="1"/>
  <c r="AA279" i="1" s="1"/>
  <c r="AA278" i="1" a="1"/>
  <c r="AA278" i="1" s="1"/>
  <c r="AA277" i="1" a="1"/>
  <c r="AA277" i="1" s="1"/>
  <c r="AA276" i="1" a="1"/>
  <c r="AA276" i="1" s="1"/>
  <c r="AA1280" i="1" a="1"/>
  <c r="AA1280" i="1" s="1"/>
  <c r="AA275" i="1" a="1"/>
  <c r="AA275" i="1" s="1"/>
  <c r="AA274" i="1" a="1"/>
  <c r="AA274" i="1" s="1"/>
  <c r="AA273" i="1" a="1"/>
  <c r="AA273" i="1" s="1"/>
  <c r="AA272" i="1" a="1"/>
  <c r="AA272" i="1" s="1"/>
  <c r="AA271" i="1" a="1"/>
  <c r="AA271" i="1" s="1"/>
  <c r="AC271" i="1" s="1"/>
  <c r="AA270" i="1" a="1"/>
  <c r="AA270" i="1" s="1"/>
  <c r="AA269" i="1" a="1"/>
  <c r="AA269" i="1" s="1"/>
  <c r="AA268" i="1" a="1"/>
  <c r="AA268" i="1" s="1"/>
  <c r="AA267" i="1" a="1"/>
  <c r="AA267" i="1" s="1"/>
  <c r="AA266" i="1" a="1"/>
  <c r="AA266" i="1" s="1"/>
  <c r="AA265" i="1" a="1"/>
  <c r="AA265" i="1" s="1"/>
  <c r="AA264" i="1" a="1"/>
  <c r="AA264" i="1" s="1"/>
  <c r="AA263" i="1" a="1"/>
  <c r="AA263" i="1" s="1"/>
  <c r="AA262" i="1" a="1"/>
  <c r="AA262" i="1" s="1"/>
  <c r="AA261" i="1" a="1"/>
  <c r="AA261" i="1" s="1"/>
  <c r="AA260" i="1" a="1"/>
  <c r="AA260" i="1" s="1"/>
  <c r="AA259" i="1" a="1"/>
  <c r="AA259" i="1" s="1"/>
  <c r="AA258" i="1" a="1"/>
  <c r="AA258" i="1" s="1"/>
  <c r="AA257" i="1" a="1"/>
  <c r="AA257" i="1" s="1"/>
  <c r="AA1300" i="1" a="1"/>
  <c r="AA1300" i="1" s="1"/>
  <c r="AA256" i="1" a="1"/>
  <c r="AA256" i="1" s="1"/>
  <c r="AA255" i="1" a="1"/>
  <c r="AA255" i="1" s="1"/>
  <c r="AA254" i="1" a="1"/>
  <c r="AA254" i="1" s="1"/>
  <c r="AA253" i="1" a="1"/>
  <c r="AA253" i="1" s="1"/>
  <c r="AA252" i="1" a="1"/>
  <c r="AA252" i="1" s="1"/>
  <c r="AA251" i="1" a="1"/>
  <c r="AA251" i="1" s="1"/>
  <c r="AA250" i="1" a="1"/>
  <c r="AA250" i="1" s="1"/>
  <c r="AA249" i="1" a="1"/>
  <c r="AA249" i="1" s="1"/>
  <c r="AA248" i="1" a="1"/>
  <c r="AA248" i="1" s="1"/>
  <c r="AA247" i="1" a="1"/>
  <c r="AA247" i="1" s="1"/>
  <c r="AA246" i="1" a="1"/>
  <c r="AA246" i="1" s="1"/>
  <c r="AA245" i="1" a="1"/>
  <c r="AA245" i="1" s="1"/>
  <c r="AA244" i="1" a="1"/>
  <c r="AA244" i="1" s="1"/>
  <c r="AA243" i="1" a="1"/>
  <c r="AA243" i="1" s="1"/>
  <c r="AA242" i="1" a="1"/>
  <c r="AA242" i="1" s="1"/>
  <c r="AA241" i="1" a="1"/>
  <c r="AA241" i="1" s="1"/>
  <c r="AA240" i="1" a="1"/>
  <c r="AA240" i="1" s="1"/>
  <c r="AA239" i="1" a="1"/>
  <c r="AA239" i="1" s="1"/>
  <c r="AA238" i="1" a="1"/>
  <c r="AA238" i="1" s="1"/>
  <c r="AA237" i="1" a="1"/>
  <c r="AA237" i="1" s="1"/>
  <c r="AA236" i="1" a="1"/>
  <c r="AA236" i="1" s="1"/>
  <c r="AA235" i="1" a="1"/>
  <c r="AA235" i="1" s="1"/>
  <c r="AA234" i="1" a="1"/>
  <c r="AA234" i="1" s="1"/>
  <c r="AA233" i="1" a="1"/>
  <c r="AA233" i="1" s="1"/>
  <c r="AA232" i="1" a="1"/>
  <c r="AA232" i="1" s="1"/>
  <c r="AA231" i="1" a="1"/>
  <c r="AA231" i="1" s="1"/>
  <c r="AA230" i="1" a="1"/>
  <c r="AA230" i="1" s="1"/>
  <c r="AA228" i="1" a="1"/>
  <c r="AA228" i="1" s="1"/>
  <c r="AA227" i="1" a="1"/>
  <c r="AA227" i="1" s="1"/>
  <c r="AA226" i="1" a="1"/>
  <c r="AA226" i="1" s="1"/>
  <c r="AA225" i="1" a="1"/>
  <c r="AA225" i="1" s="1"/>
  <c r="AA224" i="1" a="1"/>
  <c r="AA224" i="1" s="1"/>
  <c r="AA223" i="1" a="1"/>
  <c r="AA223" i="1" s="1"/>
  <c r="AA222" i="1" a="1"/>
  <c r="AA222" i="1" s="1"/>
  <c r="AA221" i="1" a="1"/>
  <c r="AA221" i="1" s="1"/>
  <c r="AA219" i="1" a="1"/>
  <c r="AA219" i="1" s="1"/>
  <c r="AA218" i="1" a="1"/>
  <c r="AA218" i="1" s="1"/>
  <c r="AA217" i="1" a="1"/>
  <c r="AA217" i="1" s="1"/>
  <c r="AA216" i="1" a="1"/>
  <c r="AA216" i="1" s="1"/>
  <c r="AA215" i="1" a="1"/>
  <c r="AA215" i="1" s="1"/>
  <c r="AA214" i="1" a="1"/>
  <c r="AA214" i="1" s="1"/>
  <c r="AA213" i="1" a="1"/>
  <c r="AA213" i="1" s="1"/>
  <c r="AA212" i="1" a="1"/>
  <c r="AA212" i="1" s="1"/>
  <c r="AA211" i="1" a="1"/>
  <c r="AA211" i="1" s="1"/>
  <c r="AA210" i="1" a="1"/>
  <c r="AA210" i="1" s="1"/>
  <c r="AA209" i="1" a="1"/>
  <c r="AA209" i="1" s="1"/>
  <c r="AA208" i="1" a="1"/>
  <c r="AA208" i="1" s="1"/>
  <c r="AA207" i="1" a="1"/>
  <c r="AA207" i="1" s="1"/>
  <c r="AA206" i="1" a="1"/>
  <c r="AA206" i="1" s="1"/>
  <c r="AA204" i="1" a="1"/>
  <c r="AA204" i="1" s="1"/>
  <c r="AA203" i="1" a="1"/>
  <c r="AA203" i="1" s="1"/>
  <c r="AA202" i="1" a="1"/>
  <c r="AA202" i="1" s="1"/>
  <c r="AA201" i="1" a="1"/>
  <c r="AA201" i="1" s="1"/>
  <c r="AA200" i="1" a="1"/>
  <c r="AA200" i="1" s="1"/>
  <c r="AA199" i="1" a="1"/>
  <c r="AA199" i="1" s="1"/>
  <c r="AA198" i="1" a="1"/>
  <c r="AA198" i="1" s="1"/>
  <c r="AA197" i="1" a="1"/>
  <c r="AA197" i="1" s="1"/>
  <c r="AA196" i="1" a="1"/>
  <c r="AA196" i="1" s="1"/>
  <c r="AA195" i="1" a="1"/>
  <c r="AA195" i="1" s="1"/>
  <c r="AA194" i="1" a="1"/>
  <c r="AA194" i="1" s="1"/>
  <c r="AA193" i="1" a="1"/>
  <c r="AA193" i="1" s="1"/>
  <c r="AA192" i="1" a="1"/>
  <c r="AA192" i="1" s="1"/>
  <c r="AA191" i="1" a="1"/>
  <c r="AA191" i="1" s="1"/>
  <c r="AA190" i="1" a="1"/>
  <c r="AA190" i="1" s="1"/>
  <c r="AA189" i="1" a="1"/>
  <c r="AA189" i="1" s="1"/>
  <c r="AA188" i="1" a="1"/>
  <c r="AA188" i="1" s="1"/>
  <c r="AA187" i="1" a="1"/>
  <c r="AA187" i="1" s="1"/>
  <c r="AA185" i="1" a="1"/>
  <c r="AA185" i="1" s="1"/>
  <c r="AA184" i="1" a="1"/>
  <c r="AA184" i="1" s="1"/>
  <c r="AA182" i="1" a="1"/>
  <c r="AA182" i="1" s="1"/>
  <c r="AA181" i="1" a="1"/>
  <c r="AA181" i="1" s="1"/>
  <c r="AA180" i="1" a="1"/>
  <c r="AA180" i="1" s="1"/>
  <c r="AA179" i="1" a="1"/>
  <c r="AA179" i="1" s="1"/>
  <c r="AA178" i="1" a="1"/>
  <c r="AA178" i="1" s="1"/>
  <c r="AA177" i="1" a="1"/>
  <c r="AA177" i="1" s="1"/>
  <c r="AA175" i="1" a="1"/>
  <c r="AA175" i="1" s="1"/>
  <c r="AA174" i="1" a="1"/>
  <c r="AA174" i="1" s="1"/>
  <c r="AA173" i="1" a="1"/>
  <c r="AA173" i="1" s="1"/>
  <c r="AA172" i="1" a="1"/>
  <c r="AA172" i="1" s="1"/>
  <c r="AA171" i="1" a="1"/>
  <c r="AA171" i="1" s="1"/>
  <c r="AA170" i="1" a="1"/>
  <c r="AA170" i="1" s="1"/>
  <c r="AA169" i="1" a="1"/>
  <c r="AA169" i="1" s="1"/>
  <c r="AA168" i="1" a="1"/>
  <c r="AA168" i="1" s="1"/>
  <c r="AA167" i="1" a="1"/>
  <c r="AA167" i="1" s="1"/>
  <c r="AA166" i="1" a="1"/>
  <c r="AA166" i="1" s="1"/>
  <c r="AA165" i="1" a="1"/>
  <c r="AA165" i="1" s="1"/>
  <c r="AA164" i="1" a="1"/>
  <c r="AA164" i="1" s="1"/>
  <c r="AA162" i="1" a="1"/>
  <c r="AA162" i="1" s="1"/>
  <c r="AA161" i="1" a="1"/>
  <c r="AA161" i="1" s="1"/>
  <c r="AA160" i="1" a="1"/>
  <c r="AA160" i="1" s="1"/>
  <c r="AA1391" i="1" a="1"/>
  <c r="AA1391" i="1" s="1"/>
  <c r="AA159" i="1" a="1"/>
  <c r="AA159" i="1" s="1"/>
  <c r="AA157" i="1" a="1"/>
  <c r="AA157" i="1" s="1"/>
  <c r="AA156" i="1" a="1"/>
  <c r="AA156" i="1" s="1"/>
  <c r="AA155" i="1" a="1"/>
  <c r="AA155" i="1" s="1"/>
  <c r="AA154" i="1" a="1"/>
  <c r="AA154" i="1" s="1"/>
  <c r="AA153" i="1" a="1"/>
  <c r="AA153" i="1" s="1"/>
  <c r="AA152" i="1" a="1"/>
  <c r="AA152" i="1" s="1"/>
  <c r="AA150" i="1" a="1"/>
  <c r="AA150" i="1" s="1"/>
  <c r="AA149" i="1" a="1"/>
  <c r="AA149" i="1" s="1"/>
  <c r="AA148" i="1" a="1"/>
  <c r="AA148" i="1" s="1"/>
  <c r="AA147" i="1" a="1"/>
  <c r="AA147" i="1" s="1"/>
  <c r="AA146" i="1" a="1"/>
  <c r="AA146" i="1" s="1"/>
  <c r="AA145" i="1" a="1"/>
  <c r="AA145" i="1" s="1"/>
  <c r="AA144" i="1" a="1"/>
  <c r="AA144" i="1" s="1"/>
  <c r="AA143" i="1" a="1"/>
  <c r="AA143" i="1" s="1"/>
  <c r="AA142" i="1" a="1"/>
  <c r="AA142" i="1" s="1"/>
  <c r="AA141" i="1" a="1"/>
  <c r="AA141" i="1" s="1"/>
  <c r="AA139" i="1" a="1"/>
  <c r="AA139" i="1" s="1"/>
  <c r="AA138" i="1" a="1"/>
  <c r="AA138" i="1" s="1"/>
  <c r="AA137" i="1" a="1"/>
  <c r="AA137" i="1" s="1"/>
  <c r="AA136" i="1" a="1"/>
  <c r="AA136" i="1" s="1"/>
  <c r="AA135" i="1" a="1"/>
  <c r="AA135" i="1" s="1"/>
  <c r="AA134" i="1" a="1"/>
  <c r="AA134" i="1" s="1"/>
  <c r="AA133" i="1" a="1"/>
  <c r="AA133" i="1" s="1"/>
  <c r="AA132" i="1" a="1"/>
  <c r="AA132" i="1" s="1"/>
  <c r="AA131" i="1" a="1"/>
  <c r="AA131" i="1" s="1"/>
  <c r="AA130" i="1" a="1"/>
  <c r="AA130" i="1" s="1"/>
  <c r="AA128" i="1" a="1"/>
  <c r="AA128" i="1" s="1"/>
  <c r="AA126" i="1" a="1"/>
  <c r="AA126" i="1" s="1"/>
  <c r="AA125" i="1" a="1"/>
  <c r="AA125" i="1" s="1"/>
  <c r="AA124" i="1" a="1"/>
  <c r="AA124" i="1" s="1"/>
  <c r="AA123" i="1" a="1"/>
  <c r="AA123" i="1" s="1"/>
  <c r="AA122" i="1" a="1"/>
  <c r="AA122" i="1" s="1"/>
  <c r="AA121" i="1" a="1"/>
  <c r="AA121" i="1" s="1"/>
  <c r="AA120" i="1" a="1"/>
  <c r="AA120" i="1" s="1"/>
  <c r="AA119" i="1" a="1"/>
  <c r="AA119" i="1" s="1"/>
  <c r="AA118" i="1" a="1"/>
  <c r="AA118" i="1" s="1"/>
  <c r="AA116" i="1" a="1"/>
  <c r="AA116" i="1" s="1"/>
  <c r="AA115" i="1" a="1"/>
  <c r="AA115" i="1" s="1"/>
  <c r="AA114" i="1" a="1"/>
  <c r="AA114" i="1" s="1"/>
  <c r="AA113" i="1" a="1"/>
  <c r="AA113" i="1" s="1"/>
  <c r="AA112" i="1" a="1"/>
  <c r="AA112" i="1" s="1"/>
  <c r="AA111" i="1" a="1"/>
  <c r="AA111" i="1" s="1"/>
  <c r="AA110" i="1" a="1"/>
  <c r="AA110" i="1" s="1"/>
  <c r="AA108" i="1" a="1"/>
  <c r="AA108" i="1" s="1"/>
  <c r="AA104" i="1" a="1"/>
  <c r="AA104" i="1" s="1"/>
  <c r="AA103" i="1" a="1"/>
  <c r="AA103" i="1" s="1"/>
  <c r="AA102" i="1" a="1"/>
  <c r="AA102" i="1" s="1"/>
  <c r="AA101" i="1" a="1"/>
  <c r="AA101" i="1" s="1"/>
  <c r="AA100" i="1" a="1"/>
  <c r="AA100" i="1" s="1"/>
  <c r="AA99" i="1" a="1"/>
  <c r="AA99" i="1" s="1"/>
  <c r="AA98" i="1" a="1"/>
  <c r="AA98" i="1" s="1"/>
  <c r="AA97" i="1" a="1"/>
  <c r="AA97" i="1" s="1"/>
  <c r="AA96" i="1" a="1"/>
  <c r="AA96" i="1" s="1"/>
  <c r="AA95" i="1" a="1"/>
  <c r="AA95" i="1" s="1"/>
  <c r="AA94" i="1" a="1"/>
  <c r="AA94" i="1" s="1"/>
  <c r="AA93" i="1" a="1"/>
  <c r="AA93" i="1" s="1"/>
  <c r="AA92" i="1" a="1"/>
  <c r="AA92" i="1" s="1"/>
  <c r="AA91" i="1" a="1"/>
  <c r="AA91" i="1" s="1"/>
  <c r="AA90" i="1" a="1"/>
  <c r="AA90" i="1" s="1"/>
  <c r="AA89" i="1" a="1"/>
  <c r="AA89" i="1" s="1"/>
  <c r="AA87" i="1" a="1"/>
  <c r="AA87" i="1" s="1"/>
  <c r="AA86" i="1" a="1"/>
  <c r="AA86" i="1" s="1"/>
  <c r="AA85" i="1" a="1"/>
  <c r="AA85" i="1" s="1"/>
  <c r="AA84" i="1" a="1"/>
  <c r="AA84" i="1" s="1"/>
  <c r="AA83" i="1" a="1"/>
  <c r="AA83" i="1" s="1"/>
  <c r="AA82" i="1" a="1"/>
  <c r="AA82" i="1" s="1"/>
  <c r="AA81" i="1" a="1"/>
  <c r="AA81" i="1" s="1"/>
  <c r="AA80" i="1" a="1"/>
  <c r="AA80" i="1" s="1"/>
  <c r="AA79" i="1" a="1"/>
  <c r="AA79" i="1" s="1"/>
  <c r="AA78" i="1" a="1"/>
  <c r="AA78" i="1" s="1"/>
  <c r="AA77" i="1" a="1"/>
  <c r="AA77" i="1" s="1"/>
  <c r="AA76" i="1" a="1"/>
  <c r="AA76" i="1" s="1"/>
  <c r="AA75" i="1" a="1"/>
  <c r="AA75" i="1" s="1"/>
  <c r="AA1466" i="1" a="1"/>
  <c r="AA1466" i="1" s="1"/>
  <c r="AA1467" i="1" a="1"/>
  <c r="AA1467" i="1" s="1"/>
  <c r="AA74" i="1" a="1"/>
  <c r="AA74" i="1" s="1"/>
  <c r="AB74" i="1" s="1"/>
  <c r="AA73" i="1" a="1"/>
  <c r="AA73" i="1" s="1"/>
  <c r="AA72" i="1" a="1"/>
  <c r="AA72" i="1" s="1"/>
  <c r="AA71" i="1" a="1"/>
  <c r="AA71" i="1" s="1"/>
  <c r="AA70" i="1" a="1"/>
  <c r="AA70" i="1" s="1"/>
  <c r="AA69" i="1" a="1"/>
  <c r="AA69" i="1" s="1"/>
  <c r="AA68" i="1" a="1"/>
  <c r="AA68" i="1" s="1"/>
  <c r="AA67" i="1" a="1"/>
  <c r="AA67" i="1" s="1"/>
  <c r="AA65" i="1" a="1"/>
  <c r="AA65" i="1" s="1"/>
  <c r="AA64" i="1" a="1"/>
  <c r="AA64" i="1" s="1"/>
  <c r="AA63" i="1" a="1"/>
  <c r="AA63" i="1" s="1"/>
  <c r="AA62" i="1" a="1"/>
  <c r="AA62" i="1" s="1"/>
  <c r="AA61" i="1" a="1"/>
  <c r="AA61" i="1" s="1"/>
  <c r="AA60" i="1" a="1"/>
  <c r="AA60" i="1" s="1"/>
  <c r="AA59" i="1" a="1"/>
  <c r="AA59" i="1" s="1"/>
  <c r="AA58" i="1" a="1"/>
  <c r="AA58" i="1" s="1"/>
  <c r="AA57" i="1" a="1"/>
  <c r="AA57" i="1" s="1"/>
  <c r="AA56" i="1" a="1"/>
  <c r="AA56" i="1" s="1"/>
  <c r="AA55" i="1" a="1"/>
  <c r="AA55" i="1" s="1"/>
  <c r="AA54" i="1" a="1"/>
  <c r="AA54" i="1" s="1"/>
  <c r="AA53" i="1" a="1"/>
  <c r="AA53" i="1" s="1"/>
  <c r="AA52" i="1" a="1"/>
  <c r="AA52" i="1" s="1"/>
  <c r="AA51" i="1" a="1"/>
  <c r="AA51" i="1" s="1"/>
  <c r="AA50" i="1" a="1"/>
  <c r="AA50" i="1" s="1"/>
  <c r="AA49" i="1" a="1"/>
  <c r="AA49" i="1" s="1"/>
  <c r="AA48" i="1" a="1"/>
  <c r="AA48" i="1" s="1"/>
  <c r="AA47" i="1" a="1"/>
  <c r="AA47" i="1" s="1"/>
  <c r="AA46" i="1" a="1"/>
  <c r="AA46" i="1" s="1"/>
  <c r="AA45" i="1" a="1"/>
  <c r="AA45" i="1" s="1"/>
  <c r="AA44" i="1" a="1"/>
  <c r="AA44" i="1" s="1"/>
  <c r="AA43" i="1" a="1"/>
  <c r="AA43" i="1" s="1"/>
  <c r="AA42" i="1" a="1"/>
  <c r="AA42" i="1" s="1"/>
  <c r="AA41" i="1" a="1"/>
  <c r="AA41" i="1" s="1"/>
  <c r="AA40" i="1" a="1"/>
  <c r="AA40" i="1" s="1"/>
  <c r="AA39" i="1" a="1"/>
  <c r="AA39" i="1" s="1"/>
  <c r="AA37" i="1" a="1"/>
  <c r="AA37" i="1" s="1"/>
  <c r="AA36" i="1" a="1"/>
  <c r="AA36" i="1" s="1"/>
  <c r="AA35" i="1" a="1"/>
  <c r="AA35" i="1" s="1"/>
  <c r="AA34" i="1" a="1"/>
  <c r="AA34" i="1" s="1"/>
  <c r="AA33" i="1" a="1"/>
  <c r="AA33" i="1" s="1"/>
  <c r="AA32" i="1" a="1"/>
  <c r="AA32" i="1" s="1"/>
  <c r="AA29" i="1" a="1"/>
  <c r="AA29" i="1" s="1"/>
  <c r="AA28" i="1" a="1"/>
  <c r="AA28" i="1" s="1"/>
  <c r="AA27" i="1" a="1"/>
  <c r="AA27" i="1" s="1"/>
  <c r="AA26" i="1" a="1"/>
  <c r="AA26" i="1" s="1"/>
  <c r="AA24" i="1" a="1"/>
  <c r="AA24" i="1" s="1"/>
  <c r="AA23" i="1" a="1"/>
  <c r="AA23" i="1" s="1"/>
  <c r="AA22" i="1" a="1"/>
  <c r="AA22" i="1" s="1"/>
  <c r="AA21" i="1" a="1"/>
  <c r="AA21" i="1" s="1"/>
  <c r="AA19" i="1" a="1"/>
  <c r="AA19" i="1" s="1"/>
  <c r="AA18" i="1" a="1"/>
  <c r="AA18" i="1" s="1"/>
  <c r="AA17" i="1" a="1"/>
  <c r="AA17" i="1" s="1"/>
  <c r="AA16" i="1" a="1"/>
  <c r="AA16" i="1" s="1"/>
  <c r="AA15" i="1" a="1"/>
  <c r="AA15" i="1" s="1"/>
  <c r="AA14" i="1" a="1"/>
  <c r="AA14" i="1" s="1"/>
  <c r="AA13" i="1" a="1"/>
  <c r="AA13" i="1" s="1"/>
  <c r="AA11" i="1" a="1"/>
  <c r="AA11" i="1" s="1"/>
  <c r="AA9" i="1" a="1"/>
  <c r="AA9" i="1" s="1"/>
  <c r="AA8" i="1" a="1"/>
  <c r="AA8" i="1" s="1"/>
  <c r="AA7" i="1" a="1"/>
  <c r="AA7" i="1" s="1"/>
  <c r="AA6" i="1" a="1"/>
  <c r="AA6" i="1" s="1"/>
  <c r="AA4" i="1" a="1"/>
  <c r="AA4" i="1" s="1"/>
  <c r="AB1304" i="1"/>
  <c r="AB636" i="1"/>
  <c r="AB570" i="1"/>
  <c r="AB1504" i="1"/>
  <c r="AB1443" i="1"/>
  <c r="AB1426" i="1"/>
  <c r="AB1425" i="1"/>
  <c r="AB1282" i="1"/>
  <c r="AB1229" i="1"/>
  <c r="AB1166" i="1"/>
  <c r="Z1481" i="1"/>
  <c r="AB1481" i="1" s="1"/>
  <c r="Z3" i="1"/>
  <c r="Z1454" i="1"/>
  <c r="AB1454" i="1" s="1"/>
  <c r="Z5" i="1"/>
  <c r="AB5" i="1" s="1"/>
  <c r="Z1304" i="1"/>
  <c r="Z1294" i="1"/>
  <c r="AB1294" i="1" s="1"/>
  <c r="Z1260" i="1"/>
  <c r="AB1260" i="1" s="1"/>
  <c r="Z1247" i="1"/>
  <c r="AB1247" i="1" s="1"/>
  <c r="Z10" i="1"/>
  <c r="Z1164" i="1"/>
  <c r="Z12" i="1"/>
  <c r="Z992" i="1"/>
  <c r="Z951" i="1"/>
  <c r="Z950" i="1"/>
  <c r="Z943" i="1"/>
  <c r="Z939" i="1"/>
  <c r="Z925" i="1"/>
  <c r="AB925" i="1" s="1"/>
  <c r="Z713" i="1"/>
  <c r="Z20" i="1"/>
  <c r="AB20" i="1" s="1"/>
  <c r="Z636" i="1"/>
  <c r="Z599" i="1"/>
  <c r="AB599" i="1" s="1"/>
  <c r="Z570" i="1"/>
  <c r="Z524" i="1"/>
  <c r="AB524" i="1" s="1"/>
  <c r="Z25" i="1"/>
  <c r="Z435" i="1"/>
  <c r="Z404" i="1"/>
  <c r="Z373" i="1"/>
  <c r="Z371" i="1"/>
  <c r="Z30" i="1"/>
  <c r="Z31" i="1"/>
  <c r="Z186" i="1"/>
  <c r="Z183" i="1"/>
  <c r="Z158" i="1"/>
  <c r="AB158" i="1" s="1"/>
  <c r="Z151" i="1"/>
  <c r="Z140" i="1"/>
  <c r="Z88" i="1"/>
  <c r="AB88" i="1" s="1"/>
  <c r="Z38" i="1"/>
  <c r="AB38" i="1" s="1"/>
  <c r="Z2" i="1"/>
  <c r="AB2" i="1" s="1"/>
  <c r="Z1529" i="1"/>
  <c r="AB1529" i="1" s="1"/>
  <c r="Z1528" i="1"/>
  <c r="Z1527" i="1"/>
  <c r="Z1526" i="1"/>
  <c r="Z1525" i="1"/>
  <c r="Z1524" i="1"/>
  <c r="Z1523" i="1"/>
  <c r="Z1522" i="1"/>
  <c r="Z1521" i="1"/>
  <c r="Z1520" i="1"/>
  <c r="Z1196" i="1"/>
  <c r="AB1196" i="1" s="1"/>
  <c r="Z1519" i="1"/>
  <c r="AB1519" i="1" s="1"/>
  <c r="Z1518" i="1"/>
  <c r="Z1517" i="1"/>
  <c r="AB1517" i="1" s="1"/>
  <c r="Z1516" i="1"/>
  <c r="AB1516" i="1" s="1"/>
  <c r="Z1515" i="1"/>
  <c r="AB1515" i="1" s="1"/>
  <c r="Z1514" i="1"/>
  <c r="AB1514" i="1" s="1"/>
  <c r="Z1513" i="1"/>
  <c r="Z1512" i="1"/>
  <c r="Z1511" i="1"/>
  <c r="Z1510" i="1"/>
  <c r="Z1509" i="1"/>
  <c r="Z1508" i="1"/>
  <c r="Z1507" i="1"/>
  <c r="Z1506" i="1"/>
  <c r="Z1505" i="1"/>
  <c r="Z66" i="1"/>
  <c r="AB66" i="1" s="1"/>
  <c r="Z1504" i="1"/>
  <c r="Z1503" i="1"/>
  <c r="AB1503" i="1" s="1"/>
  <c r="Z1398" i="1"/>
  <c r="AB1398" i="1" s="1"/>
  <c r="Z1502" i="1"/>
  <c r="AB1502" i="1" s="1"/>
  <c r="Z1501" i="1"/>
  <c r="AB1501" i="1" s="1"/>
  <c r="Z1500" i="1"/>
  <c r="AB1500" i="1" s="1"/>
  <c r="Z1499" i="1"/>
  <c r="Z1498" i="1"/>
  <c r="Z1497" i="1"/>
  <c r="Z1496" i="1"/>
  <c r="Z1495" i="1"/>
  <c r="Z1494" i="1"/>
  <c r="Z1493" i="1"/>
  <c r="Z1492" i="1"/>
  <c r="Z1491" i="1"/>
  <c r="Z1490" i="1"/>
  <c r="AB1490" i="1" s="1"/>
  <c r="Z1489" i="1"/>
  <c r="Z1488" i="1"/>
  <c r="AB1488" i="1" s="1"/>
  <c r="Z1487" i="1"/>
  <c r="AB1487" i="1" s="1"/>
  <c r="Z1486" i="1"/>
  <c r="AB1486" i="1" s="1"/>
  <c r="Z1485" i="1"/>
  <c r="AB1485" i="1" s="1"/>
  <c r="Z1484" i="1"/>
  <c r="AB1484" i="1" s="1"/>
  <c r="Z1483" i="1"/>
  <c r="Z1482" i="1"/>
  <c r="Z1480" i="1"/>
  <c r="Z1479" i="1"/>
  <c r="Z1478" i="1"/>
  <c r="Z1477" i="1"/>
  <c r="Z1469" i="1"/>
  <c r="Z1476" i="1"/>
  <c r="Z1475" i="1"/>
  <c r="Z1474" i="1"/>
  <c r="AB1474" i="1" s="1"/>
  <c r="Z1473" i="1"/>
  <c r="Z1472" i="1"/>
  <c r="Z1471" i="1"/>
  <c r="AB1471" i="1" s="1"/>
  <c r="Z1470" i="1"/>
  <c r="AB1470" i="1" s="1"/>
  <c r="Z1465" i="1"/>
  <c r="AB1465" i="1" s="1"/>
  <c r="Z1468" i="1"/>
  <c r="AB1468" i="1" s="1"/>
  <c r="Z105" i="1"/>
  <c r="Z106" i="1"/>
  <c r="Z107" i="1"/>
  <c r="Z1464" i="1"/>
  <c r="Z109" i="1"/>
  <c r="Z1463" i="1"/>
  <c r="Z1462" i="1"/>
  <c r="Z1461" i="1"/>
  <c r="Z1460" i="1"/>
  <c r="Z1459" i="1"/>
  <c r="Z1458" i="1"/>
  <c r="AB1458" i="1" s="1"/>
  <c r="Z1457" i="1"/>
  <c r="Z117" i="1"/>
  <c r="AB117" i="1" s="1"/>
  <c r="Z1456" i="1"/>
  <c r="AB1456" i="1" s="1"/>
  <c r="Z1455" i="1"/>
  <c r="AB1455" i="1" s="1"/>
  <c r="Z1453" i="1"/>
  <c r="AB1453" i="1" s="1"/>
  <c r="Z1452" i="1"/>
  <c r="Z1451" i="1"/>
  <c r="Z1450" i="1"/>
  <c r="Z1449" i="1"/>
  <c r="Z1448" i="1"/>
  <c r="Z1447" i="1"/>
  <c r="Z127" i="1"/>
  <c r="Z1446" i="1"/>
  <c r="Z129" i="1"/>
  <c r="Z1445" i="1"/>
  <c r="AB1445" i="1" s="1"/>
  <c r="Z1444" i="1"/>
  <c r="Z1443" i="1"/>
  <c r="Z1442" i="1"/>
  <c r="AB1442" i="1" s="1"/>
  <c r="Z1441" i="1"/>
  <c r="AB1441" i="1" s="1"/>
  <c r="Z1440" i="1"/>
  <c r="AB1440" i="1" s="1"/>
  <c r="Z1439" i="1"/>
  <c r="AB1439" i="1" s="1"/>
  <c r="Z1438" i="1"/>
  <c r="Z1437" i="1"/>
  <c r="Z1436" i="1"/>
  <c r="Z1435" i="1"/>
  <c r="Z1434" i="1"/>
  <c r="Z1433" i="1"/>
  <c r="Z1432" i="1"/>
  <c r="Z1431" i="1"/>
  <c r="Z1430" i="1"/>
  <c r="Z1429" i="1"/>
  <c r="Z1428" i="1"/>
  <c r="AB1428" i="1" s="1"/>
  <c r="Z1427" i="1"/>
  <c r="Z1426" i="1"/>
  <c r="Z1425" i="1"/>
  <c r="Z1424" i="1"/>
  <c r="AB1424" i="1" s="1"/>
  <c r="Z1423" i="1"/>
  <c r="AB1423" i="1" s="1"/>
  <c r="Z1422" i="1"/>
  <c r="Z1421" i="1"/>
  <c r="Z1420" i="1"/>
  <c r="Z1419" i="1"/>
  <c r="Z1418" i="1"/>
  <c r="Z1417" i="1"/>
  <c r="Z1416" i="1"/>
  <c r="Z1415" i="1"/>
  <c r="Z1414" i="1"/>
  <c r="Z1413" i="1"/>
  <c r="Z163" i="1"/>
  <c r="Z1412" i="1"/>
  <c r="AB1412" i="1" s="1"/>
  <c r="Z1411" i="1"/>
  <c r="AB1411" i="1" s="1"/>
  <c r="Z1410" i="1"/>
  <c r="AB1410" i="1" s="1"/>
  <c r="Z1409" i="1"/>
  <c r="AB1409" i="1" s="1"/>
  <c r="Z1408" i="1"/>
  <c r="Z1407" i="1"/>
  <c r="Z1406" i="1"/>
  <c r="Z1405" i="1"/>
  <c r="Z1404" i="1"/>
  <c r="Z1403" i="1"/>
  <c r="Z1402" i="1"/>
  <c r="Z1401" i="1"/>
  <c r="Z176" i="1"/>
  <c r="Z1400" i="1"/>
  <c r="Z1399" i="1"/>
  <c r="Z1397" i="1"/>
  <c r="Z1396" i="1"/>
  <c r="Z1395" i="1"/>
  <c r="AB1395" i="1" s="1"/>
  <c r="Z1394" i="1"/>
  <c r="AB1394" i="1" s="1"/>
  <c r="Z1392" i="1"/>
  <c r="AB1392" i="1" s="1"/>
  <c r="Z1390" i="1"/>
  <c r="Z1389" i="1"/>
  <c r="Z1388" i="1"/>
  <c r="Z1387" i="1"/>
  <c r="Z1386" i="1"/>
  <c r="Z1385" i="1"/>
  <c r="Z1384" i="1"/>
  <c r="Z1383" i="1"/>
  <c r="Z1382" i="1"/>
  <c r="Z1381" i="1"/>
  <c r="Z1380" i="1"/>
  <c r="Z1379" i="1"/>
  <c r="Z1378" i="1"/>
  <c r="Z1377" i="1"/>
  <c r="AB1377" i="1" s="1"/>
  <c r="Z1376" i="1"/>
  <c r="AB1376" i="1" s="1"/>
  <c r="Z1375" i="1"/>
  <c r="AB1375" i="1" s="1"/>
  <c r="Z1374" i="1"/>
  <c r="AB1374" i="1" s="1"/>
  <c r="Z1373" i="1"/>
  <c r="Z1372" i="1"/>
  <c r="Z1371" i="1"/>
  <c r="Z1370" i="1"/>
  <c r="Z205" i="1"/>
  <c r="Z1369" i="1"/>
  <c r="Z1368" i="1"/>
  <c r="Z1367" i="1"/>
  <c r="Z1366" i="1"/>
  <c r="Z1365" i="1"/>
  <c r="Z1364" i="1"/>
  <c r="AB1364" i="1" s="1"/>
  <c r="Z1363" i="1"/>
  <c r="Z1362" i="1"/>
  <c r="AB1362" i="1" s="1"/>
  <c r="Z1361" i="1"/>
  <c r="AB1361" i="1" s="1"/>
  <c r="Z1360" i="1"/>
  <c r="AB1360" i="1" s="1"/>
  <c r="Z1359" i="1"/>
  <c r="AB1359" i="1" s="1"/>
  <c r="Z1358" i="1"/>
  <c r="Z1357" i="1"/>
  <c r="Z1356" i="1"/>
  <c r="Z1355" i="1"/>
  <c r="Z1354" i="1"/>
  <c r="Z1353" i="1"/>
  <c r="Z1352" i="1"/>
  <c r="Z1351" i="1"/>
  <c r="Z1350" i="1"/>
  <c r="Z1349" i="1"/>
  <c r="Z1348" i="1"/>
  <c r="Z1347" i="1"/>
  <c r="AB1347" i="1" s="1"/>
  <c r="Z229" i="1"/>
  <c r="AB229" i="1" s="1"/>
  <c r="Z1346" i="1"/>
  <c r="AB1346" i="1" s="1"/>
  <c r="Z725" i="1"/>
  <c r="AB725" i="1" s="1"/>
  <c r="Z1345" i="1"/>
  <c r="AB1345" i="1" s="1"/>
  <c r="Z1344" i="1"/>
  <c r="Z1343" i="1"/>
  <c r="Z1342" i="1"/>
  <c r="Z1341" i="1"/>
  <c r="Z1340" i="1"/>
  <c r="Z1339" i="1"/>
  <c r="Z1338" i="1"/>
  <c r="Z1337" i="1"/>
  <c r="Z1336" i="1"/>
  <c r="Z1335" i="1"/>
  <c r="Z1334" i="1"/>
  <c r="AB1334" i="1" s="1"/>
  <c r="Z1333" i="1"/>
  <c r="Z1332" i="1"/>
  <c r="AB1332" i="1" s="1"/>
  <c r="Z1331" i="1"/>
  <c r="AB1331" i="1" s="1"/>
  <c r="Z1330" i="1"/>
  <c r="AB1330" i="1" s="1"/>
  <c r="Z1329" i="1"/>
  <c r="AB1329" i="1" s="1"/>
  <c r="Z1328" i="1"/>
  <c r="Z1327" i="1"/>
  <c r="Z1326" i="1"/>
  <c r="Z1325" i="1"/>
  <c r="Z1324" i="1"/>
  <c r="Z1323" i="1"/>
  <c r="Z1322" i="1"/>
  <c r="Z1321" i="1"/>
  <c r="Z1320" i="1"/>
  <c r="Z1319" i="1"/>
  <c r="Z1318" i="1"/>
  <c r="Z1317" i="1"/>
  <c r="AB1317" i="1" s="1"/>
  <c r="Z1316" i="1"/>
  <c r="AB1316" i="1" s="1"/>
  <c r="Z1314" i="1"/>
  <c r="AB1314" i="1" s="1"/>
  <c r="Z1315" i="1"/>
  <c r="AB1315" i="1" s="1"/>
  <c r="Z1313" i="1"/>
  <c r="Z1312" i="1"/>
  <c r="Z1311" i="1"/>
  <c r="Z1310" i="1"/>
  <c r="Z1309" i="1"/>
  <c r="Z1308" i="1"/>
  <c r="Z1307" i="1"/>
  <c r="Z1306" i="1"/>
  <c r="Z1305" i="1"/>
  <c r="Z1303" i="1"/>
  <c r="Z1302" i="1"/>
  <c r="Z1301" i="1"/>
  <c r="Z1299" i="1"/>
  <c r="Z1298" i="1"/>
  <c r="Z1297" i="1"/>
  <c r="AB1297" i="1" s="1"/>
  <c r="Z1296" i="1"/>
  <c r="AB1296" i="1" s="1"/>
  <c r="Z1295" i="1"/>
  <c r="Z1293" i="1"/>
  <c r="Z1292" i="1"/>
  <c r="Z1291" i="1"/>
  <c r="Z1290" i="1"/>
  <c r="Z1289" i="1"/>
  <c r="Z1288" i="1"/>
  <c r="Z1287" i="1"/>
  <c r="Z288" i="1"/>
  <c r="Z1286" i="1"/>
  <c r="Z1285" i="1"/>
  <c r="Z1284" i="1"/>
  <c r="AB1284" i="1" s="1"/>
  <c r="Z1283" i="1"/>
  <c r="Z1282" i="1"/>
  <c r="Z1281" i="1"/>
  <c r="AB1281" i="1" s="1"/>
  <c r="Z1279" i="1"/>
  <c r="AB1279" i="1" s="1"/>
  <c r="Z1278" i="1"/>
  <c r="Z1277" i="1"/>
  <c r="Z1276" i="1"/>
  <c r="Z1275" i="1"/>
  <c r="Z300" i="1"/>
  <c r="Z1274" i="1"/>
  <c r="Z1272" i="1"/>
  <c r="Z1271" i="1"/>
  <c r="Z1270" i="1"/>
  <c r="Z1267" i="1"/>
  <c r="Z1266" i="1"/>
  <c r="Z1265" i="1"/>
  <c r="AB1265" i="1" s="1"/>
  <c r="Z1264" i="1"/>
  <c r="Z1263" i="1"/>
  <c r="AB1263" i="1" s="1"/>
  <c r="Z1262" i="1"/>
  <c r="AB1262" i="1" s="1"/>
  <c r="Z1261" i="1"/>
  <c r="AB1261" i="1" s="1"/>
  <c r="Z1259" i="1"/>
  <c r="Z1258" i="1"/>
  <c r="Z1257" i="1"/>
  <c r="Z1256" i="1"/>
  <c r="Z1255" i="1"/>
  <c r="Z1254" i="1"/>
  <c r="Z1253" i="1"/>
  <c r="Z1252" i="1"/>
  <c r="Z1251" i="1"/>
  <c r="Z1273" i="1"/>
  <c r="Z322" i="1"/>
  <c r="Z1250" i="1"/>
  <c r="Z1249" i="1"/>
  <c r="AB1249" i="1" s="1"/>
  <c r="Z1248" i="1"/>
  <c r="AB1248" i="1" s="1"/>
  <c r="Z1246" i="1"/>
  <c r="AB1246" i="1" s="1"/>
  <c r="Z1245" i="1"/>
  <c r="AB1245" i="1" s="1"/>
  <c r="Z1244" i="1"/>
  <c r="Z1243" i="1"/>
  <c r="Z1242" i="1"/>
  <c r="Z1241" i="1"/>
  <c r="Z1240" i="1"/>
  <c r="Z1239" i="1"/>
  <c r="Z1238" i="1"/>
  <c r="Z1237" i="1"/>
  <c r="Z1236" i="1"/>
  <c r="Z1235" i="1"/>
  <c r="Z1234" i="1"/>
  <c r="Z1233" i="1"/>
  <c r="Z1232" i="1"/>
  <c r="Z1230" i="1"/>
  <c r="AB1230" i="1" s="1"/>
  <c r="Z342" i="1"/>
  <c r="AB342" i="1" s="1"/>
  <c r="Z1229" i="1"/>
  <c r="Z1228" i="1"/>
  <c r="Z1227" i="1"/>
  <c r="Z1226" i="1"/>
  <c r="Z1225" i="1"/>
  <c r="Z1224" i="1"/>
  <c r="Z1223" i="1"/>
  <c r="Z1222" i="1"/>
  <c r="Z1221" i="1"/>
  <c r="Z1220" i="1"/>
  <c r="Z1219" i="1"/>
  <c r="Z1218" i="1"/>
  <c r="Z1217" i="1"/>
  <c r="Z1216" i="1"/>
  <c r="Z1215" i="1"/>
  <c r="Z1214" i="1"/>
  <c r="AB1214" i="1" s="1"/>
  <c r="Z1213" i="1"/>
  <c r="AB1213" i="1" s="1"/>
  <c r="Z1212" i="1"/>
  <c r="Z1210" i="1"/>
  <c r="Z1209" i="1"/>
  <c r="Z1208" i="1"/>
  <c r="Z1207" i="1"/>
  <c r="Z1206" i="1"/>
  <c r="Z1205" i="1"/>
  <c r="Z1204" i="1"/>
  <c r="Z1203" i="1"/>
  <c r="Z1202" i="1"/>
  <c r="Z1201" i="1"/>
  <c r="Z1200" i="1"/>
  <c r="Z1199" i="1"/>
  <c r="Z1198" i="1"/>
  <c r="AB1198" i="1" s="1"/>
  <c r="Z1197" i="1"/>
  <c r="AB1197" i="1" s="1"/>
  <c r="Z375" i="1"/>
  <c r="AB375" i="1" s="1"/>
  <c r="Z1195" i="1"/>
  <c r="Z1194" i="1"/>
  <c r="Z1193" i="1"/>
  <c r="Z1192" i="1"/>
  <c r="Z1191" i="1"/>
  <c r="Z1190" i="1"/>
  <c r="Z1189" i="1"/>
  <c r="Z1188" i="1"/>
  <c r="Z1187" i="1"/>
  <c r="Z1186" i="1"/>
  <c r="Z1185" i="1"/>
  <c r="Z1184" i="1"/>
  <c r="Z1183" i="1"/>
  <c r="Z1182" i="1"/>
  <c r="AB1182" i="1" s="1"/>
  <c r="Z1181" i="1"/>
  <c r="AB1181" i="1" s="1"/>
  <c r="Z1180" i="1"/>
  <c r="AB1180" i="1" s="1"/>
  <c r="Z1179" i="1"/>
  <c r="Z1178" i="1"/>
  <c r="Z1177" i="1"/>
  <c r="Z1176" i="1"/>
  <c r="Z1175" i="1"/>
  <c r="Z1174" i="1"/>
  <c r="Z1173" i="1"/>
  <c r="Z1171" i="1"/>
  <c r="Z1170" i="1"/>
  <c r="Z1169" i="1"/>
  <c r="Z1168" i="1"/>
  <c r="Z1167" i="1"/>
  <c r="AB1167" i="1" s="1"/>
  <c r="Z1166" i="1"/>
  <c r="Z1165" i="1"/>
  <c r="AB1165" i="1" s="1"/>
  <c r="Z1163" i="1"/>
  <c r="AB1163" i="1" s="1"/>
  <c r="Z1162" i="1"/>
  <c r="AB1162" i="1" s="1"/>
  <c r="Z1161" i="1"/>
  <c r="Z1160" i="1"/>
  <c r="Z1159" i="1"/>
  <c r="Z1158" i="1"/>
  <c r="Z1157" i="1"/>
  <c r="Z1156" i="1"/>
  <c r="Z1155" i="1"/>
  <c r="Z1154" i="1"/>
  <c r="Z1153" i="1"/>
  <c r="Z1152" i="1"/>
  <c r="Z1151" i="1"/>
  <c r="Z1149" i="1"/>
  <c r="Z1148" i="1"/>
  <c r="Z1147" i="1"/>
  <c r="AB1147" i="1" s="1"/>
  <c r="Z1146" i="1"/>
  <c r="AB1146" i="1" s="1"/>
  <c r="Z1145" i="1"/>
  <c r="AB1145" i="1" s="1"/>
  <c r="Z1144" i="1"/>
  <c r="Z1143" i="1"/>
  <c r="Z1142" i="1"/>
  <c r="Z1141" i="1"/>
  <c r="Z1140" i="1"/>
  <c r="Z1139" i="1"/>
  <c r="Z1138" i="1"/>
  <c r="Z1137" i="1"/>
  <c r="Z1136" i="1"/>
  <c r="Z1134" i="1"/>
  <c r="Z1133" i="1"/>
  <c r="Z1132" i="1"/>
  <c r="Z1131" i="1"/>
  <c r="AB1131" i="1" s="1"/>
  <c r="Z1130" i="1"/>
  <c r="AB1130" i="1" s="1"/>
  <c r="Z1128" i="1"/>
  <c r="AB1128" i="1" s="1"/>
  <c r="Z1127" i="1"/>
  <c r="AB1127" i="1" s="1"/>
  <c r="Z1126" i="1"/>
  <c r="Z1125" i="1"/>
  <c r="Z1124" i="1"/>
  <c r="Z1123" i="1"/>
  <c r="Z1122" i="1"/>
  <c r="Z445" i="1"/>
  <c r="Z1121" i="1"/>
  <c r="Z1120" i="1"/>
  <c r="Z1119" i="1"/>
  <c r="Z1118" i="1"/>
  <c r="Z1117" i="1"/>
  <c r="Z1116" i="1"/>
  <c r="Z1115" i="1"/>
  <c r="Z1114" i="1"/>
  <c r="AB1114" i="1" s="1"/>
  <c r="Z1113" i="1"/>
  <c r="AB1113" i="1" s="1"/>
  <c r="Z1112" i="1"/>
  <c r="AB1112" i="1" s="1"/>
  <c r="Z1111" i="1"/>
  <c r="Z1110" i="1"/>
  <c r="Z1109" i="1"/>
  <c r="Z1108" i="1"/>
  <c r="Z1107" i="1"/>
  <c r="Z1106" i="1"/>
  <c r="Z1105" i="1"/>
  <c r="Z1104" i="1"/>
  <c r="Z1103" i="1"/>
  <c r="Z1102" i="1"/>
  <c r="Z1101" i="1"/>
  <c r="Z1100" i="1"/>
  <c r="Z1099" i="1"/>
  <c r="AB1099" i="1" s="1"/>
  <c r="Z1098" i="1"/>
  <c r="Z1097" i="1"/>
  <c r="AB1097" i="1" s="1"/>
  <c r="Z1096" i="1"/>
  <c r="AB1096" i="1" s="1"/>
  <c r="Z1095" i="1"/>
  <c r="Z1094" i="1"/>
  <c r="Z1093" i="1"/>
  <c r="Z1092" i="1"/>
  <c r="Z1091" i="1"/>
  <c r="Z1090" i="1"/>
  <c r="Z1089" i="1"/>
  <c r="Z1088" i="1"/>
  <c r="Z1087" i="1"/>
  <c r="Z1086" i="1"/>
  <c r="Z1085" i="1"/>
  <c r="Z1084" i="1"/>
  <c r="Z1083" i="1"/>
  <c r="Z1082" i="1"/>
  <c r="Z1080" i="1"/>
  <c r="AB1080" i="1" s="1"/>
  <c r="Z1079" i="1"/>
  <c r="AB1079" i="1" s="1"/>
  <c r="Z1078" i="1"/>
  <c r="Z1077" i="1"/>
  <c r="Z1076" i="1"/>
  <c r="Z1075" i="1"/>
  <c r="Z1074" i="1"/>
  <c r="Z1073" i="1"/>
  <c r="Z1072" i="1"/>
  <c r="Z1071" i="1"/>
  <c r="Z1070" i="1"/>
  <c r="Z1069" i="1"/>
  <c r="Z1068" i="1"/>
  <c r="Z1067" i="1"/>
  <c r="Z1066" i="1"/>
  <c r="Z1065" i="1"/>
  <c r="AB1065" i="1" s="1"/>
  <c r="Z1064" i="1"/>
  <c r="AB1064" i="1" s="1"/>
  <c r="Z1063" i="1"/>
  <c r="AB1063" i="1" s="1"/>
  <c r="Z1062" i="1"/>
  <c r="Z1061" i="1"/>
  <c r="Z1060" i="1"/>
  <c r="Z1059" i="1"/>
  <c r="Z1058" i="1"/>
  <c r="Z1057" i="1"/>
  <c r="Z1056" i="1"/>
  <c r="Z1055" i="1"/>
  <c r="Z1054" i="1"/>
  <c r="Z1053" i="1"/>
  <c r="Z1052" i="1"/>
  <c r="Z1051" i="1"/>
  <c r="AB1051" i="1" s="1"/>
  <c r="Z1050" i="1"/>
  <c r="AB1050" i="1" s="1"/>
  <c r="Z1049" i="1"/>
  <c r="AB1049" i="1" s="1"/>
  <c r="Z1048" i="1"/>
  <c r="AB1048" i="1" s="1"/>
  <c r="Z1047" i="1"/>
  <c r="AB1047" i="1" s="1"/>
  <c r="Z1046" i="1"/>
  <c r="Z1045" i="1"/>
  <c r="Z1044" i="1"/>
  <c r="Z1043" i="1"/>
  <c r="Z1042" i="1"/>
  <c r="Z1041" i="1"/>
  <c r="Z1040" i="1"/>
  <c r="Z1039" i="1"/>
  <c r="Z1038" i="1"/>
  <c r="Z529" i="1"/>
  <c r="Z1037" i="1"/>
  <c r="Z1036" i="1"/>
  <c r="Z1035" i="1"/>
  <c r="AB1035" i="1" s="1"/>
  <c r="Z1034" i="1"/>
  <c r="AB1034" i="1" s="1"/>
  <c r="Z1033" i="1"/>
  <c r="AB1033" i="1" s="1"/>
  <c r="Z1032" i="1"/>
  <c r="AB1032" i="1" s="1"/>
  <c r="Z1031" i="1"/>
  <c r="Z1030" i="1"/>
  <c r="Z1029" i="1"/>
  <c r="Z1028" i="1"/>
  <c r="Z1027" i="1"/>
  <c r="Z1026" i="1"/>
  <c r="Z1025" i="1"/>
  <c r="Z1024" i="1"/>
  <c r="Z1023" i="1"/>
  <c r="Z545" i="1"/>
  <c r="Z1022" i="1"/>
  <c r="Z1021" i="1"/>
  <c r="Z1020" i="1"/>
  <c r="Z1019" i="1"/>
  <c r="AB1019" i="1" s="1"/>
  <c r="Z1018" i="1"/>
  <c r="AB1018" i="1" s="1"/>
  <c r="Z1017" i="1"/>
  <c r="AB1017" i="1" s="1"/>
  <c r="Z1016" i="1"/>
  <c r="Z1015" i="1"/>
  <c r="Z1014" i="1"/>
  <c r="Z1013" i="1"/>
  <c r="Z1012" i="1"/>
  <c r="Z1011" i="1"/>
  <c r="Z1010" i="1"/>
  <c r="Z1009" i="1"/>
  <c r="Z1008" i="1"/>
  <c r="Z1007" i="1"/>
  <c r="Z1006" i="1"/>
  <c r="Z1005" i="1"/>
  <c r="Z1004" i="1"/>
  <c r="Z1002" i="1"/>
  <c r="Z1001" i="1"/>
  <c r="AB1001" i="1" s="1"/>
  <c r="Z1000" i="1"/>
  <c r="AB1000" i="1" s="1"/>
  <c r="Z999" i="1"/>
  <c r="Z998" i="1"/>
  <c r="Z997" i="1"/>
  <c r="Z996" i="1"/>
  <c r="Z995" i="1"/>
  <c r="Z994" i="1"/>
  <c r="Z993" i="1"/>
  <c r="Z991" i="1"/>
  <c r="Z990" i="1"/>
  <c r="Z989" i="1"/>
  <c r="Z988" i="1"/>
  <c r="Z987" i="1"/>
  <c r="Z986" i="1"/>
  <c r="Z985" i="1"/>
  <c r="AB985" i="1" s="1"/>
  <c r="Z984" i="1"/>
  <c r="AB984" i="1" s="1"/>
  <c r="Z983" i="1"/>
  <c r="AB983" i="1" s="1"/>
  <c r="Z982" i="1"/>
  <c r="Z981" i="1"/>
  <c r="Z980" i="1"/>
  <c r="Z979" i="1"/>
  <c r="Z978" i="1"/>
  <c r="Z589" i="1"/>
  <c r="Z977" i="1"/>
  <c r="Z976" i="1"/>
  <c r="Z975" i="1"/>
  <c r="Z974" i="1"/>
  <c r="Z973" i="1"/>
  <c r="Z972" i="1"/>
  <c r="Z971" i="1"/>
  <c r="Z970" i="1"/>
  <c r="AB970" i="1" s="1"/>
  <c r="Z969" i="1"/>
  <c r="AB969" i="1" s="1"/>
  <c r="Z968" i="1"/>
  <c r="AB968" i="1" s="1"/>
  <c r="Z967" i="1"/>
  <c r="Z966" i="1"/>
  <c r="Z965" i="1"/>
  <c r="Z964" i="1"/>
  <c r="Z963" i="1"/>
  <c r="Z962" i="1"/>
  <c r="Z961" i="1"/>
  <c r="Z960" i="1"/>
  <c r="Z959" i="1"/>
  <c r="Z958" i="1"/>
  <c r="Z957" i="1"/>
  <c r="Z956" i="1"/>
  <c r="AB956" i="1" s="1"/>
  <c r="Z954" i="1"/>
  <c r="AB954" i="1" s="1"/>
  <c r="Z955" i="1"/>
  <c r="AB955" i="1" s="1"/>
  <c r="Z953" i="1"/>
  <c r="AB953" i="1" s="1"/>
  <c r="Z952" i="1"/>
  <c r="AB952" i="1" s="1"/>
  <c r="Z949" i="1"/>
  <c r="Z948" i="1"/>
  <c r="Z947" i="1"/>
  <c r="Z946" i="1"/>
  <c r="Z945" i="1"/>
  <c r="Z944" i="1"/>
  <c r="Z942" i="1"/>
  <c r="Z941" i="1"/>
  <c r="Z940" i="1"/>
  <c r="Z938" i="1"/>
  <c r="Z937" i="1"/>
  <c r="Z936" i="1"/>
  <c r="Z935" i="1"/>
  <c r="Z932" i="1"/>
  <c r="AB932" i="1" s="1"/>
  <c r="Z931" i="1"/>
  <c r="AB931" i="1" s="1"/>
  <c r="Z930" i="1"/>
  <c r="AB930" i="1" s="1"/>
  <c r="Z929" i="1"/>
  <c r="Z928" i="1"/>
  <c r="Z927" i="1"/>
  <c r="Z926" i="1"/>
  <c r="Z924" i="1"/>
  <c r="Z923" i="1"/>
  <c r="Z738" i="1"/>
  <c r="Z922" i="1"/>
  <c r="Z921" i="1"/>
  <c r="Z920" i="1"/>
  <c r="Z919" i="1"/>
  <c r="Z917" i="1"/>
  <c r="Z918" i="1"/>
  <c r="Z916" i="1"/>
  <c r="AB916" i="1" s="1"/>
  <c r="Z915" i="1"/>
  <c r="Z914" i="1"/>
  <c r="AB914" i="1" s="1"/>
  <c r="Z913" i="1"/>
  <c r="Z912" i="1"/>
  <c r="Z911" i="1"/>
  <c r="Z910" i="1"/>
  <c r="Z909" i="1"/>
  <c r="Z908" i="1"/>
  <c r="Z907" i="1"/>
  <c r="Z906" i="1"/>
  <c r="Z905" i="1"/>
  <c r="Z904" i="1"/>
  <c r="Z903" i="1"/>
  <c r="Z902" i="1"/>
  <c r="Z901" i="1"/>
  <c r="Z900" i="1"/>
  <c r="Z899" i="1"/>
  <c r="AB899" i="1" s="1"/>
  <c r="Z898" i="1"/>
  <c r="AB898" i="1" s="1"/>
  <c r="Z897" i="1"/>
  <c r="Z896" i="1"/>
  <c r="Z895" i="1"/>
  <c r="Z894" i="1"/>
  <c r="Z893" i="1"/>
  <c r="Z892" i="1"/>
  <c r="Z891" i="1"/>
  <c r="Z890" i="1"/>
  <c r="Z889" i="1"/>
  <c r="Z888" i="1"/>
  <c r="Z887" i="1"/>
  <c r="Z886" i="1"/>
  <c r="Z885" i="1"/>
  <c r="Z884" i="1"/>
  <c r="Z883" i="1"/>
  <c r="AB883" i="1" s="1"/>
  <c r="Z882" i="1"/>
  <c r="AB882" i="1" s="1"/>
  <c r="Z881" i="1"/>
  <c r="Z880" i="1"/>
  <c r="Z879" i="1"/>
  <c r="Z878" i="1"/>
  <c r="Z877" i="1"/>
  <c r="Z876" i="1"/>
  <c r="Z875" i="1"/>
  <c r="Z874" i="1"/>
  <c r="Z873" i="1"/>
  <c r="Z872" i="1"/>
  <c r="Z871" i="1"/>
  <c r="Z870" i="1"/>
  <c r="Z869" i="1"/>
  <c r="AB869" i="1" s="1"/>
  <c r="Z868" i="1"/>
  <c r="Z867" i="1"/>
  <c r="Z866" i="1"/>
  <c r="Z865" i="1"/>
  <c r="Z864" i="1"/>
  <c r="Z863" i="1"/>
  <c r="Z862" i="1"/>
  <c r="Z861" i="1"/>
  <c r="Z860" i="1"/>
  <c r="Z859" i="1"/>
  <c r="Z858" i="1"/>
  <c r="Z857" i="1"/>
  <c r="Z856" i="1"/>
  <c r="Z855" i="1"/>
  <c r="Z854" i="1"/>
  <c r="Z853" i="1"/>
  <c r="Z852" i="1"/>
  <c r="Z851" i="1"/>
  <c r="Z850" i="1"/>
  <c r="Z849" i="1"/>
  <c r="Z848" i="1"/>
  <c r="Z847" i="1"/>
  <c r="Z846" i="1"/>
  <c r="Z845" i="1"/>
  <c r="Z844" i="1"/>
  <c r="Z843" i="1"/>
  <c r="Z842" i="1"/>
  <c r="Z840" i="1"/>
  <c r="Z839" i="1"/>
  <c r="Z838" i="1"/>
  <c r="Z837" i="1"/>
  <c r="Z836" i="1"/>
  <c r="Z835" i="1"/>
  <c r="Z834" i="1"/>
  <c r="AB834" i="1" s="1"/>
  <c r="Z833" i="1"/>
  <c r="Z832" i="1"/>
  <c r="Z831" i="1"/>
  <c r="Z830" i="1"/>
  <c r="Z829" i="1"/>
  <c r="Z828" i="1"/>
  <c r="Z827" i="1"/>
  <c r="Z826" i="1"/>
  <c r="Z825" i="1"/>
  <c r="Z824" i="1"/>
  <c r="Z823" i="1"/>
  <c r="Z822" i="1"/>
  <c r="Z821" i="1"/>
  <c r="Z740" i="1"/>
  <c r="Z820" i="1"/>
  <c r="AB820" i="1" s="1"/>
  <c r="Z819" i="1"/>
  <c r="Z818" i="1"/>
  <c r="Z817" i="1"/>
  <c r="Z816" i="1"/>
  <c r="Z815" i="1"/>
  <c r="Z814" i="1"/>
  <c r="Z813" i="1"/>
  <c r="Z749" i="1"/>
  <c r="Z812" i="1"/>
  <c r="Z811" i="1"/>
  <c r="Z810" i="1"/>
  <c r="Z809" i="1"/>
  <c r="Z800" i="1"/>
  <c r="Z808" i="1"/>
  <c r="Z807" i="1"/>
  <c r="Z806" i="1"/>
  <c r="Z805" i="1"/>
  <c r="Z804" i="1"/>
  <c r="Z803" i="1"/>
  <c r="Z802" i="1"/>
  <c r="Z801" i="1"/>
  <c r="Z799" i="1"/>
  <c r="Z764" i="1"/>
  <c r="Z798" i="1"/>
  <c r="Z797" i="1"/>
  <c r="Z796" i="1"/>
  <c r="Z795" i="1"/>
  <c r="Z794" i="1"/>
  <c r="Z793" i="1"/>
  <c r="Z792" i="1"/>
  <c r="Z791" i="1"/>
  <c r="Z790" i="1"/>
  <c r="Z789" i="1"/>
  <c r="Z787" i="1"/>
  <c r="Z786" i="1"/>
  <c r="Z785" i="1"/>
  <c r="Z784" i="1"/>
  <c r="Z783" i="1"/>
  <c r="Z782" i="1"/>
  <c r="Z781" i="1"/>
  <c r="Z780" i="1"/>
  <c r="Z779" i="1"/>
  <c r="Z778" i="1"/>
  <c r="Z777" i="1"/>
  <c r="Z776" i="1"/>
  <c r="Z775" i="1"/>
  <c r="Z774" i="1"/>
  <c r="Z773" i="1"/>
  <c r="Z772" i="1"/>
  <c r="Z771" i="1"/>
  <c r="Z770" i="1"/>
  <c r="Z769" i="1"/>
  <c r="Z768" i="1"/>
  <c r="Z767" i="1"/>
  <c r="Z766" i="1"/>
  <c r="Z765" i="1"/>
  <c r="Z763" i="1"/>
  <c r="Z762" i="1"/>
  <c r="Z761" i="1"/>
  <c r="Z760" i="1"/>
  <c r="Z759" i="1"/>
  <c r="Z758" i="1"/>
  <c r="Z757" i="1"/>
  <c r="Z756" i="1"/>
  <c r="Z755" i="1"/>
  <c r="Z754" i="1"/>
  <c r="Z753" i="1"/>
  <c r="Z752" i="1"/>
  <c r="Z751" i="1"/>
  <c r="Z750" i="1"/>
  <c r="Z748" i="1"/>
  <c r="Z747" i="1"/>
  <c r="Z745" i="1"/>
  <c r="Z746" i="1"/>
  <c r="Z744" i="1"/>
  <c r="Z743" i="1"/>
  <c r="Z742" i="1"/>
  <c r="Z741" i="1"/>
  <c r="Z739" i="1"/>
  <c r="Z737" i="1"/>
  <c r="Z736" i="1"/>
  <c r="Z735" i="1"/>
  <c r="Z734" i="1"/>
  <c r="Z733" i="1"/>
  <c r="Z732" i="1"/>
  <c r="Z731" i="1"/>
  <c r="Z730" i="1"/>
  <c r="Z729" i="1"/>
  <c r="Z728" i="1"/>
  <c r="Z727" i="1"/>
  <c r="Z726" i="1"/>
  <c r="Z724" i="1"/>
  <c r="Z723" i="1"/>
  <c r="Z722" i="1"/>
  <c r="Z721" i="1"/>
  <c r="Z720" i="1"/>
  <c r="Z719" i="1"/>
  <c r="Z718" i="1"/>
  <c r="Z717" i="1"/>
  <c r="Z841" i="1"/>
  <c r="Z716" i="1"/>
  <c r="Z715" i="1"/>
  <c r="Z714" i="1"/>
  <c r="Z712" i="1"/>
  <c r="Z711" i="1"/>
  <c r="Z710" i="1"/>
  <c r="Z709" i="1"/>
  <c r="Z708" i="1"/>
  <c r="Z707" i="1"/>
  <c r="Z706" i="1"/>
  <c r="Z705" i="1"/>
  <c r="Z704" i="1"/>
  <c r="Z703" i="1"/>
  <c r="Z702" i="1"/>
  <c r="Z701" i="1"/>
  <c r="Z700" i="1"/>
  <c r="Z699" i="1"/>
  <c r="Z698" i="1"/>
  <c r="Z697" i="1"/>
  <c r="Z696" i="1"/>
  <c r="Z695" i="1"/>
  <c r="Z694" i="1"/>
  <c r="Z693" i="1"/>
  <c r="Z692" i="1"/>
  <c r="Z691" i="1"/>
  <c r="Z690" i="1"/>
  <c r="Z689" i="1"/>
  <c r="Z688" i="1"/>
  <c r="Z687" i="1"/>
  <c r="Z686" i="1"/>
  <c r="Z685" i="1"/>
  <c r="Z684" i="1"/>
  <c r="Z683" i="1"/>
  <c r="Z682" i="1"/>
  <c r="Z681" i="1"/>
  <c r="Z680" i="1"/>
  <c r="Z679" i="1"/>
  <c r="Z678" i="1"/>
  <c r="Z677" i="1"/>
  <c r="Z676" i="1"/>
  <c r="Z675" i="1"/>
  <c r="Z674" i="1"/>
  <c r="Z673" i="1"/>
  <c r="Z220" i="1"/>
  <c r="Z672" i="1"/>
  <c r="Z671" i="1"/>
  <c r="Z670" i="1"/>
  <c r="Z669" i="1"/>
  <c r="Z668" i="1"/>
  <c r="Z667" i="1"/>
  <c r="Z666" i="1"/>
  <c r="Z665" i="1"/>
  <c r="Z1081" i="1"/>
  <c r="Z664" i="1"/>
  <c r="Z663" i="1"/>
  <c r="Z662" i="1"/>
  <c r="Z661" i="1"/>
  <c r="Z660" i="1"/>
  <c r="Z659" i="1"/>
  <c r="Z658" i="1"/>
  <c r="Z657" i="1"/>
  <c r="Z656" i="1"/>
  <c r="Z655" i="1"/>
  <c r="Z654" i="1"/>
  <c r="Z653" i="1"/>
  <c r="Z652" i="1"/>
  <c r="Z651" i="1"/>
  <c r="Z650" i="1"/>
  <c r="Z649" i="1"/>
  <c r="Z648" i="1"/>
  <c r="Z647" i="1"/>
  <c r="Z646" i="1"/>
  <c r="Z645" i="1"/>
  <c r="Z644" i="1"/>
  <c r="Z643" i="1"/>
  <c r="Z642" i="1"/>
  <c r="Z641" i="1"/>
  <c r="Z640" i="1"/>
  <c r="Z639" i="1"/>
  <c r="Z638" i="1"/>
  <c r="Z637" i="1"/>
  <c r="Z1393" i="1"/>
  <c r="Z635" i="1"/>
  <c r="Z634" i="1"/>
  <c r="Z633" i="1"/>
  <c r="Z632" i="1"/>
  <c r="Z631" i="1"/>
  <c r="Z630" i="1"/>
  <c r="Z629" i="1"/>
  <c r="Z628" i="1"/>
  <c r="Z627" i="1"/>
  <c r="Z933" i="1"/>
  <c r="Z934" i="1"/>
  <c r="Z626" i="1"/>
  <c r="Z625" i="1"/>
  <c r="Z624" i="1"/>
  <c r="Z623" i="1"/>
  <c r="Z622" i="1"/>
  <c r="Z621" i="1"/>
  <c r="Z620" i="1"/>
  <c r="Z619" i="1"/>
  <c r="Z618" i="1"/>
  <c r="Z617" i="1"/>
  <c r="Z616" i="1"/>
  <c r="Z615" i="1"/>
  <c r="Z614" i="1"/>
  <c r="Z613" i="1"/>
  <c r="Z612" i="1"/>
  <c r="Z611" i="1"/>
  <c r="Z610" i="1"/>
  <c r="Z609" i="1"/>
  <c r="Z608" i="1"/>
  <c r="Z607" i="1"/>
  <c r="Z606" i="1"/>
  <c r="Z605" i="1"/>
  <c r="Z604" i="1"/>
  <c r="Z603" i="1"/>
  <c r="Z602" i="1"/>
  <c r="Z601" i="1"/>
  <c r="Z600" i="1"/>
  <c r="Z598" i="1"/>
  <c r="Z597" i="1"/>
  <c r="Z596" i="1"/>
  <c r="Z595" i="1"/>
  <c r="Z594" i="1"/>
  <c r="Z593" i="1"/>
  <c r="Z592" i="1"/>
  <c r="Z591" i="1"/>
  <c r="Z590" i="1"/>
  <c r="Z588" i="1"/>
  <c r="Z587" i="1"/>
  <c r="Z586" i="1"/>
  <c r="Z585" i="1"/>
  <c r="Z584" i="1"/>
  <c r="Z583" i="1"/>
  <c r="Z582" i="1"/>
  <c r="Z581" i="1"/>
  <c r="Z580" i="1"/>
  <c r="Z579" i="1"/>
  <c r="Z578" i="1"/>
  <c r="Z577" i="1"/>
  <c r="Z576" i="1"/>
  <c r="Z575" i="1"/>
  <c r="Z574" i="1"/>
  <c r="Z573" i="1"/>
  <c r="Z572" i="1"/>
  <c r="Z571" i="1"/>
  <c r="Z569" i="1"/>
  <c r="Z568" i="1"/>
  <c r="Z567" i="1"/>
  <c r="Z566" i="1"/>
  <c r="Z565" i="1"/>
  <c r="Z564" i="1"/>
  <c r="Z563" i="1"/>
  <c r="Z562" i="1"/>
  <c r="Z561" i="1"/>
  <c r="Z560" i="1"/>
  <c r="Z559" i="1"/>
  <c r="Z558" i="1"/>
  <c r="Z557" i="1"/>
  <c r="Z556" i="1"/>
  <c r="Z1003" i="1"/>
  <c r="Z555" i="1"/>
  <c r="Z554" i="1"/>
  <c r="Z553" i="1"/>
  <c r="Z552" i="1"/>
  <c r="Z551" i="1"/>
  <c r="Z550" i="1"/>
  <c r="Z549" i="1"/>
  <c r="Z548" i="1"/>
  <c r="Z547" i="1"/>
  <c r="Z546" i="1"/>
  <c r="Z544" i="1"/>
  <c r="Z543" i="1"/>
  <c r="Z542" i="1"/>
  <c r="Z541" i="1"/>
  <c r="Z540" i="1"/>
  <c r="Z788" i="1"/>
  <c r="Z539" i="1"/>
  <c r="Z538" i="1"/>
  <c r="Z537" i="1"/>
  <c r="Z536" i="1"/>
  <c r="Z535" i="1"/>
  <c r="Z534" i="1"/>
  <c r="Z533" i="1"/>
  <c r="Z532" i="1"/>
  <c r="Z531" i="1"/>
  <c r="Z530" i="1"/>
  <c r="Z528" i="1"/>
  <c r="Z527" i="1"/>
  <c r="Z526" i="1"/>
  <c r="Z525" i="1"/>
  <c r="Z523" i="1"/>
  <c r="Z522" i="1"/>
  <c r="Z521" i="1"/>
  <c r="Z520" i="1"/>
  <c r="Z519" i="1"/>
  <c r="Z518" i="1"/>
  <c r="Z517" i="1"/>
  <c r="Z516" i="1"/>
  <c r="Z515" i="1"/>
  <c r="Z514" i="1"/>
  <c r="Z513" i="1"/>
  <c r="Z512" i="1"/>
  <c r="Z511" i="1"/>
  <c r="Z510" i="1"/>
  <c r="Z509" i="1"/>
  <c r="Z508" i="1"/>
  <c r="Z507" i="1"/>
  <c r="Z506" i="1"/>
  <c r="Z505" i="1"/>
  <c r="Z504" i="1"/>
  <c r="Z503" i="1"/>
  <c r="Z502" i="1"/>
  <c r="Z501" i="1"/>
  <c r="Z500" i="1"/>
  <c r="Z499" i="1"/>
  <c r="Z498" i="1"/>
  <c r="Z497" i="1"/>
  <c r="Z496" i="1"/>
  <c r="Z495" i="1"/>
  <c r="Z494" i="1"/>
  <c r="Z493" i="1"/>
  <c r="Z492" i="1"/>
  <c r="Z491" i="1"/>
  <c r="Z490" i="1"/>
  <c r="Z489" i="1"/>
  <c r="Z488" i="1"/>
  <c r="Z487" i="1"/>
  <c r="Z486" i="1"/>
  <c r="Z485" i="1"/>
  <c r="Z484" i="1"/>
  <c r="Z483" i="1"/>
  <c r="Z482" i="1"/>
  <c r="Z481" i="1"/>
  <c r="Z480" i="1"/>
  <c r="Z479" i="1"/>
  <c r="Z478" i="1"/>
  <c r="Z477" i="1"/>
  <c r="Z476" i="1"/>
  <c r="Z475" i="1"/>
  <c r="Z474" i="1"/>
  <c r="Z473" i="1"/>
  <c r="Z472" i="1"/>
  <c r="Z471" i="1"/>
  <c r="Z470" i="1"/>
  <c r="Z469" i="1"/>
  <c r="Z468" i="1"/>
  <c r="Z467" i="1"/>
  <c r="Z466" i="1"/>
  <c r="Z465" i="1"/>
  <c r="Z464" i="1"/>
  <c r="Z463" i="1"/>
  <c r="Z462" i="1"/>
  <c r="Z461" i="1"/>
  <c r="Z460" i="1"/>
  <c r="Z459" i="1"/>
  <c r="Z458" i="1"/>
  <c r="Z457" i="1"/>
  <c r="Z456" i="1"/>
  <c r="Z455" i="1"/>
  <c r="Z454" i="1"/>
  <c r="Z453" i="1"/>
  <c r="Z452" i="1"/>
  <c r="Z451" i="1"/>
  <c r="Z450" i="1"/>
  <c r="Z449" i="1"/>
  <c r="Z448" i="1"/>
  <c r="Z447" i="1"/>
  <c r="Z446" i="1"/>
  <c r="Z444" i="1"/>
  <c r="Z443" i="1"/>
  <c r="Z442" i="1"/>
  <c r="Z441" i="1"/>
  <c r="Z440" i="1"/>
  <c r="Z439" i="1"/>
  <c r="Z438" i="1"/>
  <c r="Z437" i="1"/>
  <c r="Z436" i="1"/>
  <c r="Z434" i="1"/>
  <c r="Z433" i="1"/>
  <c r="Z432" i="1"/>
  <c r="Z431" i="1"/>
  <c r="Z430" i="1"/>
  <c r="Z429" i="1"/>
  <c r="Z428" i="1"/>
  <c r="Z427" i="1"/>
  <c r="Z1129" i="1"/>
  <c r="Z426" i="1"/>
  <c r="Z425" i="1"/>
  <c r="Z424" i="1"/>
  <c r="Z423" i="1"/>
  <c r="Z422" i="1"/>
  <c r="Z1135" i="1"/>
  <c r="Z421" i="1"/>
  <c r="Z420" i="1"/>
  <c r="Z419" i="1"/>
  <c r="Z418" i="1"/>
  <c r="Z417" i="1"/>
  <c r="Z416" i="1"/>
  <c r="Z415" i="1"/>
  <c r="Z414" i="1"/>
  <c r="Z413" i="1"/>
  <c r="Z412" i="1"/>
  <c r="Z411" i="1"/>
  <c r="Z410" i="1"/>
  <c r="Z409" i="1"/>
  <c r="Z408" i="1"/>
  <c r="Z1150" i="1"/>
  <c r="Z407" i="1"/>
  <c r="Z406" i="1"/>
  <c r="Z405" i="1"/>
  <c r="Z403" i="1"/>
  <c r="Z402" i="1"/>
  <c r="Z401" i="1"/>
  <c r="Z400" i="1"/>
  <c r="Z399" i="1"/>
  <c r="Z398" i="1"/>
  <c r="Z397" i="1"/>
  <c r="Z396" i="1"/>
  <c r="Z395" i="1"/>
  <c r="Z394" i="1"/>
  <c r="Z393" i="1"/>
  <c r="Z392" i="1"/>
  <c r="Z391" i="1"/>
  <c r="Z390" i="1"/>
  <c r="Z389" i="1"/>
  <c r="Z388" i="1"/>
  <c r="Z387" i="1"/>
  <c r="Z386" i="1"/>
  <c r="Z1172" i="1"/>
  <c r="Z385" i="1"/>
  <c r="Z384" i="1"/>
  <c r="Z383" i="1"/>
  <c r="Z382" i="1"/>
  <c r="Z381" i="1"/>
  <c r="Z380" i="1"/>
  <c r="Z379" i="1"/>
  <c r="Z378" i="1"/>
  <c r="Z377" i="1"/>
  <c r="Z376" i="1"/>
  <c r="Z374" i="1"/>
  <c r="Z372" i="1"/>
  <c r="Z370" i="1"/>
  <c r="Z369" i="1"/>
  <c r="Z368" i="1"/>
  <c r="Z367" i="1"/>
  <c r="Z366" i="1"/>
  <c r="Z365" i="1"/>
  <c r="Z364" i="1"/>
  <c r="Z363" i="1"/>
  <c r="Z362" i="1"/>
  <c r="Z361" i="1"/>
  <c r="Z360" i="1"/>
  <c r="Z359" i="1"/>
  <c r="Z358" i="1"/>
  <c r="Z357" i="1"/>
  <c r="Z356" i="1"/>
  <c r="Z355" i="1"/>
  <c r="Z354" i="1"/>
  <c r="Z353" i="1"/>
  <c r="Z352" i="1"/>
  <c r="Z351" i="1"/>
  <c r="Z350" i="1"/>
  <c r="Z349" i="1"/>
  <c r="Z348" i="1"/>
  <c r="Z347" i="1"/>
  <c r="Z346" i="1"/>
  <c r="Z345" i="1"/>
  <c r="Z1211" i="1"/>
  <c r="Z344" i="1"/>
  <c r="Z343" i="1"/>
  <c r="Z341" i="1"/>
  <c r="Z340" i="1"/>
  <c r="Z339" i="1"/>
  <c r="Z338" i="1"/>
  <c r="Z337" i="1"/>
  <c r="Z336" i="1"/>
  <c r="Z335" i="1"/>
  <c r="Z334" i="1"/>
  <c r="Z333" i="1"/>
  <c r="Z331" i="1"/>
  <c r="Z330" i="1"/>
  <c r="Z329" i="1"/>
  <c r="Z328" i="1"/>
  <c r="Z327" i="1"/>
  <c r="Z332" i="1"/>
  <c r="Z326" i="1"/>
  <c r="Z325" i="1"/>
  <c r="Z1231" i="1"/>
  <c r="Z324" i="1"/>
  <c r="Z323" i="1"/>
  <c r="Z321" i="1"/>
  <c r="Z320" i="1"/>
  <c r="Z319" i="1"/>
  <c r="Z318" i="1"/>
  <c r="Z317" i="1"/>
  <c r="Z316" i="1"/>
  <c r="Z315" i="1"/>
  <c r="Z314" i="1"/>
  <c r="Z313" i="1"/>
  <c r="Z312" i="1"/>
  <c r="Z311" i="1"/>
  <c r="Z310" i="1"/>
  <c r="Z309" i="1"/>
  <c r="Z308" i="1"/>
  <c r="Z307" i="1"/>
  <c r="Z306" i="1"/>
  <c r="Z305" i="1"/>
  <c r="Z304" i="1"/>
  <c r="Z303" i="1"/>
  <c r="Z302" i="1"/>
  <c r="Z301" i="1"/>
  <c r="Z299" i="1"/>
  <c r="Z298" i="1"/>
  <c r="Z297" i="1"/>
  <c r="Z296" i="1"/>
  <c r="Z295" i="1"/>
  <c r="Z294" i="1"/>
  <c r="Z293" i="1"/>
  <c r="Z292" i="1"/>
  <c r="Z291" i="1"/>
  <c r="Z290" i="1"/>
  <c r="Z289" i="1"/>
  <c r="Z287" i="1"/>
  <c r="Z286" i="1"/>
  <c r="Z1268" i="1"/>
  <c r="Z1269" i="1"/>
  <c r="Z285" i="1"/>
  <c r="Z284" i="1"/>
  <c r="Z283" i="1"/>
  <c r="Z282" i="1"/>
  <c r="Z281" i="1"/>
  <c r="Z280" i="1"/>
  <c r="Z279" i="1"/>
  <c r="Z278" i="1"/>
  <c r="Z277" i="1"/>
  <c r="Z276" i="1"/>
  <c r="Z1280" i="1"/>
  <c r="Z275" i="1"/>
  <c r="Z274" i="1"/>
  <c r="Z273" i="1"/>
  <c r="Z272" i="1"/>
  <c r="Z271" i="1"/>
  <c r="Z270" i="1"/>
  <c r="Z269" i="1"/>
  <c r="Z268" i="1"/>
  <c r="Z267" i="1"/>
  <c r="Z266" i="1"/>
  <c r="Z265" i="1"/>
  <c r="Z264" i="1"/>
  <c r="Z263" i="1"/>
  <c r="Z262" i="1"/>
  <c r="Z261" i="1"/>
  <c r="Z260" i="1"/>
  <c r="Z259" i="1"/>
  <c r="Z258" i="1"/>
  <c r="Z257" i="1"/>
  <c r="Z1300" i="1"/>
  <c r="Z256" i="1"/>
  <c r="Z255" i="1"/>
  <c r="Z254" i="1"/>
  <c r="Z253" i="1"/>
  <c r="Z252" i="1"/>
  <c r="Z251" i="1"/>
  <c r="Z250" i="1"/>
  <c r="Z249" i="1"/>
  <c r="Z248" i="1"/>
  <c r="Z247" i="1"/>
  <c r="Z246" i="1"/>
  <c r="Z245" i="1"/>
  <c r="Z244" i="1"/>
  <c r="Z243" i="1"/>
  <c r="Z242" i="1"/>
  <c r="Z241" i="1"/>
  <c r="Z240" i="1"/>
  <c r="Z239" i="1"/>
  <c r="Z238" i="1"/>
  <c r="Z237" i="1"/>
  <c r="Z236" i="1"/>
  <c r="Z235" i="1"/>
  <c r="Z234" i="1"/>
  <c r="Z233" i="1"/>
  <c r="Z232" i="1"/>
  <c r="Z231" i="1"/>
  <c r="Z230" i="1"/>
  <c r="Z228" i="1"/>
  <c r="Z227" i="1"/>
  <c r="Z226" i="1"/>
  <c r="Z225" i="1"/>
  <c r="Z224" i="1"/>
  <c r="Z223" i="1"/>
  <c r="Z222" i="1"/>
  <c r="Z221" i="1"/>
  <c r="Z219" i="1"/>
  <c r="Z218" i="1"/>
  <c r="Z217" i="1"/>
  <c r="Z216" i="1"/>
  <c r="Z215" i="1"/>
  <c r="Z214" i="1"/>
  <c r="Z213" i="1"/>
  <c r="Z212" i="1"/>
  <c r="Z211" i="1"/>
  <c r="Z210" i="1"/>
  <c r="Z209" i="1"/>
  <c r="Z208" i="1"/>
  <c r="Z207" i="1"/>
  <c r="Z206" i="1"/>
  <c r="Z204" i="1"/>
  <c r="Z203" i="1"/>
  <c r="Z202" i="1"/>
  <c r="Z201" i="1"/>
  <c r="Z200" i="1"/>
  <c r="Z199" i="1"/>
  <c r="Z198" i="1"/>
  <c r="Z197" i="1"/>
  <c r="Z196" i="1"/>
  <c r="Z195" i="1"/>
  <c r="Z194" i="1"/>
  <c r="Z193" i="1"/>
  <c r="Z192" i="1"/>
  <c r="Z191" i="1"/>
  <c r="Z190" i="1"/>
  <c r="Z189" i="1"/>
  <c r="Z188" i="1"/>
  <c r="Z187" i="1"/>
  <c r="Z185" i="1"/>
  <c r="Z184" i="1"/>
  <c r="Z182" i="1"/>
  <c r="Z181" i="1"/>
  <c r="Z180" i="1"/>
  <c r="Z179" i="1"/>
  <c r="Z178" i="1"/>
  <c r="Z177" i="1"/>
  <c r="Z175" i="1"/>
  <c r="Z174" i="1"/>
  <c r="Z173" i="1"/>
  <c r="Z172" i="1"/>
  <c r="Z171" i="1"/>
  <c r="Z170" i="1"/>
  <c r="Z169" i="1"/>
  <c r="Z168" i="1"/>
  <c r="Z167" i="1"/>
  <c r="Z166" i="1"/>
  <c r="Z165" i="1"/>
  <c r="Z164" i="1"/>
  <c r="Z162" i="1"/>
  <c r="Z161" i="1"/>
  <c r="Z160" i="1"/>
  <c r="Z1391" i="1"/>
  <c r="Z159" i="1"/>
  <c r="Z157" i="1"/>
  <c r="Z156" i="1"/>
  <c r="Z155" i="1"/>
  <c r="Z154" i="1"/>
  <c r="Z153" i="1"/>
  <c r="Z152" i="1"/>
  <c r="Z150" i="1"/>
  <c r="Z149" i="1"/>
  <c r="Z148" i="1"/>
  <c r="Z147" i="1"/>
  <c r="Z146" i="1"/>
  <c r="Z145" i="1"/>
  <c r="Z144" i="1"/>
  <c r="Z143" i="1"/>
  <c r="Z142" i="1"/>
  <c r="Z141" i="1"/>
  <c r="Z139" i="1"/>
  <c r="Z138" i="1"/>
  <c r="Z137" i="1"/>
  <c r="Z136" i="1"/>
  <c r="Z135" i="1"/>
  <c r="Z134" i="1"/>
  <c r="Z133" i="1"/>
  <c r="Z132" i="1"/>
  <c r="Z131" i="1"/>
  <c r="Z130" i="1"/>
  <c r="Z128" i="1"/>
  <c r="Z126" i="1"/>
  <c r="Z125" i="1"/>
  <c r="Z124" i="1"/>
  <c r="Z123" i="1"/>
  <c r="Z122" i="1"/>
  <c r="Z121" i="1"/>
  <c r="Z120" i="1"/>
  <c r="Z119" i="1"/>
  <c r="Z118" i="1"/>
  <c r="Z116" i="1"/>
  <c r="Z115" i="1"/>
  <c r="Z114" i="1"/>
  <c r="Z113" i="1"/>
  <c r="Z112" i="1"/>
  <c r="Z111" i="1"/>
  <c r="Z110" i="1"/>
  <c r="Z108" i="1"/>
  <c r="Z104" i="1"/>
  <c r="Z103" i="1"/>
  <c r="Z102" i="1"/>
  <c r="Z101" i="1"/>
  <c r="Z100" i="1"/>
  <c r="Z99" i="1"/>
  <c r="Z98" i="1"/>
  <c r="Z97" i="1"/>
  <c r="Z96" i="1"/>
  <c r="Z95" i="1"/>
  <c r="Z94" i="1"/>
  <c r="Z93" i="1"/>
  <c r="Z92" i="1"/>
  <c r="Z91" i="1"/>
  <c r="Z90" i="1"/>
  <c r="Z89" i="1"/>
  <c r="Z87" i="1"/>
  <c r="Z86" i="1"/>
  <c r="Z85" i="1"/>
  <c r="Z84" i="1"/>
  <c r="Z83" i="1"/>
  <c r="Z82" i="1"/>
  <c r="Z81" i="1"/>
  <c r="Z80" i="1"/>
  <c r="Z79" i="1"/>
  <c r="Z78" i="1"/>
  <c r="Z77" i="1"/>
  <c r="Z76" i="1"/>
  <c r="Z75" i="1"/>
  <c r="Z1466" i="1"/>
  <c r="Z1467" i="1"/>
  <c r="Z74" i="1"/>
  <c r="Z73" i="1"/>
  <c r="Z72" i="1"/>
  <c r="Z71" i="1"/>
  <c r="Z70" i="1"/>
  <c r="Z69" i="1"/>
  <c r="Z68" i="1"/>
  <c r="Z67" i="1"/>
  <c r="Z65" i="1"/>
  <c r="Z64" i="1"/>
  <c r="Z63" i="1"/>
  <c r="Z62" i="1"/>
  <c r="Z61" i="1"/>
  <c r="Z60" i="1"/>
  <c r="Z59" i="1"/>
  <c r="Z58" i="1"/>
  <c r="Z57" i="1"/>
  <c r="Z56" i="1"/>
  <c r="Z55" i="1"/>
  <c r="Z54" i="1"/>
  <c r="Z53" i="1"/>
  <c r="Z52" i="1"/>
  <c r="Z51" i="1"/>
  <c r="Z50" i="1"/>
  <c r="Z49" i="1"/>
  <c r="Z48" i="1"/>
  <c r="Z47" i="1"/>
  <c r="Z46" i="1"/>
  <c r="Z45" i="1"/>
  <c r="Z44" i="1"/>
  <c r="Z43" i="1"/>
  <c r="Z42" i="1"/>
  <c r="Z41" i="1"/>
  <c r="Z40" i="1"/>
  <c r="Z39" i="1"/>
  <c r="Z37" i="1"/>
  <c r="Z36" i="1"/>
  <c r="Z35" i="1"/>
  <c r="Z34" i="1"/>
  <c r="Z33" i="1"/>
  <c r="Z32" i="1"/>
  <c r="Z29" i="1"/>
  <c r="Z28" i="1"/>
  <c r="Z27" i="1"/>
  <c r="Z26" i="1"/>
  <c r="Z24" i="1"/>
  <c r="Z23" i="1"/>
  <c r="Z22" i="1"/>
  <c r="Z21" i="1"/>
  <c r="Z19" i="1"/>
  <c r="Z18" i="1"/>
  <c r="Z17" i="1"/>
  <c r="Z16" i="1"/>
  <c r="Z15" i="1"/>
  <c r="Z14" i="1"/>
  <c r="Z13" i="1"/>
  <c r="Z11" i="1"/>
  <c r="Z9" i="1"/>
  <c r="Z8" i="1"/>
  <c r="Z7" i="1"/>
  <c r="Z6" i="1"/>
  <c r="Z4" i="1"/>
  <c r="AB25" i="1" l="1"/>
  <c r="AB1528" i="1"/>
  <c r="AB105" i="1"/>
  <c r="AB1483" i="1"/>
  <c r="AB1499" i="1"/>
  <c r="AB1513" i="1"/>
  <c r="AB1030" i="1"/>
  <c r="AB863" i="1"/>
  <c r="AC863" i="1" s="1"/>
  <c r="AB965" i="1"/>
  <c r="AC965" i="1" s="1"/>
  <c r="AB1151" i="1"/>
  <c r="AB738" i="1"/>
  <c r="AC738" i="1" s="1"/>
  <c r="AB977" i="1"/>
  <c r="AC977" i="1" s="1"/>
  <c r="AB1010" i="1"/>
  <c r="AC1010" i="1" s="1"/>
  <c r="AB1056" i="1"/>
  <c r="AC1056" i="1" s="1"/>
  <c r="AB1072" i="1"/>
  <c r="AC1072" i="1" s="1"/>
  <c r="AB1089" i="1"/>
  <c r="AC1089" i="1" s="1"/>
  <c r="AB1138" i="1"/>
  <c r="AC1138" i="1" s="1"/>
  <c r="AB1173" i="1"/>
  <c r="AC1173" i="1" s="1"/>
  <c r="AB1205" i="1"/>
  <c r="AC1205" i="1" s="1"/>
  <c r="AB1222" i="1"/>
  <c r="AC1222" i="1" s="1"/>
  <c r="AB1288" i="1"/>
  <c r="AC1288" i="1" s="1"/>
  <c r="AB1339" i="1"/>
  <c r="AC1339" i="1" s="1"/>
  <c r="AB1384" i="1"/>
  <c r="AC1384" i="1" s="1"/>
  <c r="AB1433" i="1"/>
  <c r="AB1185" i="1"/>
  <c r="AC1185" i="1" s="1"/>
  <c r="AB1335" i="1"/>
  <c r="AB1027" i="1"/>
  <c r="AC1027" i="1" s="1"/>
  <c r="AB1234" i="1"/>
  <c r="AC1234" i="1" s="1"/>
  <c r="AB1349" i="1"/>
  <c r="AC1349" i="1" s="1"/>
  <c r="AB1242" i="1"/>
  <c r="AB742" i="1"/>
  <c r="AC742" i="1" s="1"/>
  <c r="AB1168" i="1"/>
  <c r="AC1168" i="1" s="1"/>
  <c r="AB1266" i="1"/>
  <c r="AB1380" i="1"/>
  <c r="AB1117" i="1"/>
  <c r="AB1390" i="1"/>
  <c r="AB1085" i="1"/>
  <c r="AC1085" i="1" s="1"/>
  <c r="AB1218" i="1"/>
  <c r="AC1218" i="1" s="1"/>
  <c r="AB1302" i="1"/>
  <c r="AC1302" i="1" s="1"/>
  <c r="AB1413" i="1"/>
  <c r="AC1413" i="1" s="1"/>
  <c r="AB1101" i="1"/>
  <c r="AC1101" i="1" s="1"/>
  <c r="AB1201" i="1"/>
  <c r="AB1285" i="1"/>
  <c r="AC1285" i="1" s="1"/>
  <c r="AB1399" i="1"/>
  <c r="AC1399" i="1" s="1"/>
  <c r="AB1133" i="1"/>
  <c r="AC1133" i="1" s="1"/>
  <c r="AB1319" i="1"/>
  <c r="AC1319" i="1" s="1"/>
  <c r="AB1429" i="1"/>
  <c r="AC1429" i="1" s="1"/>
  <c r="AB322" i="1"/>
  <c r="AC322" i="1" s="1"/>
  <c r="AB1365" i="1"/>
  <c r="AB1459" i="1"/>
  <c r="AB1523" i="1"/>
  <c r="AC1523" i="1" s="1"/>
  <c r="AB1011" i="1"/>
  <c r="AC1011" i="1" s="1"/>
  <c r="AB1106" i="1"/>
  <c r="AC1106" i="1" s="1"/>
  <c r="AB1156" i="1"/>
  <c r="AC1156" i="1" s="1"/>
  <c r="AB1239" i="1"/>
  <c r="AC1239" i="1" s="1"/>
  <c r="AB1418" i="1"/>
  <c r="AC1418" i="1" s="1"/>
  <c r="AB222" i="1"/>
  <c r="AC222" i="1" s="1"/>
  <c r="AB785" i="1"/>
  <c r="AB847" i="1"/>
  <c r="AC847" i="1" s="1"/>
  <c r="AB887" i="1"/>
  <c r="AC887" i="1" s="1"/>
  <c r="AB903" i="1"/>
  <c r="AC903" i="1" s="1"/>
  <c r="AB919" i="1"/>
  <c r="AC919" i="1" s="1"/>
  <c r="AB937" i="1"/>
  <c r="AC937" i="1" s="1"/>
  <c r="AB957" i="1"/>
  <c r="AC957" i="1" s="1"/>
  <c r="AB973" i="1"/>
  <c r="AC973" i="1" s="1"/>
  <c r="AB988" i="1"/>
  <c r="AC988" i="1" s="1"/>
  <c r="AB1006" i="1"/>
  <c r="AC1006" i="1" s="1"/>
  <c r="AB1022" i="1"/>
  <c r="AC1022" i="1" s="1"/>
  <c r="AB1037" i="1"/>
  <c r="AC1037" i="1" s="1"/>
  <c r="AB1052" i="1"/>
  <c r="AC1052" i="1" s="1"/>
  <c r="AB1068" i="1"/>
  <c r="AC1068" i="1" s="1"/>
  <c r="AB257" i="1"/>
  <c r="AC257" i="1" s="1"/>
  <c r="AB69" i="1"/>
  <c r="AC69" i="1" s="1"/>
  <c r="AB11" i="1"/>
  <c r="AC11" i="1" s="1"/>
  <c r="AB338" i="1"/>
  <c r="AC338" i="1" s="1"/>
  <c r="AB1143" i="1"/>
  <c r="AB1208" i="1"/>
  <c r="AC1208" i="1" s="1"/>
  <c r="AB1194" i="1"/>
  <c r="AB896" i="1"/>
  <c r="AC896" i="1" s="1"/>
  <c r="AB981" i="1"/>
  <c r="AC981" i="1" s="1"/>
  <c r="AB1061" i="1"/>
  <c r="AC1061" i="1" s="1"/>
  <c r="AB1110" i="1"/>
  <c r="AC1110" i="1" s="1"/>
  <c r="AB1178" i="1"/>
  <c r="AC1178" i="1" s="1"/>
  <c r="AB1258" i="1"/>
  <c r="AC1258" i="1" s="1"/>
  <c r="AB1344" i="1"/>
  <c r="AC1344" i="1" s="1"/>
  <c r="AB1422" i="1"/>
  <c r="AC1422" i="1" s="1"/>
  <c r="AB948" i="1"/>
  <c r="AC948" i="1" s="1"/>
  <c r="AB1125" i="1"/>
  <c r="AC1125" i="1" s="1"/>
  <c r="AB1227" i="1"/>
  <c r="AC1227" i="1" s="1"/>
  <c r="AB1277" i="1"/>
  <c r="AC1277" i="1" s="1"/>
  <c r="AB1407" i="1"/>
  <c r="AC1407" i="1" s="1"/>
  <c r="AB424" i="1"/>
  <c r="AC424" i="1" s="1"/>
  <c r="AB928" i="1"/>
  <c r="AC928" i="1" s="1"/>
  <c r="AB1015" i="1"/>
  <c r="AC1015" i="1" s="1"/>
  <c r="AB1094" i="1"/>
  <c r="AC1094" i="1" s="1"/>
  <c r="AB1210" i="1"/>
  <c r="AC1210" i="1" s="1"/>
  <c r="AB1312" i="1"/>
  <c r="AB1373" i="1"/>
  <c r="AC1373" i="1" s="1"/>
  <c r="AB1452" i="1"/>
  <c r="AB880" i="1"/>
  <c r="AC880" i="1" s="1"/>
  <c r="AB966" i="1"/>
  <c r="AC966" i="1" s="1"/>
  <c r="AB1045" i="1"/>
  <c r="AC1045" i="1" s="1"/>
  <c r="AB1160" i="1"/>
  <c r="AC1160" i="1" s="1"/>
  <c r="AB1293" i="1"/>
  <c r="AC1293" i="1" s="1"/>
  <c r="AB1389" i="1"/>
  <c r="AC1389" i="1" s="1"/>
  <c r="AB1243" i="1"/>
  <c r="AB912" i="1"/>
  <c r="AC912" i="1" s="1"/>
  <c r="AB998" i="1"/>
  <c r="AC998" i="1" s="1"/>
  <c r="AB1077" i="1"/>
  <c r="AC1077" i="1" s="1"/>
  <c r="AB1328" i="1"/>
  <c r="AC1328" i="1" s="1"/>
  <c r="AB1358" i="1"/>
  <c r="AC1358" i="1" s="1"/>
  <c r="AB1438" i="1"/>
  <c r="AC1438" i="1" s="1"/>
  <c r="AB804" i="1"/>
  <c r="AC804" i="1" s="1"/>
  <c r="AB1109" i="1"/>
  <c r="AC1109" i="1" s="1"/>
  <c r="AB1451" i="1"/>
  <c r="AC1451" i="1" s="1"/>
  <c r="AB1527" i="1"/>
  <c r="AC1527" i="1" s="1"/>
  <c r="AB292" i="1"/>
  <c r="AB364" i="1"/>
  <c r="AC364" i="1" s="1"/>
  <c r="AB184" i="1"/>
  <c r="AC184" i="1" s="1"/>
  <c r="AB218" i="1"/>
  <c r="AC218" i="1" s="1"/>
  <c r="AB684" i="1"/>
  <c r="AC684" i="1" s="1"/>
  <c r="AB178" i="1"/>
  <c r="AC178" i="1" s="1"/>
  <c r="AB27" i="1"/>
  <c r="AC27" i="1" s="1"/>
  <c r="AB866" i="1"/>
  <c r="AC866" i="1" s="1"/>
  <c r="AB180" i="1"/>
  <c r="AC180" i="1" s="1"/>
  <c r="AB744" i="1"/>
  <c r="AC744" i="1" s="1"/>
  <c r="AB169" i="1"/>
  <c r="AC169" i="1" s="1"/>
  <c r="AB47" i="1"/>
  <c r="AC47" i="1" s="1"/>
  <c r="AB255" i="1"/>
  <c r="AB577" i="1"/>
  <c r="AC577" i="1" s="1"/>
  <c r="AB535" i="1"/>
  <c r="AC535" i="1" s="1"/>
  <c r="AB763" i="1"/>
  <c r="AC763" i="1" s="1"/>
  <c r="AB519" i="1"/>
  <c r="AB772" i="1"/>
  <c r="AC772" i="1" s="1"/>
  <c r="AB553" i="1"/>
  <c r="AC553" i="1" s="1"/>
  <c r="AB619" i="1"/>
  <c r="AC619" i="1" s="1"/>
  <c r="AB168" i="1"/>
  <c r="AC168" i="1" s="1"/>
  <c r="AB557" i="1"/>
  <c r="AC557" i="1" s="1"/>
  <c r="AB309" i="1"/>
  <c r="AC309" i="1" s="1"/>
  <c r="AB665" i="1"/>
  <c r="AC665" i="1" s="1"/>
  <c r="AB503" i="1"/>
  <c r="AC503" i="1" s="1"/>
  <c r="AB476" i="1"/>
  <c r="AC476" i="1" s="1"/>
  <c r="AB685" i="1"/>
  <c r="AC685" i="1" s="1"/>
  <c r="AB1171" i="1"/>
  <c r="AB560" i="1"/>
  <c r="AC560" i="1" s="1"/>
  <c r="AB227" i="1"/>
  <c r="AC227" i="1" s="1"/>
  <c r="AB348" i="1"/>
  <c r="AB702" i="1"/>
  <c r="AC702" i="1" s="1"/>
  <c r="AB349" i="1"/>
  <c r="AC349" i="1" s="1"/>
  <c r="AB384" i="1"/>
  <c r="AC384" i="1" s="1"/>
  <c r="AB415" i="1"/>
  <c r="AC415" i="1" s="1"/>
  <c r="AB429" i="1"/>
  <c r="AC429" i="1" s="1"/>
  <c r="AB479" i="1"/>
  <c r="AC479" i="1" s="1"/>
  <c r="AB934" i="1"/>
  <c r="AC934" i="1" s="1"/>
  <c r="AB672" i="1"/>
  <c r="AC672" i="1" s="1"/>
  <c r="AB1206" i="1"/>
  <c r="AB86" i="1"/>
  <c r="AC86" i="1" s="1"/>
  <c r="AB1055" i="1"/>
  <c r="AC1055" i="1" s="1"/>
  <c r="AB1137" i="1"/>
  <c r="AC1137" i="1" s="1"/>
  <c r="AB1188" i="1"/>
  <c r="AC1188" i="1" s="1"/>
  <c r="AB1322" i="1"/>
  <c r="AC1322" i="1" s="1"/>
  <c r="AB127" i="1"/>
  <c r="AC127" i="1" s="1"/>
  <c r="AB1507" i="1"/>
  <c r="AC1507" i="1" s="1"/>
  <c r="AB30" i="1"/>
  <c r="AC30" i="1" s="1"/>
  <c r="AB35" i="1"/>
  <c r="AC35" i="1" s="1"/>
  <c r="AB317" i="1"/>
  <c r="AC317" i="1" s="1"/>
  <c r="AB395" i="1"/>
  <c r="AC395" i="1" s="1"/>
  <c r="AB775" i="1"/>
  <c r="AC775" i="1" s="1"/>
  <c r="AB755" i="1"/>
  <c r="AC755" i="1" s="1"/>
  <c r="AB601" i="1"/>
  <c r="AC601" i="1" s="1"/>
  <c r="AB694" i="1"/>
  <c r="AC694" i="1" s="1"/>
  <c r="AB1204" i="1"/>
  <c r="AC1204" i="1" s="1"/>
  <c r="AB1271" i="1"/>
  <c r="AC1271" i="1" s="1"/>
  <c r="AB1352" i="1"/>
  <c r="AC1352" i="1" s="1"/>
  <c r="AB1493" i="1"/>
  <c r="AC1493" i="1" s="1"/>
  <c r="AB999" i="1"/>
  <c r="AC999" i="1" s="1"/>
  <c r="AB1313" i="1"/>
  <c r="AC1313" i="1" s="1"/>
  <c r="AB326" i="1"/>
  <c r="AC326" i="1" s="1"/>
  <c r="AB1041" i="1"/>
  <c r="AC1041" i="1" s="1"/>
  <c r="AB1223" i="1"/>
  <c r="AC1223" i="1" s="1"/>
  <c r="AB1274" i="1"/>
  <c r="AC1274" i="1" s="1"/>
  <c r="AB1324" i="1"/>
  <c r="AC1324" i="1" s="1"/>
  <c r="AB205" i="1"/>
  <c r="AC205" i="1" s="1"/>
  <c r="AB1403" i="1"/>
  <c r="AC1403" i="1" s="1"/>
  <c r="AB1448" i="1"/>
  <c r="AC1448" i="1" s="1"/>
  <c r="AB1478" i="1"/>
  <c r="AC1478" i="1" s="1"/>
  <c r="AB1509" i="1"/>
  <c r="AC1509" i="1" s="1"/>
  <c r="AB992" i="1"/>
  <c r="AC992" i="1" s="1"/>
  <c r="AB1255" i="1"/>
  <c r="AC1255" i="1" s="1"/>
  <c r="AB1479" i="1"/>
  <c r="AC1479" i="1" s="1"/>
  <c r="AB1496" i="1"/>
  <c r="AC1496" i="1" s="1"/>
  <c r="AB373" i="1"/>
  <c r="AC373" i="1" s="1"/>
  <c r="AB12" i="1"/>
  <c r="AC12" i="1" s="1"/>
  <c r="AB943" i="1"/>
  <c r="AB289" i="1"/>
  <c r="AC289" i="1" s="1"/>
  <c r="AB365" i="1"/>
  <c r="AB872" i="1"/>
  <c r="AC872" i="1" s="1"/>
  <c r="AB186" i="1"/>
  <c r="AC186" i="1" s="1"/>
  <c r="AB962" i="1"/>
  <c r="AC962" i="1" s="1"/>
  <c r="AB571" i="1"/>
  <c r="AC571" i="1" s="1"/>
  <c r="AB946" i="1"/>
  <c r="AC946" i="1" s="1"/>
  <c r="AB964" i="1"/>
  <c r="AC964" i="1" s="1"/>
  <c r="AB1420" i="1"/>
  <c r="AC1420" i="1" s="1"/>
  <c r="AB1497" i="1"/>
  <c r="AC1497" i="1" s="1"/>
  <c r="AB1164" i="1"/>
  <c r="AC1164" i="1" s="1"/>
  <c r="AB951" i="1"/>
  <c r="AB150" i="1"/>
  <c r="AC150" i="1" s="1"/>
  <c r="AB915" i="1"/>
  <c r="AC915" i="1" s="1"/>
  <c r="AB1383" i="1"/>
  <c r="AC1383" i="1" s="1"/>
  <c r="AB950" i="1"/>
  <c r="AC950" i="1" s="1"/>
  <c r="AB1073" i="1"/>
  <c r="AC1073" i="1" s="1"/>
  <c r="AB1254" i="1"/>
  <c r="AC1254" i="1" s="1"/>
  <c r="AB1354" i="1"/>
  <c r="AC1354" i="1" s="1"/>
  <c r="AB911" i="1"/>
  <c r="AC911" i="1" s="1"/>
  <c r="AB927" i="1"/>
  <c r="AC927" i="1" s="1"/>
  <c r="AB947" i="1"/>
  <c r="AC947" i="1" s="1"/>
  <c r="AB980" i="1"/>
  <c r="AC980" i="1" s="1"/>
  <c r="AB997" i="1"/>
  <c r="AC997" i="1" s="1"/>
  <c r="AB1014" i="1"/>
  <c r="AC1014" i="1" s="1"/>
  <c r="AB1029" i="1"/>
  <c r="AC1029" i="1" s="1"/>
  <c r="AB1044" i="1"/>
  <c r="AC1044" i="1" s="1"/>
  <c r="AB1060" i="1"/>
  <c r="AC1060" i="1" s="1"/>
  <c r="AB1076" i="1"/>
  <c r="AC1076" i="1" s="1"/>
  <c r="AB1093" i="1"/>
  <c r="AC1093" i="1" s="1"/>
  <c r="AB1124" i="1"/>
  <c r="AC1124" i="1" s="1"/>
  <c r="AB1142" i="1"/>
  <c r="AC1142" i="1" s="1"/>
  <c r="AB1159" i="1"/>
  <c r="AC1159" i="1" s="1"/>
  <c r="AB1177" i="1"/>
  <c r="AC1177" i="1" s="1"/>
  <c r="AB1193" i="1"/>
  <c r="AC1193" i="1" s="1"/>
  <c r="AB1209" i="1"/>
  <c r="AC1209" i="1" s="1"/>
  <c r="AB1226" i="1"/>
  <c r="AC1226" i="1" s="1"/>
  <c r="AB1257" i="1"/>
  <c r="AC1257" i="1" s="1"/>
  <c r="AB1276" i="1"/>
  <c r="AC1276" i="1" s="1"/>
  <c r="AB1292" i="1"/>
  <c r="AC1292" i="1" s="1"/>
  <c r="AB1311" i="1"/>
  <c r="AC1311" i="1" s="1"/>
  <c r="AB1327" i="1"/>
  <c r="AC1327" i="1" s="1"/>
  <c r="AB1343" i="1"/>
  <c r="AC1343" i="1" s="1"/>
  <c r="AB1357" i="1"/>
  <c r="AC1357" i="1" s="1"/>
  <c r="AB1372" i="1"/>
  <c r="AC1372" i="1" s="1"/>
  <c r="AB1388" i="1"/>
  <c r="AC1388" i="1" s="1"/>
  <c r="AB1406" i="1"/>
  <c r="AC1406" i="1" s="1"/>
  <c r="AB1421" i="1"/>
  <c r="AC1421" i="1" s="1"/>
  <c r="AB1437" i="1"/>
  <c r="AC1437" i="1" s="1"/>
  <c r="AB106" i="1"/>
  <c r="AC106" i="1" s="1"/>
  <c r="AB1482" i="1"/>
  <c r="AC1482" i="1" s="1"/>
  <c r="AB1498" i="1"/>
  <c r="AC1498" i="1" s="1"/>
  <c r="AB1512" i="1"/>
  <c r="AC1512" i="1" s="1"/>
  <c r="AB435" i="1"/>
  <c r="AC435" i="1" s="1"/>
  <c r="AB10" i="1"/>
  <c r="AC10" i="1" s="1"/>
  <c r="AB187" i="1"/>
  <c r="AC187" i="1" s="1"/>
  <c r="AB459" i="1"/>
  <c r="AC459" i="1" s="1"/>
  <c r="AB75" i="1"/>
  <c r="AC75" i="1" s="1"/>
  <c r="AB267" i="1"/>
  <c r="AC267" i="1" s="1"/>
  <c r="AB282" i="1"/>
  <c r="AC282" i="1" s="1"/>
  <c r="AB396" i="1"/>
  <c r="AC396" i="1" s="1"/>
  <c r="AB541" i="1"/>
  <c r="AC541" i="1" s="1"/>
  <c r="AB802" i="1"/>
  <c r="AC802" i="1" s="1"/>
  <c r="AB831" i="1"/>
  <c r="AC831" i="1" s="1"/>
  <c r="AB1521" i="1"/>
  <c r="AC1521" i="1" s="1"/>
  <c r="AB892" i="1"/>
  <c r="AC892" i="1" s="1"/>
  <c r="AB1174" i="1"/>
  <c r="AC1174" i="1" s="1"/>
  <c r="AB246" i="1"/>
  <c r="AC246" i="1" s="1"/>
  <c r="AB733" i="1"/>
  <c r="AC733" i="1" s="1"/>
  <c r="AB923" i="1"/>
  <c r="AC923" i="1" s="1"/>
  <c r="AB1057" i="1"/>
  <c r="AC1057" i="1" s="1"/>
  <c r="AB1289" i="1"/>
  <c r="AC1289" i="1" s="1"/>
  <c r="AB1340" i="1"/>
  <c r="AC1340" i="1" s="1"/>
  <c r="AB1385" i="1"/>
  <c r="AC1385" i="1" s="1"/>
  <c r="AB1434" i="1"/>
  <c r="AC1434" i="1" s="1"/>
  <c r="AB109" i="1"/>
  <c r="AC109" i="1" s="1"/>
  <c r="AB1495" i="1"/>
  <c r="AC1495" i="1" s="1"/>
  <c r="AB1524" i="1"/>
  <c r="AC1524" i="1" s="1"/>
  <c r="AB371" i="1"/>
  <c r="AC371" i="1" s="1"/>
  <c r="AB1275" i="1"/>
  <c r="AB298" i="1"/>
  <c r="AB430" i="1"/>
  <c r="AC430" i="1" s="1"/>
  <c r="AB739" i="1"/>
  <c r="AC739" i="1" s="1"/>
  <c r="AB420" i="1"/>
  <c r="AC420" i="1" s="1"/>
  <c r="AB574" i="1"/>
  <c r="AB92" i="1"/>
  <c r="AC92" i="1" s="1"/>
  <c r="AB329" i="1"/>
  <c r="AC329" i="1" s="1"/>
  <c r="AB346" i="1"/>
  <c r="AC346" i="1" s="1"/>
  <c r="AB812" i="1"/>
  <c r="AC812" i="1" s="1"/>
  <c r="AB875" i="1"/>
  <c r="AC875" i="1" s="1"/>
  <c r="AB891" i="1"/>
  <c r="AC891" i="1" s="1"/>
  <c r="AB907" i="1"/>
  <c r="AC907" i="1" s="1"/>
  <c r="AB942" i="1"/>
  <c r="AC942" i="1" s="1"/>
  <c r="AB961" i="1"/>
  <c r="AC961" i="1" s="1"/>
  <c r="AB993" i="1"/>
  <c r="AC993" i="1" s="1"/>
  <c r="AB1040" i="1"/>
  <c r="AC1040" i="1" s="1"/>
  <c r="AB1105" i="1"/>
  <c r="AC1105" i="1" s="1"/>
  <c r="AB1121" i="1"/>
  <c r="AC1121" i="1" s="1"/>
  <c r="AB1155" i="1"/>
  <c r="AC1155" i="1" s="1"/>
  <c r="AB1189" i="1"/>
  <c r="AC1189" i="1" s="1"/>
  <c r="AB1238" i="1"/>
  <c r="AC1238" i="1" s="1"/>
  <c r="AB1253" i="1"/>
  <c r="AC1253" i="1" s="1"/>
  <c r="AB1272" i="1"/>
  <c r="AC1272" i="1" s="1"/>
  <c r="AB1307" i="1"/>
  <c r="AC1307" i="1" s="1"/>
  <c r="AB1323" i="1"/>
  <c r="AC1323" i="1" s="1"/>
  <c r="AB1353" i="1"/>
  <c r="AC1353" i="1" s="1"/>
  <c r="AB1369" i="1"/>
  <c r="AC1369" i="1" s="1"/>
  <c r="AB1417" i="1"/>
  <c r="AC1417" i="1" s="1"/>
  <c r="AB1463" i="1"/>
  <c r="AC1463" i="1" s="1"/>
  <c r="AB1477" i="1"/>
  <c r="AC1477" i="1" s="1"/>
  <c r="AB1508" i="1"/>
  <c r="AC1508" i="1" s="1"/>
  <c r="AB703" i="1"/>
  <c r="AB1494" i="1"/>
  <c r="AB447" i="1"/>
  <c r="AC447" i="1" s="1"/>
  <c r="AB908" i="1"/>
  <c r="AC908" i="1" s="1"/>
  <c r="AB944" i="1"/>
  <c r="AC944" i="1" s="1"/>
  <c r="AB589" i="1"/>
  <c r="AC589" i="1" s="1"/>
  <c r="AB994" i="1"/>
  <c r="AC994" i="1" s="1"/>
  <c r="AB1026" i="1"/>
  <c r="AC1026" i="1" s="1"/>
  <c r="AB1090" i="1"/>
  <c r="AC1090" i="1" s="1"/>
  <c r="AB445" i="1"/>
  <c r="AC445" i="1" s="1"/>
  <c r="AB1139" i="1"/>
  <c r="AC1139" i="1" s="1"/>
  <c r="AB1190" i="1"/>
  <c r="AC1190" i="1" s="1"/>
  <c r="AB1308" i="1"/>
  <c r="AC1308" i="1" s="1"/>
  <c r="AB487" i="1"/>
  <c r="AC487" i="1" s="1"/>
  <c r="AB679" i="1"/>
  <c r="AC679" i="1" s="1"/>
  <c r="AB408" i="1"/>
  <c r="AC408" i="1" s="1"/>
  <c r="AB1126" i="1"/>
  <c r="AB1402" i="1"/>
  <c r="AB633" i="1"/>
  <c r="AC633" i="1" s="1"/>
  <c r="AB864" i="1"/>
  <c r="AC864" i="1" s="1"/>
  <c r="AB141" i="1"/>
  <c r="AC141" i="1" s="1"/>
  <c r="AB162" i="1"/>
  <c r="AC162" i="1" s="1"/>
  <c r="AB520" i="1"/>
  <c r="AC520" i="1" s="1"/>
  <c r="AB780" i="1"/>
  <c r="AC780" i="1" s="1"/>
  <c r="AB649" i="1"/>
  <c r="AC649" i="1" s="1"/>
  <c r="AB852" i="1"/>
  <c r="AC852" i="1" s="1"/>
  <c r="AB706" i="1"/>
  <c r="AC706" i="1" s="1"/>
  <c r="AB437" i="1"/>
  <c r="AC437" i="1" s="1"/>
  <c r="AB762" i="1"/>
  <c r="AC762" i="1" s="1"/>
  <c r="AB206" i="1"/>
  <c r="AC206" i="1" s="1"/>
  <c r="AB635" i="1"/>
  <c r="AC635" i="1" s="1"/>
  <c r="AB590" i="1"/>
  <c r="AC590" i="1" s="1"/>
  <c r="AB716" i="1"/>
  <c r="AC716" i="1" s="1"/>
  <c r="AB895" i="1"/>
  <c r="AC895" i="1" s="1"/>
  <c r="AB1025" i="1"/>
  <c r="AB83" i="1"/>
  <c r="AC83" i="1" s="1"/>
  <c r="AB754" i="1"/>
  <c r="AC754" i="1" s="1"/>
  <c r="AB1408" i="1"/>
  <c r="AC1408" i="1" s="1"/>
  <c r="AB873" i="1"/>
  <c r="AC873" i="1" s="1"/>
  <c r="AB700" i="1"/>
  <c r="AC700" i="1" s="1"/>
  <c r="AB465" i="1"/>
  <c r="AC465" i="1" s="1"/>
  <c r="AB881" i="1"/>
  <c r="AC881" i="1" s="1"/>
  <c r="AB897" i="1"/>
  <c r="AC897" i="1" s="1"/>
  <c r="AB913" i="1"/>
  <c r="AC913" i="1" s="1"/>
  <c r="AB929" i="1"/>
  <c r="AC929" i="1" s="1"/>
  <c r="AB949" i="1"/>
  <c r="AC949" i="1" s="1"/>
  <c r="AB967" i="1"/>
  <c r="AC967" i="1" s="1"/>
  <c r="AB982" i="1"/>
  <c r="AC982" i="1" s="1"/>
  <c r="AB1016" i="1"/>
  <c r="AC1016" i="1" s="1"/>
  <c r="AB1031" i="1"/>
  <c r="AC1031" i="1" s="1"/>
  <c r="AB1046" i="1"/>
  <c r="AC1046" i="1" s="1"/>
  <c r="AB1062" i="1"/>
  <c r="AC1062" i="1" s="1"/>
  <c r="AB1078" i="1"/>
  <c r="AC1078" i="1" s="1"/>
  <c r="AB1111" i="1"/>
  <c r="AC1111" i="1" s="1"/>
  <c r="AB1144" i="1"/>
  <c r="AC1144" i="1" s="1"/>
  <c r="AB1161" i="1"/>
  <c r="AC1161" i="1" s="1"/>
  <c r="AB1179" i="1"/>
  <c r="AC1179" i="1" s="1"/>
  <c r="AB1195" i="1"/>
  <c r="AC1195" i="1" s="1"/>
  <c r="AB1212" i="1"/>
  <c r="AC1212" i="1" s="1"/>
  <c r="AB1228" i="1"/>
  <c r="AC1228" i="1" s="1"/>
  <c r="AB1244" i="1"/>
  <c r="AC1244" i="1" s="1"/>
  <c r="AB1259" i="1"/>
  <c r="AC1259" i="1" s="1"/>
  <c r="AB1278" i="1"/>
  <c r="AC1278" i="1" s="1"/>
  <c r="AB1295" i="1"/>
  <c r="AC1295" i="1" s="1"/>
  <c r="AB152" i="1"/>
  <c r="AC152" i="1" s="1"/>
  <c r="AB240" i="1"/>
  <c r="AC240" i="1" s="1"/>
  <c r="AB438" i="1"/>
  <c r="AC438" i="1" s="1"/>
  <c r="AB525" i="1"/>
  <c r="AC525" i="1" s="1"/>
  <c r="AB756" i="1"/>
  <c r="AC756" i="1" s="1"/>
  <c r="AB838" i="1"/>
  <c r="AC838" i="1" s="1"/>
  <c r="AB561" i="1"/>
  <c r="AC561" i="1" s="1"/>
  <c r="AB443" i="1"/>
  <c r="AC443" i="1" s="1"/>
  <c r="AB77" i="1"/>
  <c r="AC77" i="1" s="1"/>
  <c r="AB686" i="1"/>
  <c r="AC686" i="1" s="1"/>
  <c r="AB60" i="1"/>
  <c r="AC60" i="1" s="1"/>
  <c r="AB1129" i="1"/>
  <c r="AC1129" i="1" s="1"/>
  <c r="AB825" i="1"/>
  <c r="AC825" i="1" s="1"/>
  <c r="AB833" i="1"/>
  <c r="AC833" i="1" s="1"/>
  <c r="AB1467" i="1"/>
  <c r="AC1467" i="1" s="1"/>
  <c r="AB596" i="1"/>
  <c r="AC596" i="1" s="1"/>
  <c r="AB188" i="1"/>
  <c r="AC188" i="1" s="1"/>
  <c r="AB204" i="1"/>
  <c r="AC204" i="1" s="1"/>
  <c r="AB301" i="1"/>
  <c r="AC301" i="1" s="1"/>
  <c r="AB657" i="1"/>
  <c r="AC657" i="1" s="1"/>
  <c r="AB687" i="1"/>
  <c r="AC687" i="1" s="1"/>
  <c r="AB805" i="1"/>
  <c r="AC805" i="1" s="1"/>
  <c r="AB819" i="1"/>
  <c r="AC819" i="1" s="1"/>
  <c r="AB15" i="1"/>
  <c r="AC15" i="1" s="1"/>
  <c r="AB613" i="1"/>
  <c r="AC613" i="1" s="1"/>
  <c r="AB826" i="1"/>
  <c r="AC826" i="1" s="1"/>
  <c r="AB884" i="1"/>
  <c r="AC884" i="1" s="1"/>
  <c r="AB900" i="1"/>
  <c r="AC900" i="1" s="1"/>
  <c r="AB1002" i="1"/>
  <c r="AC1002" i="1" s="1"/>
  <c r="AB1082" i="1"/>
  <c r="AC1082" i="1" s="1"/>
  <c r="AB1215" i="1"/>
  <c r="AC1215" i="1" s="1"/>
  <c r="AB1298" i="1"/>
  <c r="AC1298" i="1" s="1"/>
  <c r="AB528" i="1"/>
  <c r="AC528" i="1" s="1"/>
  <c r="AB933" i="1"/>
  <c r="AC933" i="1" s="1"/>
  <c r="AB1447" i="1"/>
  <c r="AB103" i="1"/>
  <c r="AC103" i="1" s="1"/>
  <c r="AB789" i="1"/>
  <c r="AC789" i="1" s="1"/>
  <c r="AB144" i="1"/>
  <c r="AC144" i="1" s="1"/>
  <c r="AB1098" i="1"/>
  <c r="AB192" i="1"/>
  <c r="AC192" i="1" s="1"/>
  <c r="AB412" i="1"/>
  <c r="AC412" i="1" s="1"/>
  <c r="AB239" i="1"/>
  <c r="AC239" i="1" s="1"/>
  <c r="AB544" i="1"/>
  <c r="AC544" i="1" s="1"/>
  <c r="AB496" i="1"/>
  <c r="AC496" i="1" s="1"/>
  <c r="AB483" i="1"/>
  <c r="AC483" i="1" s="1"/>
  <c r="AB990" i="1"/>
  <c r="AC990" i="1" s="1"/>
  <c r="AB1070" i="1"/>
  <c r="AC1070" i="1" s="1"/>
  <c r="AB1119" i="1"/>
  <c r="AC1119" i="1" s="1"/>
  <c r="AB1153" i="1"/>
  <c r="AC1153" i="1" s="1"/>
  <c r="AB1187" i="1"/>
  <c r="AC1187" i="1" s="1"/>
  <c r="AB1321" i="1"/>
  <c r="AC1321" i="1" s="1"/>
  <c r="AB1351" i="1"/>
  <c r="AC1351" i="1" s="1"/>
  <c r="AB1382" i="1"/>
  <c r="AC1382" i="1" s="1"/>
  <c r="AB1039" i="1"/>
  <c r="AC1039" i="1" s="1"/>
  <c r="AB18" i="1"/>
  <c r="AC18" i="1" s="1"/>
  <c r="AB735" i="1"/>
  <c r="AC735" i="1" s="1"/>
  <c r="AB272" i="1"/>
  <c r="AB50" i="1"/>
  <c r="AC50" i="1" s="1"/>
  <c r="AB306" i="1"/>
  <c r="AC306" i="1" s="1"/>
  <c r="AB355" i="1"/>
  <c r="AC355" i="1" s="1"/>
  <c r="AB406" i="1"/>
  <c r="AC406" i="1" s="1"/>
  <c r="AB485" i="1"/>
  <c r="AC485" i="1" s="1"/>
  <c r="AB501" i="1"/>
  <c r="AC501" i="1" s="1"/>
  <c r="AB617" i="1"/>
  <c r="AC617" i="1" s="1"/>
  <c r="AB663" i="1"/>
  <c r="AC663" i="1" s="1"/>
  <c r="AB761" i="1"/>
  <c r="AC761" i="1" s="1"/>
  <c r="AB1075" i="1"/>
  <c r="AC1075" i="1" s="1"/>
  <c r="AB1192" i="1"/>
  <c r="AC1192" i="1" s="1"/>
  <c r="AB1256" i="1"/>
  <c r="AC1256" i="1" s="1"/>
  <c r="AB1356" i="1"/>
  <c r="AC1356" i="1" s="1"/>
  <c r="AB1387" i="1"/>
  <c r="AC1387" i="1" s="1"/>
  <c r="AB567" i="1"/>
  <c r="AC567" i="1" s="1"/>
  <c r="AB156" i="1"/>
  <c r="AC156" i="1" s="1"/>
  <c r="AB124" i="1"/>
  <c r="AC124" i="1" s="1"/>
  <c r="AB325" i="1"/>
  <c r="AC325" i="1" s="1"/>
  <c r="AB391" i="1"/>
  <c r="AC391" i="1" s="1"/>
  <c r="AB422" i="1"/>
  <c r="AC422" i="1" s="1"/>
  <c r="AB721" i="1"/>
  <c r="AC721" i="1" s="1"/>
  <c r="AB853" i="1"/>
  <c r="AC853" i="1" s="1"/>
  <c r="AB108" i="1"/>
  <c r="AC108" i="1" s="1"/>
  <c r="AB145" i="1"/>
  <c r="AC145" i="1" s="1"/>
  <c r="AB378" i="1"/>
  <c r="AC378" i="1" s="1"/>
  <c r="AB440" i="1"/>
  <c r="AC440" i="1" s="1"/>
  <c r="AB611" i="1"/>
  <c r="AC611" i="1" s="1"/>
  <c r="AB26" i="1"/>
  <c r="AC26" i="1" s="1"/>
  <c r="AB935" i="1"/>
  <c r="AC935" i="1" s="1"/>
  <c r="AB1004" i="1"/>
  <c r="AC1004" i="1" s="1"/>
  <c r="AB68" i="1"/>
  <c r="AC68" i="1" s="1"/>
  <c r="AB972" i="1"/>
  <c r="AC972" i="1" s="1"/>
  <c r="AB580" i="1"/>
  <c r="AC580" i="1" s="1"/>
  <c r="AB166" i="1"/>
  <c r="AC166" i="1" s="1"/>
  <c r="AB654" i="1"/>
  <c r="AC654" i="1" s="1"/>
  <c r="AB7" i="1"/>
  <c r="AC7" i="1" s="1"/>
  <c r="AB299" i="1"/>
  <c r="AC299" i="1" s="1"/>
  <c r="AB428" i="1"/>
  <c r="AC428" i="1" s="1"/>
  <c r="AB669" i="1"/>
  <c r="AB1095" i="1"/>
  <c r="AB113" i="1"/>
  <c r="AC113" i="1" s="1"/>
  <c r="AB279" i="1"/>
  <c r="AC279" i="1" s="1"/>
  <c r="AB165" i="1"/>
  <c r="AC165" i="1" s="1"/>
  <c r="AB653" i="1"/>
  <c r="AC653" i="1" s="1"/>
  <c r="AB813" i="1"/>
  <c r="AC813" i="1" s="1"/>
  <c r="AB632" i="1"/>
  <c r="AC632" i="1" s="1"/>
  <c r="AB551" i="1"/>
  <c r="AC551" i="1" s="1"/>
  <c r="AB677" i="1"/>
  <c r="AC677" i="1" s="1"/>
  <c r="AB154" i="1"/>
  <c r="AC154" i="1" s="1"/>
  <c r="AB693" i="1"/>
  <c r="AC693" i="1" s="1"/>
  <c r="AB125" i="1"/>
  <c r="AC125" i="1" s="1"/>
  <c r="AB527" i="1"/>
  <c r="AC527" i="1" s="1"/>
  <c r="AB788" i="1"/>
  <c r="AC788" i="1" s="1"/>
  <c r="AB6" i="1"/>
  <c r="AC6" i="1" s="1"/>
  <c r="AB96" i="1"/>
  <c r="AC96" i="1" s="1"/>
  <c r="AB514" i="1"/>
  <c r="AC514" i="1" s="1"/>
  <c r="AB392" i="1"/>
  <c r="AC392" i="1" s="1"/>
  <c r="AB502" i="1"/>
  <c r="AC502" i="1" s="1"/>
  <c r="AB517" i="1"/>
  <c r="AC517" i="1" s="1"/>
  <c r="AB861" i="1"/>
  <c r="AC861" i="1" s="1"/>
  <c r="AB287" i="1"/>
  <c r="AC287" i="1" s="1"/>
  <c r="AB798" i="1"/>
  <c r="AC798" i="1" s="1"/>
  <c r="AB531" i="1"/>
  <c r="AC531" i="1" s="1"/>
  <c r="AB175" i="1"/>
  <c r="AC175" i="1" s="1"/>
  <c r="AB784" i="1"/>
  <c r="AC784" i="1" s="1"/>
  <c r="AB36" i="1"/>
  <c r="AC36" i="1" s="1"/>
  <c r="AB416" i="1"/>
  <c r="AC416" i="1" s="1"/>
  <c r="AB266" i="1"/>
  <c r="AC266" i="1" s="1"/>
  <c r="AB688" i="1"/>
  <c r="AC688" i="1" s="1"/>
  <c r="AB99" i="1"/>
  <c r="AC99" i="1" s="1"/>
  <c r="AB130" i="1"/>
  <c r="AC130" i="1" s="1"/>
  <c r="AB457" i="1"/>
  <c r="AC457" i="1" s="1"/>
  <c r="AB940" i="1"/>
  <c r="AC940" i="1" s="1"/>
  <c r="AB1136" i="1"/>
  <c r="AC1136" i="1" s="1"/>
  <c r="AB1337" i="1"/>
  <c r="AC1337" i="1" s="1"/>
  <c r="AB13" i="1"/>
  <c r="AC13" i="1" s="1"/>
  <c r="AB41" i="1"/>
  <c r="AC41" i="1" s="1"/>
  <c r="AB458" i="1"/>
  <c r="AC458" i="1" s="1"/>
  <c r="AB708" i="1"/>
  <c r="AC708" i="1" s="1"/>
  <c r="AB960" i="1"/>
  <c r="AC960" i="1" s="1"/>
  <c r="AB185" i="1"/>
  <c r="AC185" i="1" s="1"/>
  <c r="AB559" i="1"/>
  <c r="AC559" i="1" s="1"/>
  <c r="AB683" i="1"/>
  <c r="AC683" i="1" s="1"/>
  <c r="AB271" i="1"/>
  <c r="AB285" i="1"/>
  <c r="AC285" i="1" s="1"/>
  <c r="AB537" i="1"/>
  <c r="AC537" i="1" s="1"/>
  <c r="AB827" i="1"/>
  <c r="AC827" i="1" s="1"/>
  <c r="AB840" i="1"/>
  <c r="AC840" i="1" s="1"/>
  <c r="AB878" i="1"/>
  <c r="AC878" i="1" s="1"/>
  <c r="AB995" i="1"/>
  <c r="AC995" i="1" s="1"/>
  <c r="AB1012" i="1"/>
  <c r="AC1012" i="1" s="1"/>
  <c r="AB1058" i="1"/>
  <c r="AC1058" i="1" s="1"/>
  <c r="AB1074" i="1"/>
  <c r="AC1074" i="1" s="1"/>
  <c r="AB1091" i="1"/>
  <c r="AC1091" i="1" s="1"/>
  <c r="AB1107" i="1"/>
  <c r="AC1107" i="1" s="1"/>
  <c r="AB1122" i="1"/>
  <c r="AC1122" i="1" s="1"/>
  <c r="AB1140" i="1"/>
  <c r="AC1140" i="1" s="1"/>
  <c r="AB1157" i="1"/>
  <c r="AC1157" i="1" s="1"/>
  <c r="AB1175" i="1"/>
  <c r="AC1175" i="1" s="1"/>
  <c r="AB1191" i="1"/>
  <c r="AC1191" i="1" s="1"/>
  <c r="AB1207" i="1"/>
  <c r="AC1207" i="1" s="1"/>
  <c r="AB1224" i="1"/>
  <c r="AC1224" i="1" s="1"/>
  <c r="AB300" i="1"/>
  <c r="AC300" i="1" s="1"/>
  <c r="AB1290" i="1"/>
  <c r="AC1290" i="1" s="1"/>
  <c r="AB1309" i="1"/>
  <c r="AC1309" i="1" s="1"/>
  <c r="AB1325" i="1"/>
  <c r="AC1325" i="1" s="1"/>
  <c r="AB1341" i="1"/>
  <c r="AC1341" i="1" s="1"/>
  <c r="AB1355" i="1"/>
  <c r="AC1355" i="1" s="1"/>
  <c r="AB1370" i="1"/>
  <c r="AC1370" i="1" s="1"/>
  <c r="AB1386" i="1"/>
  <c r="AC1386" i="1" s="1"/>
  <c r="AB1404" i="1"/>
  <c r="AC1404" i="1" s="1"/>
  <c r="AB1419" i="1"/>
  <c r="AC1419" i="1" s="1"/>
  <c r="AB1435" i="1"/>
  <c r="AC1435" i="1" s="1"/>
  <c r="AB1449" i="1"/>
  <c r="AC1449" i="1" s="1"/>
  <c r="AB1464" i="1"/>
  <c r="AC1464" i="1" s="1"/>
  <c r="AB1510" i="1"/>
  <c r="AC1510" i="1" s="1"/>
  <c r="AB1525" i="1"/>
  <c r="AC1525" i="1" s="1"/>
  <c r="AB65" i="1"/>
  <c r="AC65" i="1" s="1"/>
  <c r="AB76" i="1"/>
  <c r="AC76" i="1" s="1"/>
  <c r="AB114" i="1"/>
  <c r="AC114" i="1" s="1"/>
  <c r="AB1103" i="1"/>
  <c r="AC1103" i="1" s="1"/>
  <c r="AB288" i="1"/>
  <c r="AC288" i="1" s="1"/>
  <c r="AB1415" i="1"/>
  <c r="AC1415" i="1" s="1"/>
  <c r="AB318" i="1"/>
  <c r="AC318" i="1" s="1"/>
  <c r="AB331" i="1"/>
  <c r="AC331" i="1" s="1"/>
  <c r="AB374" i="1"/>
  <c r="AC374" i="1" s="1"/>
  <c r="AB433" i="1"/>
  <c r="AC433" i="1" s="1"/>
  <c r="AB446" i="1"/>
  <c r="AC446" i="1" s="1"/>
  <c r="AB624" i="1"/>
  <c r="AC624" i="1" s="1"/>
  <c r="AB671" i="1"/>
  <c r="AC671" i="1" s="1"/>
  <c r="AB922" i="1"/>
  <c r="AC922" i="1" s="1"/>
  <c r="AB54" i="1"/>
  <c r="AC54" i="1" s="1"/>
  <c r="AB101" i="1"/>
  <c r="AC101" i="1" s="1"/>
  <c r="AB198" i="1"/>
  <c r="AC198" i="1" s="1"/>
  <c r="AB224" i="1"/>
  <c r="AC224" i="1" s="1"/>
  <c r="AB815" i="1"/>
  <c r="AC815" i="1" s="1"/>
  <c r="AB199" i="1"/>
  <c r="AC199" i="1" s="1"/>
  <c r="AB225" i="1"/>
  <c r="AC225" i="1" s="1"/>
  <c r="AB249" i="1"/>
  <c r="AC249" i="1" s="1"/>
  <c r="AB473" i="1"/>
  <c r="AC473" i="1" s="1"/>
  <c r="AB816" i="1"/>
  <c r="AC816" i="1" s="1"/>
  <c r="AB274" i="1"/>
  <c r="AC274" i="1" s="1"/>
  <c r="AB296" i="1"/>
  <c r="AC296" i="1" s="1"/>
  <c r="AB308" i="1"/>
  <c r="AC308" i="1" s="1"/>
  <c r="AC538" i="1"/>
  <c r="AB538" i="1"/>
  <c r="AB549" i="1"/>
  <c r="AC549" i="1" s="1"/>
  <c r="AC697" i="1"/>
  <c r="AB697" i="1"/>
  <c r="AB893" i="1"/>
  <c r="AC893" i="1" s="1"/>
  <c r="AB275" i="1"/>
  <c r="AC275" i="1" s="1"/>
  <c r="AB461" i="1"/>
  <c r="AC461" i="1" s="1"/>
  <c r="AB781" i="1"/>
  <c r="AC781" i="1" s="1"/>
  <c r="AB1141" i="1"/>
  <c r="AC1141" i="1" s="1"/>
  <c r="AB1241" i="1"/>
  <c r="AC1241" i="1" s="1"/>
  <c r="AB1371" i="1"/>
  <c r="AC1371" i="1" s="1"/>
  <c r="AB107" i="1"/>
  <c r="AC107" i="1" s="1"/>
  <c r="AB1480" i="1"/>
  <c r="AC1480" i="1" s="1"/>
  <c r="AB1526" i="1"/>
  <c r="AC1526" i="1" s="1"/>
  <c r="AB17" i="1"/>
  <c r="AC17" i="1" s="1"/>
  <c r="AB45" i="1"/>
  <c r="AC45" i="1" s="1"/>
  <c r="AB57" i="1"/>
  <c r="AC57" i="1" s="1"/>
  <c r="AB135" i="1"/>
  <c r="AC135" i="1" s="1"/>
  <c r="AB148" i="1"/>
  <c r="AC148" i="1" s="1"/>
  <c r="AB189" i="1"/>
  <c r="AC189" i="1" s="1"/>
  <c r="AB202" i="1"/>
  <c r="AC202" i="1" s="1"/>
  <c r="AB251" i="1"/>
  <c r="AC251" i="1" s="1"/>
  <c r="AB1280" i="1"/>
  <c r="AC1280" i="1" s="1"/>
  <c r="AB1268" i="1"/>
  <c r="AC1268" i="1" s="1"/>
  <c r="AB310" i="1"/>
  <c r="AC310" i="1" s="1"/>
  <c r="AB425" i="1"/>
  <c r="AC425" i="1" s="1"/>
  <c r="AB500" i="1"/>
  <c r="AC500" i="1" s="1"/>
  <c r="AB586" i="1"/>
  <c r="AC586" i="1" s="1"/>
  <c r="AC615" i="1"/>
  <c r="AB615" i="1"/>
  <c r="AB638" i="1"/>
  <c r="AC638" i="1" s="1"/>
  <c r="AB699" i="1"/>
  <c r="AC699" i="1" s="1"/>
  <c r="AB726" i="1"/>
  <c r="AC726" i="1" s="1"/>
  <c r="AB768" i="1"/>
  <c r="AC768" i="1" s="1"/>
  <c r="AB795" i="1"/>
  <c r="AC795" i="1" s="1"/>
  <c r="AB829" i="1"/>
  <c r="AC829" i="1" s="1"/>
  <c r="AB844" i="1"/>
  <c r="AC844" i="1" s="1"/>
  <c r="AB858" i="1"/>
  <c r="AC858" i="1" s="1"/>
  <c r="AB868" i="1"/>
  <c r="AC868" i="1" s="1"/>
  <c r="AB495" i="1"/>
  <c r="AC495" i="1" s="1"/>
  <c r="AB444" i="1"/>
  <c r="AC444" i="1" s="1"/>
  <c r="AB1087" i="1"/>
  <c r="AC1087" i="1" s="1"/>
  <c r="AB1270" i="1"/>
  <c r="AC1270" i="1" s="1"/>
  <c r="AB890" i="1"/>
  <c r="AC890" i="1"/>
  <c r="AB116" i="1"/>
  <c r="AC116" i="1" s="1"/>
  <c r="AB307" i="1"/>
  <c r="AC307" i="1" s="1"/>
  <c r="AB469" i="1"/>
  <c r="AC469" i="1" s="1"/>
  <c r="AB14" i="1"/>
  <c r="AC14" i="1" s="1"/>
  <c r="AB43" i="1"/>
  <c r="AC43" i="1" s="1"/>
  <c r="AB320" i="1"/>
  <c r="AC320" i="1" s="1"/>
  <c r="AB510" i="1"/>
  <c r="AC510" i="1" s="1"/>
  <c r="AB523" i="1"/>
  <c r="AC523" i="1" s="1"/>
  <c r="AB548" i="1"/>
  <c r="AC548" i="1"/>
  <c r="AB855" i="1"/>
  <c r="AC855" i="1" s="1"/>
  <c r="AB877" i="1"/>
  <c r="AC877" i="1" s="1"/>
  <c r="AB29" i="1"/>
  <c r="AC29" i="1" s="1"/>
  <c r="AB70" i="1"/>
  <c r="AC70" i="1" s="1"/>
  <c r="AB414" i="1"/>
  <c r="AC414" i="1" s="1"/>
  <c r="AB436" i="1"/>
  <c r="AC436" i="1" s="1"/>
  <c r="AB598" i="1"/>
  <c r="AC598" i="1" s="1"/>
  <c r="AB856" i="1"/>
  <c r="AC856" i="1" s="1"/>
  <c r="AB978" i="1"/>
  <c r="AC978" i="1" s="1"/>
  <c r="AB147" i="1"/>
  <c r="AC147" i="1" s="1"/>
  <c r="AB323" i="1"/>
  <c r="AC323" i="1" s="1"/>
  <c r="AB351" i="1"/>
  <c r="AC351" i="1" s="1"/>
  <c r="AB637" i="1"/>
  <c r="AC637" i="1" s="1"/>
  <c r="AB894" i="1"/>
  <c r="AC894" i="1" s="1"/>
  <c r="AB996" i="1"/>
  <c r="AC996" i="1" s="1"/>
  <c r="AB1108" i="1"/>
  <c r="AC1108" i="1" s="1"/>
  <c r="AB1225" i="1"/>
  <c r="AC1225" i="1" s="1"/>
  <c r="AB1342" i="1"/>
  <c r="AC1342" i="1" s="1"/>
  <c r="AB1436" i="1"/>
  <c r="AC1436" i="1" s="1"/>
  <c r="AB1038" i="1"/>
  <c r="AB33" i="1"/>
  <c r="AC33" i="1" s="1"/>
  <c r="AB46" i="1"/>
  <c r="AC46" i="1" s="1"/>
  <c r="AB58" i="1"/>
  <c r="AC58" i="1" s="1"/>
  <c r="AB80" i="1"/>
  <c r="AC80" i="1" s="1"/>
  <c r="AB93" i="1"/>
  <c r="AC93" i="1" s="1"/>
  <c r="AB122" i="1"/>
  <c r="AC122" i="1" s="1"/>
  <c r="AB136" i="1"/>
  <c r="AC136" i="1" s="1"/>
  <c r="AB190" i="1"/>
  <c r="AC190" i="1" s="1"/>
  <c r="AB252" i="1"/>
  <c r="AC252" i="1" s="1"/>
  <c r="AC298" i="1"/>
  <c r="AC365" i="1"/>
  <c r="AB405" i="1"/>
  <c r="AC405" i="1" s="1"/>
  <c r="AB426" i="1"/>
  <c r="AC426" i="1" s="1"/>
  <c r="AB489" i="1"/>
  <c r="AC489" i="1" s="1"/>
  <c r="AB587" i="1"/>
  <c r="AC587" i="1" s="1"/>
  <c r="AB602" i="1"/>
  <c r="AC602" i="1" s="1"/>
  <c r="AB674" i="1"/>
  <c r="AC674" i="1"/>
  <c r="AB769" i="1"/>
  <c r="AC769" i="1" s="1"/>
  <c r="AB800" i="1"/>
  <c r="AC800" i="1"/>
  <c r="AB830" i="1"/>
  <c r="AC830" i="1" s="1"/>
  <c r="AB845" i="1"/>
  <c r="AC845" i="1" s="1"/>
  <c r="AB859" i="1"/>
  <c r="AC859" i="1" s="1"/>
  <c r="AB719" i="1"/>
  <c r="AC719" i="1" s="1"/>
  <c r="AB750" i="1"/>
  <c r="AC750" i="1" s="1"/>
  <c r="AB837" i="1"/>
  <c r="AC837" i="1" s="1"/>
  <c r="AB568" i="1"/>
  <c r="AC568" i="1" s="1"/>
  <c r="AC610" i="1"/>
  <c r="AB610" i="1"/>
  <c r="AB681" i="1"/>
  <c r="AC681" i="1" s="1"/>
  <c r="AB720" i="1"/>
  <c r="AC720" i="1"/>
  <c r="AB1054" i="1"/>
  <c r="AC1054" i="1" s="1"/>
  <c r="AB1236" i="1"/>
  <c r="AC1236" i="1" s="1"/>
  <c r="AB1431" i="1"/>
  <c r="AC1431" i="1" s="1"/>
  <c r="AB484" i="1"/>
  <c r="AC484" i="1" s="1"/>
  <c r="AB682" i="1"/>
  <c r="AC682" i="1" s="1"/>
  <c r="AB941" i="1"/>
  <c r="AC941" i="1" s="1"/>
  <c r="AB472" i="1"/>
  <c r="AC472" i="1" s="1"/>
  <c r="AB612" i="1"/>
  <c r="AC612" i="1" s="1"/>
  <c r="AB709" i="1"/>
  <c r="AC709" i="1" s="1"/>
  <c r="AB1391" i="1"/>
  <c r="AC1391" i="1" s="1"/>
  <c r="AB413" i="1"/>
  <c r="AC413" i="1" s="1"/>
  <c r="AB806" i="1"/>
  <c r="AC806" i="1" s="1"/>
  <c r="AB572" i="1"/>
  <c r="AC572" i="1" s="1"/>
  <c r="AB711" i="1"/>
  <c r="AC711" i="1" s="1"/>
  <c r="AB909" i="1"/>
  <c r="AC909" i="1" s="1"/>
  <c r="AB79" i="1"/>
  <c r="AC79" i="1"/>
  <c r="AB585" i="1"/>
  <c r="AC585" i="1"/>
  <c r="AB867" i="1"/>
  <c r="AC867" i="1" s="1"/>
  <c r="AB879" i="1"/>
  <c r="AC879" i="1" s="1"/>
  <c r="AB979" i="1"/>
  <c r="AC979" i="1" s="1"/>
  <c r="AB1291" i="1"/>
  <c r="AC1291" i="1" s="1"/>
  <c r="AB889" i="1"/>
  <c r="AC889" i="1" s="1"/>
  <c r="AB1008" i="1"/>
  <c r="AB34" i="1"/>
  <c r="AC34" i="1" s="1"/>
  <c r="AB59" i="1"/>
  <c r="AC59" i="1" s="1"/>
  <c r="AB73" i="1"/>
  <c r="AC73" i="1" s="1"/>
  <c r="AB81" i="1"/>
  <c r="AC81" i="1" s="1"/>
  <c r="AB123" i="1"/>
  <c r="AC123" i="1" s="1"/>
  <c r="AB164" i="1"/>
  <c r="AC164" i="1" s="1"/>
  <c r="AB276" i="1"/>
  <c r="AC276" i="1" s="1"/>
  <c r="AB286" i="1"/>
  <c r="AC286" i="1" s="1"/>
  <c r="AB353" i="1"/>
  <c r="AC353" i="1" s="1"/>
  <c r="AB380" i="1"/>
  <c r="AC380" i="1" s="1"/>
  <c r="AB490" i="1"/>
  <c r="AC490" i="1" s="1"/>
  <c r="AB563" i="1"/>
  <c r="AC563" i="1" s="1"/>
  <c r="AB575" i="1"/>
  <c r="AC575" i="1" s="1"/>
  <c r="AB588" i="1"/>
  <c r="AC588" i="1" s="1"/>
  <c r="AB627" i="1"/>
  <c r="AC627" i="1" s="1"/>
  <c r="AB640" i="1"/>
  <c r="AC640" i="1" s="1"/>
  <c r="AB1081" i="1"/>
  <c r="AC1081" i="1" s="1"/>
  <c r="AB675" i="1"/>
  <c r="AC675" i="1" s="1"/>
  <c r="AB743" i="1"/>
  <c r="AC743" i="1" s="1"/>
  <c r="AB757" i="1"/>
  <c r="AC757" i="1" s="1"/>
  <c r="AC820" i="1"/>
  <c r="AB860" i="1"/>
  <c r="AC860" i="1" s="1"/>
  <c r="AC869" i="1"/>
  <c r="AB581" i="1"/>
  <c r="AC581" i="1" s="1"/>
  <c r="AC1170" i="1"/>
  <c r="AB1170" i="1"/>
  <c r="AB67" i="1"/>
  <c r="AC67" i="1" s="1"/>
  <c r="AB558" i="1"/>
  <c r="AC558" i="1" s="1"/>
  <c r="AB736" i="1"/>
  <c r="AC736" i="1" s="1"/>
  <c r="AB778" i="1"/>
  <c r="AC778" i="1" s="1"/>
  <c r="AB791" i="1"/>
  <c r="AC791" i="1" s="1"/>
  <c r="AB976" i="1"/>
  <c r="AC976" i="1" s="1"/>
  <c r="AB991" i="1"/>
  <c r="AC991" i="1" s="1"/>
  <c r="AB1154" i="1"/>
  <c r="AC1154" i="1" s="1"/>
  <c r="AB31" i="1"/>
  <c r="AC31" i="1" s="1"/>
  <c r="AB333" i="1"/>
  <c r="AC333" i="1" s="1"/>
  <c r="AB362" i="1"/>
  <c r="AC362" i="1" s="1"/>
  <c r="AB389" i="1"/>
  <c r="AC389" i="1" s="1"/>
  <c r="AB401" i="1"/>
  <c r="AC401" i="1" s="1"/>
  <c r="AB710" i="1"/>
  <c r="AC710" i="1" s="1"/>
  <c r="AB460" i="1"/>
  <c r="AC460" i="1" s="1"/>
  <c r="AB626" i="1"/>
  <c r="AC626" i="1" s="1"/>
  <c r="AB963" i="1"/>
  <c r="AC963" i="1" s="1"/>
  <c r="AB284" i="1"/>
  <c r="AC284" i="1" s="1"/>
  <c r="AB695" i="1"/>
  <c r="AC695" i="1" s="1"/>
  <c r="AB1446" i="1"/>
  <c r="AC1446" i="1" s="1"/>
  <c r="AB16" i="1"/>
  <c r="AC16" i="1" s="1"/>
  <c r="AB238" i="1"/>
  <c r="AC238" i="1" s="1"/>
  <c r="AB263" i="1"/>
  <c r="AC263" i="1" s="1"/>
  <c r="AB698" i="1"/>
  <c r="AC698" i="1" s="1"/>
  <c r="AB926" i="1"/>
  <c r="AC926" i="1" s="1"/>
  <c r="AB1028" i="1"/>
  <c r="AC1028" i="1" s="1"/>
  <c r="AB1123" i="1"/>
  <c r="AC1123" i="1" s="1"/>
  <c r="AB1450" i="1"/>
  <c r="AC1450" i="1" s="1"/>
  <c r="AB511" i="1"/>
  <c r="AC511" i="1" s="1"/>
  <c r="AB625" i="1"/>
  <c r="AC625" i="1" s="1"/>
  <c r="AB1042" i="1"/>
  <c r="AC1042" i="1" s="1"/>
  <c r="AB1158" i="1"/>
  <c r="AC1158" i="1" s="1"/>
  <c r="AB1511" i="1"/>
  <c r="AC1511" i="1" s="1"/>
  <c r="AB177" i="1"/>
  <c r="AC177" i="1" s="1"/>
  <c r="AB241" i="1"/>
  <c r="AC241" i="1" s="1"/>
  <c r="AB254" i="1"/>
  <c r="AC254" i="1" s="1"/>
  <c r="AB277" i="1"/>
  <c r="AC277" i="1" s="1"/>
  <c r="AB339" i="1"/>
  <c r="AC339" i="1" s="1"/>
  <c r="AB354" i="1"/>
  <c r="AC354" i="1" s="1"/>
  <c r="AB381" i="1"/>
  <c r="AC381" i="1" s="1"/>
  <c r="AB427" i="1"/>
  <c r="AC427" i="1" s="1"/>
  <c r="AB478" i="1"/>
  <c r="AC478" i="1" s="1"/>
  <c r="AB564" i="1"/>
  <c r="AC564" i="1" s="1"/>
  <c r="AC576" i="1"/>
  <c r="AB576" i="1"/>
  <c r="AB604" i="1"/>
  <c r="AC604" i="1" s="1"/>
  <c r="AB628" i="1"/>
  <c r="AC628" i="1" s="1"/>
  <c r="AB641" i="1"/>
  <c r="AC641" i="1" s="1"/>
  <c r="AB729" i="1"/>
  <c r="AC729" i="1" s="1"/>
  <c r="AB758" i="1"/>
  <c r="AC758" i="1" s="1"/>
  <c r="AB771" i="1"/>
  <c r="AC771" i="1" s="1"/>
  <c r="AB832" i="1"/>
  <c r="AC832" i="1" s="1"/>
  <c r="AB870" i="1"/>
  <c r="AC870" i="1" s="1"/>
  <c r="AB182" i="1"/>
  <c r="AC182" i="1" s="1"/>
  <c r="AB707" i="1"/>
  <c r="AC707" i="1" s="1"/>
  <c r="AB1023" i="1"/>
  <c r="AC1023" i="1" s="1"/>
  <c r="AB1203" i="1"/>
  <c r="AC1203" i="1" s="1"/>
  <c r="AC1251" i="1"/>
  <c r="AB1251" i="1"/>
  <c r="AB235" i="1"/>
  <c r="AC235" i="1" s="1"/>
  <c r="AB582" i="1"/>
  <c r="AC582" i="1" s="1"/>
  <c r="AB865" i="1"/>
  <c r="AC865" i="1" s="1"/>
  <c r="AB876" i="1"/>
  <c r="AC876" i="1" s="1"/>
  <c r="AB42" i="1"/>
  <c r="AC42" i="1" s="1"/>
  <c r="AB236" i="1"/>
  <c r="AC236" i="1" s="1"/>
  <c r="AC348" i="1"/>
  <c r="AB55" i="1"/>
  <c r="AC55" i="1" s="1"/>
  <c r="AB90" i="1"/>
  <c r="AC90" i="1" s="1"/>
  <c r="AB334" i="1"/>
  <c r="AC334" i="1" s="1"/>
  <c r="AB597" i="1"/>
  <c r="AC597" i="1" s="1"/>
  <c r="AB220" i="1"/>
  <c r="AC220" i="1" s="1"/>
  <c r="AB696" i="1"/>
  <c r="AC696" i="1"/>
  <c r="AB78" i="1"/>
  <c r="AC78" i="1" s="1"/>
  <c r="AB91" i="1"/>
  <c r="AC91" i="1" s="1"/>
  <c r="AB119" i="1"/>
  <c r="AC119" i="1" s="1"/>
  <c r="AB173" i="1"/>
  <c r="AC173" i="1" s="1"/>
  <c r="AB200" i="1"/>
  <c r="AC200" i="1" s="1"/>
  <c r="AB214" i="1"/>
  <c r="AC214" i="1" s="1"/>
  <c r="AB448" i="1"/>
  <c r="AC448" i="1" s="1"/>
  <c r="AB662" i="1"/>
  <c r="AC662" i="1" s="1"/>
  <c r="AB807" i="1"/>
  <c r="AC807" i="1" s="1"/>
  <c r="AB817" i="1"/>
  <c r="AC817" i="1" s="1"/>
  <c r="AB828" i="1"/>
  <c r="AC828" i="1" s="1"/>
  <c r="AB1476" i="1"/>
  <c r="AC1476" i="1" s="1"/>
  <c r="AB201" i="1"/>
  <c r="AC201" i="1" s="1"/>
  <c r="AB449" i="1"/>
  <c r="AC449" i="1" s="1"/>
  <c r="AB910" i="1"/>
  <c r="AC910" i="1" s="1"/>
  <c r="AB1013" i="1"/>
  <c r="AC1013" i="1" s="1"/>
  <c r="AB1092" i="1"/>
  <c r="AC1092" i="1" s="1"/>
  <c r="AB1326" i="1"/>
  <c r="AC1326" i="1" s="1"/>
  <c r="AB1043" i="1"/>
  <c r="AC1043" i="1" s="1"/>
  <c r="AB21" i="1"/>
  <c r="AC21" i="1" s="1"/>
  <c r="AB48" i="1"/>
  <c r="AC48" i="1" s="1"/>
  <c r="AB61" i="1"/>
  <c r="AC61" i="1" s="1"/>
  <c r="AB82" i="1"/>
  <c r="AC82" i="1" s="1"/>
  <c r="AB110" i="1"/>
  <c r="AC110" i="1" s="1"/>
  <c r="AB138" i="1"/>
  <c r="AC138" i="1" s="1"/>
  <c r="AB153" i="1"/>
  <c r="AC153" i="1" s="1"/>
  <c r="AB242" i="1"/>
  <c r="AC242" i="1" s="1"/>
  <c r="AC255" i="1"/>
  <c r="AB278" i="1"/>
  <c r="AC278" i="1" s="1"/>
  <c r="AB340" i="1"/>
  <c r="AC340" i="1" s="1"/>
  <c r="AB367" i="1"/>
  <c r="AC367" i="1" s="1"/>
  <c r="AB618" i="1"/>
  <c r="AC618" i="1" s="1"/>
  <c r="AB730" i="1"/>
  <c r="AC730" i="1" s="1"/>
  <c r="AB810" i="1"/>
  <c r="AC810" i="1" s="1"/>
  <c r="AB848" i="1"/>
  <c r="AC848" i="1" s="1"/>
  <c r="AB345" i="1"/>
  <c r="AC345" i="1" s="1"/>
  <c r="AB359" i="1"/>
  <c r="AC359" i="1" s="1"/>
  <c r="AB386" i="1"/>
  <c r="AC386" i="1" s="1"/>
  <c r="AB398" i="1"/>
  <c r="AC398" i="1" s="1"/>
  <c r="AB410" i="1"/>
  <c r="AC410" i="1" s="1"/>
  <c r="AB421" i="1"/>
  <c r="AC421" i="1" s="1"/>
  <c r="AB330" i="1"/>
  <c r="AC330" i="1" s="1"/>
  <c r="AB507" i="1"/>
  <c r="AC507" i="1" s="1"/>
  <c r="AB959" i="1"/>
  <c r="AC959" i="1" s="1"/>
  <c r="AB1220" i="1"/>
  <c r="AC1220" i="1" s="1"/>
  <c r="AB89" i="1"/>
  <c r="AC89" i="1" s="1"/>
  <c r="AB569" i="1"/>
  <c r="AC569" i="1" s="1"/>
  <c r="AB906" i="1"/>
  <c r="AC906" i="1" s="1"/>
  <c r="AB159" i="1"/>
  <c r="AC159" i="1" s="1"/>
  <c r="AB319" i="1"/>
  <c r="AC319" i="1" s="1"/>
  <c r="AB172" i="1"/>
  <c r="AC172" i="1" s="1"/>
  <c r="AB423" i="1"/>
  <c r="AC423" i="1" s="1"/>
  <c r="AB722" i="1"/>
  <c r="AC722" i="1" s="1"/>
  <c r="AB753" i="1"/>
  <c r="AC753" i="1" s="1"/>
  <c r="AB766" i="1"/>
  <c r="AC766" i="1" s="1"/>
  <c r="AB321" i="1"/>
  <c r="AC321" i="1" s="1"/>
  <c r="AB350" i="1"/>
  <c r="AC350" i="1" s="1"/>
  <c r="AB363" i="1"/>
  <c r="AC363" i="1" s="1"/>
  <c r="AB584" i="1"/>
  <c r="AC584" i="1" s="1"/>
  <c r="AB723" i="1"/>
  <c r="AC723" i="1" s="1"/>
  <c r="AB924" i="1"/>
  <c r="AC924" i="1" s="1"/>
  <c r="AB499" i="1"/>
  <c r="AC499" i="1" s="1"/>
  <c r="AB573" i="1"/>
  <c r="AC573" i="1" s="1"/>
  <c r="AB794" i="1"/>
  <c r="AC794" i="1" s="1"/>
  <c r="AB818" i="1"/>
  <c r="AC818" i="1" s="1"/>
  <c r="AB1059" i="1"/>
  <c r="AC1059" i="1" s="1"/>
  <c r="AB1176" i="1"/>
  <c r="AC1176" i="1" s="1"/>
  <c r="AC1310" i="1"/>
  <c r="AB1310" i="1"/>
  <c r="AB1405" i="1"/>
  <c r="AC1405" i="1" s="1"/>
  <c r="AB305" i="1"/>
  <c r="AC305" i="1" s="1"/>
  <c r="AB945" i="1"/>
  <c r="AC945" i="1" s="1"/>
  <c r="AB1264" i="1"/>
  <c r="AB49" i="1"/>
  <c r="AC49" i="1" s="1"/>
  <c r="AB111" i="1"/>
  <c r="AC111" i="1" s="1"/>
  <c r="AB139" i="1"/>
  <c r="AC139" i="1" s="1"/>
  <c r="AB231" i="1"/>
  <c r="AC231" i="1" s="1"/>
  <c r="AB332" i="1"/>
  <c r="AC332" i="1" s="1"/>
  <c r="AB368" i="1"/>
  <c r="AC368" i="1" s="1"/>
  <c r="AB383" i="1"/>
  <c r="AC383" i="1" s="1"/>
  <c r="AB492" i="1"/>
  <c r="AC492" i="1" s="1"/>
  <c r="AB542" i="1"/>
  <c r="AC542" i="1" s="1"/>
  <c r="AB554" i="1"/>
  <c r="AC554" i="1" s="1"/>
  <c r="AB629" i="1"/>
  <c r="AC629" i="1" s="1"/>
  <c r="AB690" i="1"/>
  <c r="AC690" i="1" s="1"/>
  <c r="AB841" i="1"/>
  <c r="AC841" i="1" s="1"/>
  <c r="AB746" i="1"/>
  <c r="AC746" i="1" s="1"/>
  <c r="AB759" i="1"/>
  <c r="AC759" i="1" s="1"/>
  <c r="AB871" i="1"/>
  <c r="AC871" i="1" s="1"/>
  <c r="AB594" i="1"/>
  <c r="AC594" i="1" s="1"/>
  <c r="AB294" i="1"/>
  <c r="AC294" i="1" s="1"/>
  <c r="AB470" i="1"/>
  <c r="AC470" i="1" s="1"/>
  <c r="AB921" i="1"/>
  <c r="AC921" i="1" s="1"/>
  <c r="AB1461" i="1"/>
  <c r="AC1461" i="1" s="1"/>
  <c r="AB1492" i="1"/>
  <c r="AC1492" i="1" s="1"/>
  <c r="AB22" i="1"/>
  <c r="AC22" i="1" s="1"/>
  <c r="AB84" i="1"/>
  <c r="AC84" i="1" s="1"/>
  <c r="AB232" i="1"/>
  <c r="AC232" i="1" s="1"/>
  <c r="AB327" i="1"/>
  <c r="AC327" i="1" s="1"/>
  <c r="AB356" i="1"/>
  <c r="AC356" i="1" s="1"/>
  <c r="AB466" i="1"/>
  <c r="AC466" i="1" s="1"/>
  <c r="AB493" i="1"/>
  <c r="AC493" i="1" s="1"/>
  <c r="AB630" i="1"/>
  <c r="AC630" i="1" s="1"/>
  <c r="AB644" i="1"/>
  <c r="AC644" i="1" s="1"/>
  <c r="AB656" i="1"/>
  <c r="AC656" i="1" s="1"/>
  <c r="AB667" i="1"/>
  <c r="AC667" i="1" s="1"/>
  <c r="AB717" i="1"/>
  <c r="AC717" i="1" s="1"/>
  <c r="AB850" i="1"/>
  <c r="AC850" i="1" s="1"/>
  <c r="AB901" i="1"/>
  <c r="AC901" i="1" s="1"/>
  <c r="AB918" i="1"/>
  <c r="AC918" i="1" s="1"/>
  <c r="AC954" i="1"/>
  <c r="AB971" i="1"/>
  <c r="AC971" i="1" s="1"/>
  <c r="AB986" i="1"/>
  <c r="AC986" i="1" s="1"/>
  <c r="AB1020" i="1"/>
  <c r="AC1020" i="1" s="1"/>
  <c r="AC1035" i="1"/>
  <c r="AC1050" i="1"/>
  <c r="AB1066" i="1"/>
  <c r="AC1066" i="1" s="1"/>
  <c r="AB1083" i="1"/>
  <c r="AC1083" i="1" s="1"/>
  <c r="AC1099" i="1"/>
  <c r="AB1115" i="1"/>
  <c r="AC1115" i="1" s="1"/>
  <c r="AC1131" i="1"/>
  <c r="AB1148" i="1"/>
  <c r="AC1148" i="1" s="1"/>
  <c r="AB1183" i="1"/>
  <c r="AC1183" i="1" s="1"/>
  <c r="AB1199" i="1"/>
  <c r="AC1199" i="1" s="1"/>
  <c r="AB1216" i="1"/>
  <c r="AC1216" i="1" s="1"/>
  <c r="AB1232" i="1"/>
  <c r="AC1232" i="1" s="1"/>
  <c r="AC1249" i="1"/>
  <c r="AB1283" i="1"/>
  <c r="AC1283" i="1" s="1"/>
  <c r="AB1299" i="1"/>
  <c r="AC1299" i="1" s="1"/>
  <c r="AC1317" i="1"/>
  <c r="AB1333" i="1"/>
  <c r="AC1333" i="1" s="1"/>
  <c r="AC1347" i="1"/>
  <c r="AB1363" i="1"/>
  <c r="AC1363" i="1" s="1"/>
  <c r="AB1378" i="1"/>
  <c r="AC1378" i="1" s="1"/>
  <c r="AB1396" i="1"/>
  <c r="AC1396" i="1" s="1"/>
  <c r="AC1412" i="1"/>
  <c r="AB1427" i="1"/>
  <c r="AC1427" i="1" s="1"/>
  <c r="AB1457" i="1"/>
  <c r="AC1457" i="1" s="1"/>
  <c r="AB1472" i="1"/>
  <c r="AC1472" i="1" s="1"/>
  <c r="AC1488" i="1"/>
  <c r="AC1503" i="1"/>
  <c r="AB1518" i="1"/>
  <c r="AC1518" i="1" s="1"/>
  <c r="AB140" i="1"/>
  <c r="AC140" i="1" s="1"/>
  <c r="AB824" i="1"/>
  <c r="AC824" i="1" s="1"/>
  <c r="AB595" i="1"/>
  <c r="AC595" i="1" s="1"/>
  <c r="AB975" i="1"/>
  <c r="AC975" i="1" s="1"/>
  <c r="AB1367" i="1"/>
  <c r="AC1367" i="1" s="1"/>
  <c r="AB115" i="1"/>
  <c r="AC115" i="1" s="1"/>
  <c r="AB167" i="1"/>
  <c r="AC167" i="1" s="1"/>
  <c r="AB219" i="1"/>
  <c r="AC219" i="1" s="1"/>
  <c r="AB290" i="1"/>
  <c r="AC290" i="1" s="1"/>
  <c r="AB441" i="1"/>
  <c r="AC441" i="1" s="1"/>
  <c r="AB691" i="1"/>
  <c r="AC691" i="1" s="1"/>
  <c r="AB745" i="1"/>
  <c r="AC745" i="1" s="1"/>
  <c r="AB885" i="1"/>
  <c r="AC885" i="1" s="1"/>
  <c r="AB905" i="1"/>
  <c r="AC905" i="1" s="1"/>
  <c r="AB142" i="1"/>
  <c r="AC142" i="1" s="1"/>
  <c r="AB244" i="1"/>
  <c r="AC244" i="1" s="1"/>
  <c r="AB269" i="1"/>
  <c r="AC269" i="1" s="1"/>
  <c r="AB344" i="1"/>
  <c r="AC344" i="1" s="1"/>
  <c r="AB455" i="1"/>
  <c r="AC455" i="1" s="1"/>
  <c r="AB607" i="1"/>
  <c r="AC607" i="1" s="1"/>
  <c r="AB732" i="1"/>
  <c r="AC732" i="1" s="1"/>
  <c r="AB835" i="1"/>
  <c r="AC835" i="1" s="1"/>
  <c r="AB886" i="1"/>
  <c r="AC886" i="1" s="1"/>
  <c r="AB917" i="1"/>
  <c r="AC917" i="1" s="1"/>
  <c r="AC956" i="1"/>
  <c r="AB987" i="1"/>
  <c r="AC987" i="1" s="1"/>
  <c r="AC1051" i="1"/>
  <c r="AB1084" i="1"/>
  <c r="AC1084" i="1" s="1"/>
  <c r="AB1116" i="1"/>
  <c r="AC1116" i="1" s="1"/>
  <c r="AB1149" i="1"/>
  <c r="AC1149" i="1" s="1"/>
  <c r="AB1184" i="1"/>
  <c r="AC1184" i="1" s="1"/>
  <c r="AB1217" i="1"/>
  <c r="AC1217" i="1" s="1"/>
  <c r="AB1233" i="1"/>
  <c r="AC1233" i="1" s="1"/>
  <c r="AB1250" i="1"/>
  <c r="AC1250" i="1" s="1"/>
  <c r="AC1265" i="1"/>
  <c r="AC1284" i="1"/>
  <c r="AB1301" i="1"/>
  <c r="AC1301" i="1" s="1"/>
  <c r="AB1318" i="1"/>
  <c r="AC1318" i="1" s="1"/>
  <c r="AC1334" i="1"/>
  <c r="AB1348" i="1"/>
  <c r="AC1348" i="1" s="1"/>
  <c r="AC1364" i="1"/>
  <c r="AC1379" i="1"/>
  <c r="AB1379" i="1"/>
  <c r="AB1397" i="1"/>
  <c r="AC1397" i="1" s="1"/>
  <c r="AB163" i="1"/>
  <c r="AC163" i="1" s="1"/>
  <c r="AC1428" i="1"/>
  <c r="AB1444" i="1"/>
  <c r="AC1444" i="1" s="1"/>
  <c r="AC1458" i="1"/>
  <c r="AB1473" i="1"/>
  <c r="AC1473" i="1" s="1"/>
  <c r="AB1489" i="1"/>
  <c r="AC1489" i="1" s="1"/>
  <c r="AC1519" i="1"/>
  <c r="AB151" i="1"/>
  <c r="AC151" i="1" s="1"/>
  <c r="AB713" i="1"/>
  <c r="AC713" i="1" s="1"/>
  <c r="AB3" i="1"/>
  <c r="AC3" i="1" s="1"/>
  <c r="AB196" i="1"/>
  <c r="AC196" i="1" s="1"/>
  <c r="AB234" i="1"/>
  <c r="AC234" i="1" s="1"/>
  <c r="AB170" i="1"/>
  <c r="AC170" i="1" s="1"/>
  <c r="AB211" i="1"/>
  <c r="AC211" i="1" s="1"/>
  <c r="AB223" i="1"/>
  <c r="AC223" i="1" s="1"/>
  <c r="AB432" i="1"/>
  <c r="AC432" i="1" s="1"/>
  <c r="AB176" i="1"/>
  <c r="AC176" i="1" s="1"/>
  <c r="AB1506" i="1"/>
  <c r="AC1506" i="1" s="1"/>
  <c r="AB207" i="1"/>
  <c r="AC207" i="1" s="1"/>
  <c r="AB243" i="1"/>
  <c r="AC243" i="1" s="1"/>
  <c r="AB343" i="1"/>
  <c r="AC343" i="1" s="1"/>
  <c r="AB454" i="1"/>
  <c r="AC454" i="1" s="1"/>
  <c r="AB543" i="1"/>
  <c r="AC543" i="1" s="1"/>
  <c r="AB555" i="1"/>
  <c r="AC555" i="1" s="1"/>
  <c r="AB704" i="1"/>
  <c r="AC704" i="1" s="1"/>
  <c r="AB760" i="1"/>
  <c r="AC760" i="1" s="1"/>
  <c r="AB799" i="1"/>
  <c r="AC799" i="1"/>
  <c r="AB822" i="1"/>
  <c r="AC822" i="1" s="1"/>
  <c r="AB8" i="1"/>
  <c r="AC8" i="1" s="1"/>
  <c r="AB23" i="1"/>
  <c r="AC23" i="1" s="1"/>
  <c r="AB85" i="1"/>
  <c r="AC85" i="1"/>
  <c r="AB208" i="1"/>
  <c r="AC208" i="1" s="1"/>
  <c r="AB221" i="1"/>
  <c r="AC221" i="1" s="1"/>
  <c r="AB315" i="1"/>
  <c r="AC315" i="1" s="1"/>
  <c r="AB357" i="1"/>
  <c r="AC357" i="1" s="1"/>
  <c r="AB369" i="1"/>
  <c r="AC369" i="1" s="1"/>
  <c r="AB442" i="1"/>
  <c r="AC442" i="1" s="1"/>
  <c r="AB467" i="1"/>
  <c r="AC467" i="1" s="1"/>
  <c r="AB481" i="1"/>
  <c r="AC481" i="1" s="1"/>
  <c r="AB505" i="1"/>
  <c r="AC505" i="1" s="1"/>
  <c r="AB621" i="1"/>
  <c r="AC621" i="1" s="1"/>
  <c r="AB631" i="1"/>
  <c r="AC631" i="1" s="1"/>
  <c r="AB705" i="1"/>
  <c r="AC705" i="1" s="1"/>
  <c r="AB851" i="1"/>
  <c r="AC851" i="1" s="1"/>
  <c r="AB902" i="1"/>
  <c r="AC902" i="1" s="1"/>
  <c r="AB936" i="1"/>
  <c r="AC936" i="1" s="1"/>
  <c r="AB1005" i="1"/>
  <c r="AC1005" i="1" s="1"/>
  <c r="AB1036" i="1"/>
  <c r="AC1036" i="1" s="1"/>
  <c r="AB1067" i="1"/>
  <c r="AC1067" i="1" s="1"/>
  <c r="AB1100" i="1"/>
  <c r="AC1100" i="1" s="1"/>
  <c r="AC1167" i="1"/>
  <c r="AB1200" i="1"/>
  <c r="AC1200" i="1" s="1"/>
  <c r="AB237" i="1"/>
  <c r="AC237" i="1" s="1"/>
  <c r="AB650" i="1"/>
  <c r="AC650" i="1" s="1"/>
  <c r="AB1021" i="1"/>
  <c r="AC1021" i="1" s="1"/>
  <c r="AB1132" i="1"/>
  <c r="AC1132" i="1" s="1"/>
  <c r="AB1240" i="1"/>
  <c r="AC1240" i="1" s="1"/>
  <c r="AB1305" i="1"/>
  <c r="AC1305" i="1" s="1"/>
  <c r="AB9" i="1"/>
  <c r="AC9" i="1" s="1"/>
  <c r="AB51" i="1"/>
  <c r="AC51" i="1" s="1"/>
  <c r="AB98" i="1"/>
  <c r="AC98" i="1" s="1"/>
  <c r="AB143" i="1"/>
  <c r="AC143" i="1" s="1"/>
  <c r="AB181" i="1"/>
  <c r="AC181" i="1" s="1"/>
  <c r="AB195" i="1"/>
  <c r="AC195" i="1" s="1"/>
  <c r="AB245" i="1"/>
  <c r="AC245" i="1" s="1"/>
  <c r="AB304" i="1"/>
  <c r="AC304" i="1" s="1"/>
  <c r="AB316" i="1"/>
  <c r="AC316" i="1" s="1"/>
  <c r="AB1211" i="1"/>
  <c r="AC1211" i="1" s="1"/>
  <c r="AB494" i="1"/>
  <c r="AC494" i="1" s="1"/>
  <c r="AB1003" i="1"/>
  <c r="AC1003" i="1" s="1"/>
  <c r="AB608" i="1"/>
  <c r="AC608" i="1" s="1"/>
  <c r="AB622" i="1"/>
  <c r="AC622" i="1" s="1"/>
  <c r="AB748" i="1"/>
  <c r="AC748" i="1" s="1"/>
  <c r="AB836" i="1"/>
  <c r="AC836" i="1" s="1"/>
  <c r="AB874" i="1"/>
  <c r="AC874" i="1" s="1"/>
  <c r="AB1071" i="1"/>
  <c r="AC1071" i="1" s="1"/>
  <c r="AB1104" i="1"/>
  <c r="AC1104" i="1" s="1"/>
  <c r="AB37" i="1"/>
  <c r="AC37" i="1" s="1"/>
  <c r="AB157" i="1"/>
  <c r="AC157" i="1" s="1"/>
  <c r="AB247" i="1"/>
  <c r="AC247" i="1" s="1"/>
  <c r="AB1469" i="1"/>
  <c r="AC1469" i="1" s="1"/>
  <c r="AB404" i="1"/>
  <c r="AB71" i="1"/>
  <c r="AC71" i="1" s="1"/>
  <c r="AB126" i="1"/>
  <c r="AC126" i="1" s="1"/>
  <c r="AB212" i="1"/>
  <c r="AC212" i="1" s="1"/>
  <c r="AB256" i="1"/>
  <c r="AC256" i="1" s="1"/>
  <c r="AB297" i="1"/>
  <c r="AC297" i="1" s="1"/>
  <c r="AB366" i="1"/>
  <c r="AC366" i="1" s="1"/>
  <c r="AB379" i="1"/>
  <c r="AC379" i="1"/>
  <c r="AB390" i="1"/>
  <c r="AC390" i="1" s="1"/>
  <c r="AB402" i="1"/>
  <c r="AC402" i="1" s="1"/>
  <c r="AB471" i="1"/>
  <c r="AC471" i="1" s="1"/>
  <c r="AB482" i="1"/>
  <c r="AC482" i="1" s="1"/>
  <c r="AB515" i="1"/>
  <c r="AC515" i="1" s="1"/>
  <c r="AB540" i="1"/>
  <c r="AC540" i="1" s="1"/>
  <c r="AB552" i="1"/>
  <c r="AC552" i="1" s="1"/>
  <c r="AB562" i="1"/>
  <c r="AC562" i="1" s="1"/>
  <c r="AB600" i="1"/>
  <c r="AC600" i="1" s="1"/>
  <c r="AB642" i="1"/>
  <c r="AC642" i="1" s="1"/>
  <c r="AB734" i="1"/>
  <c r="AC734" i="1" s="1"/>
  <c r="AB747" i="1"/>
  <c r="AC747" i="1" s="1"/>
  <c r="AB770" i="1"/>
  <c r="AC770" i="1" s="1"/>
  <c r="AB782" i="1"/>
  <c r="AC782" i="1"/>
  <c r="AB796" i="1"/>
  <c r="AC796" i="1" s="1"/>
  <c r="AB849" i="1"/>
  <c r="AC849" i="1" s="1"/>
  <c r="AC1433" i="1"/>
  <c r="AB1009" i="1"/>
  <c r="AC1009" i="1" s="1"/>
  <c r="AB1024" i="1"/>
  <c r="AC1024" i="1" s="1"/>
  <c r="AB4" i="1"/>
  <c r="AC4" i="1" s="1"/>
  <c r="AB39" i="1"/>
  <c r="AC39" i="1" s="1"/>
  <c r="AB102" i="1"/>
  <c r="AC102" i="1" s="1"/>
  <c r="AB1338" i="1"/>
  <c r="AC1338" i="1" s="1"/>
  <c r="AB1462" i="1"/>
  <c r="AC1462" i="1" s="1"/>
  <c r="AB72" i="1"/>
  <c r="AC72" i="1" s="1"/>
  <c r="AB100" i="1"/>
  <c r="AC100" i="1" s="1"/>
  <c r="AB128" i="1"/>
  <c r="AC128" i="1" s="1"/>
  <c r="AB174" i="1"/>
  <c r="AC174" i="1" s="1"/>
  <c r="AB213" i="1"/>
  <c r="AC213" i="1" s="1"/>
  <c r="AB1300" i="1"/>
  <c r="AC1300" i="1" s="1"/>
  <c r="AB268" i="1"/>
  <c r="AC268" i="1"/>
  <c r="AB403" i="1"/>
  <c r="AC403" i="1" s="1"/>
  <c r="AB434" i="1"/>
  <c r="AC434" i="1" s="1"/>
  <c r="AB504" i="1"/>
  <c r="AC504" i="1" s="1"/>
  <c r="AB516" i="1"/>
  <c r="AC516" i="1" s="1"/>
  <c r="AB530" i="1"/>
  <c r="AC530" i="1" s="1"/>
  <c r="AB623" i="1"/>
  <c r="AC623" i="1" s="1"/>
  <c r="AB643" i="1"/>
  <c r="AC643" i="1" s="1"/>
  <c r="AB655" i="1"/>
  <c r="AC655" i="1" s="1"/>
  <c r="AB666" i="1"/>
  <c r="AC666" i="1" s="1"/>
  <c r="AB676" i="1"/>
  <c r="AC676" i="1" s="1"/>
  <c r="AB783" i="1"/>
  <c r="AC783" i="1" s="1"/>
  <c r="AB797" i="1"/>
  <c r="AC797" i="1" s="1"/>
  <c r="AB808" i="1"/>
  <c r="AC808" i="1" s="1"/>
  <c r="AB1120" i="1"/>
  <c r="AC1120" i="1" s="1"/>
  <c r="AB1306" i="1"/>
  <c r="AC1306" i="1" s="1"/>
  <c r="AB24" i="1"/>
  <c r="AC24" i="1" s="1"/>
  <c r="AB62" i="1"/>
  <c r="AC62" i="1" s="1"/>
  <c r="AB118" i="1"/>
  <c r="AC118" i="1" s="1"/>
  <c r="AB155" i="1"/>
  <c r="AC155" i="1" s="1"/>
  <c r="AB191" i="1"/>
  <c r="AC191" i="1" s="1"/>
  <c r="AB203" i="1"/>
  <c r="AC203" i="1" s="1"/>
  <c r="AB215" i="1"/>
  <c r="AC215" i="1" s="1"/>
  <c r="AB258" i="1"/>
  <c r="AC258" i="1"/>
  <c r="AB270" i="1"/>
  <c r="AC270" i="1" s="1"/>
  <c r="AB280" i="1"/>
  <c r="AC280" i="1" s="1"/>
  <c r="AB311" i="1"/>
  <c r="AC311" i="1" s="1"/>
  <c r="AB324" i="1"/>
  <c r="AC324" i="1" s="1"/>
  <c r="AB335" i="1"/>
  <c r="AC335" i="1" s="1"/>
  <c r="AB347" i="1"/>
  <c r="AC347" i="1" s="1"/>
  <c r="AB358" i="1"/>
  <c r="AC358" i="1" s="1"/>
  <c r="AB382" i="1"/>
  <c r="AC382" i="1" s="1"/>
  <c r="AB393" i="1"/>
  <c r="AC393" i="1" s="1"/>
  <c r="AB417" i="1"/>
  <c r="AC417" i="1" s="1"/>
  <c r="AB450" i="1"/>
  <c r="AC450" i="1" s="1"/>
  <c r="AB462" i="1"/>
  <c r="AC462" i="1" s="1"/>
  <c r="AB474" i="1"/>
  <c r="AC474" i="1" s="1"/>
  <c r="AB506" i="1"/>
  <c r="AC506" i="1" s="1"/>
  <c r="AB518" i="1"/>
  <c r="AC518" i="1" s="1"/>
  <c r="AB532" i="1"/>
  <c r="AC532" i="1" s="1"/>
  <c r="AB603" i="1"/>
  <c r="AC603" i="1" s="1"/>
  <c r="AB614" i="1"/>
  <c r="AC614" i="1" s="1"/>
  <c r="AB645" i="1"/>
  <c r="AC645" i="1" s="1"/>
  <c r="AB668" i="1"/>
  <c r="AC668" i="1" s="1"/>
  <c r="AB678" i="1"/>
  <c r="AC678" i="1" s="1"/>
  <c r="AB689" i="1"/>
  <c r="AC689" i="1" s="1"/>
  <c r="AB712" i="1"/>
  <c r="AC712" i="1" s="1"/>
  <c r="AB724" i="1"/>
  <c r="AC724" i="1" s="1"/>
  <c r="AB737" i="1"/>
  <c r="AC737" i="1" s="1"/>
  <c r="AB773" i="1"/>
  <c r="AC773" i="1" s="1"/>
  <c r="AC785" i="1"/>
  <c r="AB764" i="1"/>
  <c r="AC764" i="1" s="1"/>
  <c r="AB809" i="1"/>
  <c r="AC809" i="1" s="1"/>
  <c r="AB839" i="1"/>
  <c r="AC839" i="1" s="1"/>
  <c r="AB862" i="1"/>
  <c r="AC862" i="1" s="1"/>
  <c r="AB56" i="1"/>
  <c r="AC56" i="1" s="1"/>
  <c r="AB1287" i="1"/>
  <c r="AC1287" i="1" s="1"/>
  <c r="AB1432" i="1"/>
  <c r="AC1432" i="1" s="1"/>
  <c r="AB132" i="1"/>
  <c r="AC132" i="1" s="1"/>
  <c r="AB248" i="1"/>
  <c r="AC248" i="1" s="1"/>
  <c r="AB259" i="1"/>
  <c r="AC259" i="1" s="1"/>
  <c r="AB394" i="1"/>
  <c r="AC394" i="1" s="1"/>
  <c r="AB407" i="1"/>
  <c r="AC407" i="1" s="1"/>
  <c r="AC519" i="1"/>
  <c r="AB533" i="1"/>
  <c r="AC533" i="1" s="1"/>
  <c r="AB565" i="1"/>
  <c r="AC565" i="1" s="1"/>
  <c r="AB634" i="1"/>
  <c r="AC634" i="1" s="1"/>
  <c r="AB646" i="1"/>
  <c r="AC646" i="1" s="1"/>
  <c r="AB658" i="1"/>
  <c r="AC658" i="1" s="1"/>
  <c r="AB751" i="1"/>
  <c r="AC751" i="1" s="1"/>
  <c r="AB774" i="1"/>
  <c r="AC774" i="1" s="1"/>
  <c r="AB786" i="1"/>
  <c r="AC786" i="1" s="1"/>
  <c r="AC1312" i="1"/>
  <c r="AC1452" i="1"/>
  <c r="AC105" i="1"/>
  <c r="AC1483" i="1"/>
  <c r="AC1499" i="1"/>
  <c r="AC1513" i="1"/>
  <c r="AC1528" i="1"/>
  <c r="AC25" i="1"/>
  <c r="AC1247" i="1"/>
  <c r="AB260" i="1"/>
  <c r="AC260" i="1" s="1"/>
  <c r="AB312" i="1"/>
  <c r="AC312" i="1" s="1"/>
  <c r="AB1231" i="1"/>
  <c r="AC1231" i="1" s="1"/>
  <c r="AB336" i="1"/>
  <c r="AC336" i="1" s="1"/>
  <c r="AB1150" i="1"/>
  <c r="AC1150" i="1" s="1"/>
  <c r="AB418" i="1"/>
  <c r="AC418" i="1" s="1"/>
  <c r="AB451" i="1"/>
  <c r="AC451" i="1" s="1"/>
  <c r="AB475" i="1"/>
  <c r="AC475" i="1" s="1"/>
  <c r="AB486" i="1"/>
  <c r="AC486" i="1" s="1"/>
  <c r="AB497" i="1"/>
  <c r="AC497" i="1" s="1"/>
  <c r="AB534" i="1"/>
  <c r="AC534" i="1" s="1"/>
  <c r="AB546" i="1"/>
  <c r="AC546" i="1" s="1"/>
  <c r="AB566" i="1"/>
  <c r="AC566" i="1" s="1"/>
  <c r="AB578" i="1"/>
  <c r="AC578" i="1" s="1"/>
  <c r="AB647" i="1"/>
  <c r="AC647" i="1" s="1"/>
  <c r="AB659" i="1"/>
  <c r="AC659" i="1" s="1"/>
  <c r="AB670" i="1"/>
  <c r="AC670" i="1" s="1"/>
  <c r="AB680" i="1"/>
  <c r="AC680" i="1" s="1"/>
  <c r="AB701" i="1"/>
  <c r="AC701" i="1" s="1"/>
  <c r="AB714" i="1"/>
  <c r="AC714" i="1" s="1"/>
  <c r="AB752" i="1"/>
  <c r="AC752" i="1" s="1"/>
  <c r="AB787" i="1"/>
  <c r="AC787" i="1" s="1"/>
  <c r="AC1329" i="1"/>
  <c r="AC1345" i="1"/>
  <c r="AC1359" i="1"/>
  <c r="AC1374" i="1"/>
  <c r="AC1423" i="1"/>
  <c r="AC1439" i="1"/>
  <c r="AC1453" i="1"/>
  <c r="AC1468" i="1"/>
  <c r="AC1484" i="1"/>
  <c r="AC1500" i="1"/>
  <c r="AC1514" i="1"/>
  <c r="AC1529" i="1"/>
  <c r="AC524" i="1"/>
  <c r="AC1260" i="1"/>
  <c r="AB1252" i="1"/>
  <c r="AC1252" i="1" s="1"/>
  <c r="AB1416" i="1"/>
  <c r="AC1416" i="1" s="1"/>
  <c r="AB40" i="1"/>
  <c r="AC40" i="1" s="1"/>
  <c r="AB52" i="1"/>
  <c r="AC52" i="1" s="1"/>
  <c r="AB64" i="1"/>
  <c r="AC64" i="1" s="1"/>
  <c r="AB94" i="1"/>
  <c r="AC94" i="1" s="1"/>
  <c r="AB104" i="1"/>
  <c r="AC104" i="1" s="1"/>
  <c r="AB120" i="1"/>
  <c r="AC120" i="1" s="1"/>
  <c r="AB179" i="1"/>
  <c r="AC179" i="1" s="1"/>
  <c r="AB193" i="1"/>
  <c r="AC193" i="1" s="1"/>
  <c r="AB228" i="1"/>
  <c r="AC228" i="1" s="1"/>
  <c r="AC272" i="1"/>
  <c r="AB291" i="1"/>
  <c r="AC291" i="1" s="1"/>
  <c r="AB313" i="1"/>
  <c r="AC313" i="1" s="1"/>
  <c r="AB337" i="1"/>
  <c r="AC337" i="1" s="1"/>
  <c r="AB360" i="1"/>
  <c r="AC360" i="1" s="1"/>
  <c r="AB370" i="1"/>
  <c r="AC370" i="1" s="1"/>
  <c r="AB419" i="1"/>
  <c r="AC419" i="1" s="1"/>
  <c r="AB439" i="1"/>
  <c r="AC439" i="1" s="1"/>
  <c r="AB452" i="1"/>
  <c r="AC452" i="1" s="1"/>
  <c r="AB464" i="1"/>
  <c r="AC464" i="1" s="1"/>
  <c r="AB498" i="1"/>
  <c r="AC498" i="1" s="1"/>
  <c r="AB508" i="1"/>
  <c r="AC508" i="1" s="1"/>
  <c r="AB556" i="1"/>
  <c r="AC556" i="1" s="1"/>
  <c r="AB579" i="1"/>
  <c r="AC579" i="1" s="1"/>
  <c r="AB592" i="1"/>
  <c r="AC592" i="1" s="1"/>
  <c r="AB605" i="1"/>
  <c r="AC605" i="1" s="1"/>
  <c r="AB616" i="1"/>
  <c r="AC616" i="1" s="1"/>
  <c r="AB715" i="1"/>
  <c r="AC715" i="1" s="1"/>
  <c r="AB727" i="1"/>
  <c r="AC727" i="1" s="1"/>
  <c r="AB801" i="1"/>
  <c r="AC801" i="1" s="1"/>
  <c r="AB811" i="1"/>
  <c r="AC811" i="1" s="1"/>
  <c r="AB740" i="1"/>
  <c r="AC740" i="1" s="1"/>
  <c r="AB842" i="1"/>
  <c r="AC842" i="1" s="1"/>
  <c r="AC882" i="1"/>
  <c r="AC898" i="1"/>
  <c r="AC914" i="1"/>
  <c r="AC930" i="1"/>
  <c r="AC952" i="1"/>
  <c r="AC968" i="1"/>
  <c r="AC983" i="1"/>
  <c r="AC1000" i="1"/>
  <c r="AC1017" i="1"/>
  <c r="AC1032" i="1"/>
  <c r="AC1047" i="1"/>
  <c r="AC1063" i="1"/>
  <c r="AC1079" i="1"/>
  <c r="AC1096" i="1"/>
  <c r="AC1112" i="1"/>
  <c r="AC1127" i="1"/>
  <c r="AC1145" i="1"/>
  <c r="AC1162" i="1"/>
  <c r="AC1180" i="1"/>
  <c r="AC375" i="1"/>
  <c r="AC1213" i="1"/>
  <c r="AC1245" i="1"/>
  <c r="AC1261" i="1"/>
  <c r="AC1279" i="1"/>
  <c r="AC1296" i="1"/>
  <c r="AC1315" i="1"/>
  <c r="AC1330" i="1"/>
  <c r="AC725" i="1"/>
  <c r="AC1360" i="1"/>
  <c r="AC1375" i="1"/>
  <c r="AC1392" i="1"/>
  <c r="AC1409" i="1"/>
  <c r="AC1424" i="1"/>
  <c r="AC1440" i="1"/>
  <c r="AC1455" i="1"/>
  <c r="AC1465" i="1"/>
  <c r="AC1485" i="1"/>
  <c r="AC1501" i="1"/>
  <c r="AC1515" i="1"/>
  <c r="AC2" i="1"/>
  <c r="AC1294" i="1"/>
  <c r="AB281" i="1"/>
  <c r="AC281" i="1" s="1"/>
  <c r="AB131" i="1"/>
  <c r="AC131" i="1" s="1"/>
  <c r="AB591" i="1"/>
  <c r="AC591" i="1" s="1"/>
  <c r="AB1237" i="1"/>
  <c r="AC1237" i="1" s="1"/>
  <c r="AB53" i="1"/>
  <c r="AC53" i="1" s="1"/>
  <c r="AB1466" i="1"/>
  <c r="AC1466" i="1" s="1"/>
  <c r="AB121" i="1"/>
  <c r="AC121" i="1" s="1"/>
  <c r="AB134" i="1"/>
  <c r="AC134" i="1" s="1"/>
  <c r="AB146" i="1"/>
  <c r="AC146" i="1" s="1"/>
  <c r="AB194" i="1"/>
  <c r="AC194" i="1" s="1"/>
  <c r="AB217" i="1"/>
  <c r="AC217" i="1" s="1"/>
  <c r="AB250" i="1"/>
  <c r="AC250" i="1" s="1"/>
  <c r="AB261" i="1"/>
  <c r="AC261" i="1" s="1"/>
  <c r="AB283" i="1"/>
  <c r="AC283" i="1" s="1"/>
  <c r="AB303" i="1"/>
  <c r="AC303" i="1" s="1"/>
  <c r="AB372" i="1"/>
  <c r="AC372" i="1" s="1"/>
  <c r="AB385" i="1"/>
  <c r="AC385" i="1" s="1"/>
  <c r="AB453" i="1"/>
  <c r="AC453" i="1" s="1"/>
  <c r="AB477" i="1"/>
  <c r="AC477" i="1" s="1"/>
  <c r="AB488" i="1"/>
  <c r="AC488" i="1" s="1"/>
  <c r="AB509" i="1"/>
  <c r="AC509" i="1" s="1"/>
  <c r="AB521" i="1"/>
  <c r="AC521" i="1"/>
  <c r="AB547" i="1"/>
  <c r="AC547" i="1" s="1"/>
  <c r="AB593" i="1"/>
  <c r="AC593" i="1" s="1"/>
  <c r="AB606" i="1"/>
  <c r="AC606" i="1" s="1"/>
  <c r="AB1393" i="1"/>
  <c r="AC1393" i="1" s="1"/>
  <c r="AB648" i="1"/>
  <c r="AC648" i="1" s="1"/>
  <c r="AB660" i="1"/>
  <c r="AC660" i="1" s="1"/>
  <c r="AB728" i="1"/>
  <c r="AC728" i="1" s="1"/>
  <c r="AB741" i="1"/>
  <c r="AC741" i="1" s="1"/>
  <c r="AB776" i="1"/>
  <c r="AC776" i="1" s="1"/>
  <c r="AB821" i="1"/>
  <c r="AC821" i="1" s="1"/>
  <c r="AB843" i="1"/>
  <c r="AC843" i="1" s="1"/>
  <c r="AB854" i="1"/>
  <c r="AC854" i="1" s="1"/>
  <c r="AC883" i="1"/>
  <c r="AC899" i="1"/>
  <c r="AC931" i="1"/>
  <c r="AC953" i="1"/>
  <c r="AC969" i="1"/>
  <c r="AC984" i="1"/>
  <c r="AC1001" i="1"/>
  <c r="AC1018" i="1"/>
  <c r="AC1033" i="1"/>
  <c r="AC1048" i="1"/>
  <c r="AC1064" i="1"/>
  <c r="AC1080" i="1"/>
  <c r="AC1097" i="1"/>
  <c r="AC1113" i="1"/>
  <c r="AC1128" i="1"/>
  <c r="AC1146" i="1"/>
  <c r="AC1163" i="1"/>
  <c r="AC1181" i="1"/>
  <c r="AC1197" i="1"/>
  <c r="AC1214" i="1"/>
  <c r="AC342" i="1"/>
  <c r="AC1246" i="1"/>
  <c r="AC1262" i="1"/>
  <c r="AC1281" i="1"/>
  <c r="AC1297" i="1"/>
  <c r="AC1314" i="1"/>
  <c r="AC1331" i="1"/>
  <c r="AC1346" i="1"/>
  <c r="AC1361" i="1"/>
  <c r="AC1376" i="1"/>
  <c r="AC1394" i="1"/>
  <c r="AC1410" i="1"/>
  <c r="AC1441" i="1"/>
  <c r="AC1456" i="1"/>
  <c r="AC1470" i="1"/>
  <c r="AC1486" i="1"/>
  <c r="AC1502" i="1"/>
  <c r="AC1516" i="1"/>
  <c r="AC38" i="1"/>
  <c r="AC599" i="1"/>
  <c r="AB63" i="1"/>
  <c r="AC63" i="1" s="1"/>
  <c r="AB133" i="1"/>
  <c r="AC133" i="1" s="1"/>
  <c r="AB216" i="1"/>
  <c r="AC216" i="1" s="1"/>
  <c r="AB302" i="1"/>
  <c r="AC302" i="1" s="1"/>
  <c r="AB226" i="1"/>
  <c r="AC226" i="1" s="1"/>
  <c r="AB1088" i="1"/>
  <c r="AC1088" i="1" s="1"/>
  <c r="AB1221" i="1"/>
  <c r="AC1221" i="1" s="1"/>
  <c r="AB1401" i="1"/>
  <c r="AC1401" i="1" s="1"/>
  <c r="AB28" i="1"/>
  <c r="AC28" i="1" s="1"/>
  <c r="AB95" i="1"/>
  <c r="AC95" i="1" s="1"/>
  <c r="AB230" i="1"/>
  <c r="AC230" i="1" s="1"/>
  <c r="AB262" i="1"/>
  <c r="AC262" i="1" s="1"/>
  <c r="AB273" i="1"/>
  <c r="AC273" i="1" s="1"/>
  <c r="AB293" i="1"/>
  <c r="AC293" i="1" s="1"/>
  <c r="AB314" i="1"/>
  <c r="AC314" i="1" s="1"/>
  <c r="AB361" i="1"/>
  <c r="AC361" i="1" s="1"/>
  <c r="AB1172" i="1"/>
  <c r="AC1172" i="1" s="1"/>
  <c r="AB397" i="1"/>
  <c r="AC397" i="1" s="1"/>
  <c r="AB409" i="1"/>
  <c r="AC409" i="1" s="1"/>
  <c r="AB522" i="1"/>
  <c r="AC522" i="1" s="1"/>
  <c r="AB536" i="1"/>
  <c r="AC536" i="1" s="1"/>
  <c r="AB661" i="1"/>
  <c r="AC661" i="1"/>
  <c r="AB692" i="1"/>
  <c r="AC692" i="1" s="1"/>
  <c r="AB765" i="1"/>
  <c r="AC765" i="1" s="1"/>
  <c r="AB777" i="1"/>
  <c r="AC777" i="1" s="1"/>
  <c r="AB790" i="1"/>
  <c r="AC790" i="1" s="1"/>
  <c r="AB803" i="1"/>
  <c r="AC803" i="1" s="1"/>
  <c r="AB749" i="1"/>
  <c r="AC749" i="1" s="1"/>
  <c r="AC916" i="1"/>
  <c r="AC932" i="1"/>
  <c r="AC955" i="1"/>
  <c r="AC970" i="1"/>
  <c r="AC985" i="1"/>
  <c r="AC1019" i="1"/>
  <c r="AC1034" i="1"/>
  <c r="AC1049" i="1"/>
  <c r="AC1065" i="1"/>
  <c r="AC1114" i="1"/>
  <c r="AC1130" i="1"/>
  <c r="AC1147" i="1"/>
  <c r="AC1165" i="1"/>
  <c r="AC1182" i="1"/>
  <c r="AC1198" i="1"/>
  <c r="AC1230" i="1"/>
  <c r="AC1248" i="1"/>
  <c r="AC1263" i="1"/>
  <c r="AC1316" i="1"/>
  <c r="AC1332" i="1"/>
  <c r="AC229" i="1"/>
  <c r="AC1362" i="1"/>
  <c r="AC1377" i="1"/>
  <c r="AC1395" i="1"/>
  <c r="AC1411" i="1"/>
  <c r="AC1442" i="1"/>
  <c r="AC117" i="1"/>
  <c r="AC1471" i="1"/>
  <c r="AC1487" i="1"/>
  <c r="AC1398" i="1"/>
  <c r="AC1517" i="1"/>
  <c r="AC88" i="1"/>
  <c r="AC5" i="1"/>
  <c r="AC20" i="1"/>
  <c r="AC1454" i="1"/>
  <c r="AC74" i="1"/>
  <c r="AB160" i="1"/>
  <c r="AC160" i="1" s="1"/>
  <c r="AB197" i="1"/>
  <c r="AC197" i="1" s="1"/>
  <c r="AB233" i="1"/>
  <c r="AC233" i="1" s="1"/>
  <c r="AB253" i="1"/>
  <c r="AC253" i="1" s="1"/>
  <c r="AB328" i="1"/>
  <c r="AC328" i="1" s="1"/>
  <c r="AB341" i="1"/>
  <c r="AC341" i="1" s="1"/>
  <c r="AB352" i="1"/>
  <c r="AC352" i="1" s="1"/>
  <c r="AB387" i="1"/>
  <c r="AC387" i="1" s="1"/>
  <c r="AB399" i="1"/>
  <c r="AC399" i="1" s="1"/>
  <c r="AB411" i="1"/>
  <c r="AC411" i="1" s="1"/>
  <c r="AB1135" i="1"/>
  <c r="AC1135" i="1" s="1"/>
  <c r="AB431" i="1"/>
  <c r="AC431" i="1" s="1"/>
  <c r="AB456" i="1"/>
  <c r="AC456" i="1" s="1"/>
  <c r="AB468" i="1"/>
  <c r="AC468" i="1" s="1"/>
  <c r="AB480" i="1"/>
  <c r="AC480" i="1" s="1"/>
  <c r="AB512" i="1"/>
  <c r="AC512" i="1" s="1"/>
  <c r="AB583" i="1"/>
  <c r="AC583" i="1" s="1"/>
  <c r="AB609" i="1"/>
  <c r="AC609" i="1" s="1"/>
  <c r="AB620" i="1"/>
  <c r="AC620" i="1" s="1"/>
  <c r="AB639" i="1"/>
  <c r="AC639" i="1" s="1"/>
  <c r="AB651" i="1"/>
  <c r="AC651" i="1" s="1"/>
  <c r="AB673" i="1"/>
  <c r="AC673" i="1" s="1"/>
  <c r="AB718" i="1"/>
  <c r="AC718" i="1"/>
  <c r="AB731" i="1"/>
  <c r="AC731" i="1" s="1"/>
  <c r="AB767" i="1"/>
  <c r="AC767" i="1" s="1"/>
  <c r="AB779" i="1"/>
  <c r="AC779" i="1" s="1"/>
  <c r="AB792" i="1"/>
  <c r="AC792" i="1" s="1"/>
  <c r="AB814" i="1"/>
  <c r="AC814" i="1" s="1"/>
  <c r="AB823" i="1"/>
  <c r="AC823" i="1" s="1"/>
  <c r="AB846" i="1"/>
  <c r="AC846" i="1" s="1"/>
  <c r="AB857" i="1"/>
  <c r="AC857" i="1" s="1"/>
  <c r="AC1151" i="1"/>
  <c r="AC1201" i="1"/>
  <c r="AC1266" i="1"/>
  <c r="AC1335" i="1"/>
  <c r="AC1365" i="1"/>
  <c r="AC1380" i="1"/>
  <c r="AC1445" i="1"/>
  <c r="AC1474" i="1"/>
  <c r="AC1490" i="1"/>
  <c r="AC66" i="1"/>
  <c r="AC1196" i="1"/>
  <c r="AC158" i="1"/>
  <c r="AC925" i="1"/>
  <c r="AC1481" i="1"/>
  <c r="AB32" i="1"/>
  <c r="AC32" i="1" s="1"/>
  <c r="AB97" i="1"/>
  <c r="AC97" i="1" s="1"/>
  <c r="AB149" i="1"/>
  <c r="AC149" i="1" s="1"/>
  <c r="AB171" i="1"/>
  <c r="AC171" i="1" s="1"/>
  <c r="AB209" i="1"/>
  <c r="AC209" i="1" s="1"/>
  <c r="AB264" i="1"/>
  <c r="AC264" i="1" s="1"/>
  <c r="AB1269" i="1"/>
  <c r="AC1269" i="1" s="1"/>
  <c r="AB295" i="1"/>
  <c r="AC295" i="1"/>
  <c r="AB376" i="1"/>
  <c r="AC376" i="1" s="1"/>
  <c r="AB463" i="1"/>
  <c r="AC463" i="1" s="1"/>
  <c r="AB1368" i="1"/>
  <c r="AC1368" i="1" s="1"/>
  <c r="AB1522" i="1"/>
  <c r="AB19" i="1"/>
  <c r="AC19" i="1" s="1"/>
  <c r="AB44" i="1"/>
  <c r="AC44" i="1" s="1"/>
  <c r="AB87" i="1"/>
  <c r="AC87" i="1" s="1"/>
  <c r="AB112" i="1"/>
  <c r="AC112" i="1" s="1"/>
  <c r="AB137" i="1"/>
  <c r="AC137" i="1" s="1"/>
  <c r="AB161" i="1"/>
  <c r="AC161" i="1" s="1"/>
  <c r="AB210" i="1"/>
  <c r="AC210" i="1" s="1"/>
  <c r="AB265" i="1"/>
  <c r="AC265" i="1" s="1"/>
  <c r="AB377" i="1"/>
  <c r="AC377" i="1" s="1"/>
  <c r="AB388" i="1"/>
  <c r="AC388" i="1" s="1"/>
  <c r="AB400" i="1"/>
  <c r="AC400" i="1" s="1"/>
  <c r="AB491" i="1"/>
  <c r="AC491" i="1" s="1"/>
  <c r="AB513" i="1"/>
  <c r="AC513" i="1" s="1"/>
  <c r="AB526" i="1"/>
  <c r="AC526" i="1" s="1"/>
  <c r="AB539" i="1"/>
  <c r="AC539" i="1" s="1"/>
  <c r="AB550" i="1"/>
  <c r="AC550" i="1" s="1"/>
  <c r="AB652" i="1"/>
  <c r="AC652" i="1" s="1"/>
  <c r="AB664" i="1"/>
  <c r="AC664" i="1" s="1"/>
  <c r="AB793" i="1"/>
  <c r="AC793" i="1" s="1"/>
  <c r="AC834" i="1"/>
  <c r="AB888" i="1"/>
  <c r="AC888" i="1" s="1"/>
  <c r="AB904" i="1"/>
  <c r="AC904" i="1" s="1"/>
  <c r="AB920" i="1"/>
  <c r="AC920" i="1" s="1"/>
  <c r="AB938" i="1"/>
  <c r="AC938" i="1" s="1"/>
  <c r="AB958" i="1"/>
  <c r="AC958" i="1" s="1"/>
  <c r="AB974" i="1"/>
  <c r="AC974" i="1" s="1"/>
  <c r="AB989" i="1"/>
  <c r="AC989" i="1" s="1"/>
  <c r="AB1007" i="1"/>
  <c r="AC1007" i="1" s="1"/>
  <c r="AB545" i="1"/>
  <c r="AC545" i="1" s="1"/>
  <c r="AB529" i="1"/>
  <c r="AC529" i="1" s="1"/>
  <c r="AB1053" i="1"/>
  <c r="AC1053" i="1" s="1"/>
  <c r="AB1069" i="1"/>
  <c r="AC1069" i="1" s="1"/>
  <c r="AB1086" i="1"/>
  <c r="AC1086" i="1" s="1"/>
  <c r="AB1102" i="1"/>
  <c r="AC1102" i="1"/>
  <c r="AB1118" i="1"/>
  <c r="AC1118" i="1" s="1"/>
  <c r="AB1134" i="1"/>
  <c r="AC1134" i="1" s="1"/>
  <c r="AB1152" i="1"/>
  <c r="AC1152" i="1"/>
  <c r="AB1169" i="1"/>
  <c r="AC1169" i="1" s="1"/>
  <c r="AB1186" i="1"/>
  <c r="AC1186" i="1" s="1"/>
  <c r="AB1202" i="1"/>
  <c r="AC1202" i="1" s="1"/>
  <c r="AB1219" i="1"/>
  <c r="AC1219" i="1" s="1"/>
  <c r="AB1235" i="1"/>
  <c r="AC1235" i="1" s="1"/>
  <c r="AB1273" i="1"/>
  <c r="AC1273" i="1" s="1"/>
  <c r="AB1267" i="1"/>
  <c r="AC1267" i="1" s="1"/>
  <c r="AB1286" i="1"/>
  <c r="AC1286" i="1" s="1"/>
  <c r="AB1303" i="1"/>
  <c r="AC1303" i="1" s="1"/>
  <c r="AB1320" i="1"/>
  <c r="AC1320" i="1" s="1"/>
  <c r="AB1336" i="1"/>
  <c r="AC1336" i="1" s="1"/>
  <c r="AB1350" i="1"/>
  <c r="AC1350" i="1" s="1"/>
  <c r="AB1366" i="1"/>
  <c r="AC1366" i="1" s="1"/>
  <c r="AB1381" i="1"/>
  <c r="AC1381" i="1" s="1"/>
  <c r="AB1400" i="1"/>
  <c r="AC1400" i="1" s="1"/>
  <c r="AB1414" i="1"/>
  <c r="AC1414" i="1"/>
  <c r="AB1430" i="1"/>
  <c r="AC1430" i="1" s="1"/>
  <c r="AB129" i="1"/>
  <c r="AC129" i="1" s="1"/>
  <c r="AB1460" i="1"/>
  <c r="AC1460" i="1" s="1"/>
  <c r="AB1475" i="1"/>
  <c r="AC1475" i="1" s="1"/>
  <c r="AB1491" i="1"/>
  <c r="AC1491" i="1" s="1"/>
  <c r="AB1505" i="1"/>
  <c r="AC1505" i="1" s="1"/>
  <c r="AB1520" i="1"/>
  <c r="AC1520" i="1" s="1"/>
  <c r="AB183" i="1"/>
  <c r="AC183" i="1" s="1"/>
  <c r="AB939" i="1"/>
  <c r="AC939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<sst xmlns="http://schemas.openxmlformats.org/spreadsheetml/2006/main" count="9151" uniqueCount="2629">
  <si>
    <t>Name</t>
  </si>
  <si>
    <t>Weight (kg)</t>
  </si>
  <si>
    <t>Height (cm)</t>
  </si>
  <si>
    <t>Country</t>
  </si>
  <si>
    <t>Age</t>
  </si>
  <si>
    <t>Team</t>
  </si>
  <si>
    <t>Sport</t>
  </si>
  <si>
    <t>Gender</t>
  </si>
  <si>
    <t>Weight Class</t>
  </si>
  <si>
    <t>WIN</t>
  </si>
  <si>
    <t>LOSS</t>
  </si>
  <si>
    <t>DRAW</t>
  </si>
  <si>
    <t>W TKO</t>
  </si>
  <si>
    <t>W Submission</t>
  </si>
  <si>
    <t>W Disqualification</t>
  </si>
  <si>
    <t>W Unanimous Decision</t>
  </si>
  <si>
    <t>W Split Decision</t>
  </si>
  <si>
    <t>L TKO</t>
  </si>
  <si>
    <t>L Submission</t>
  </si>
  <si>
    <t>L Disqualification</t>
  </si>
  <si>
    <t>L Unanimous Decision</t>
  </si>
  <si>
    <t>L Split Decision</t>
  </si>
  <si>
    <t>Total Fight</t>
  </si>
  <si>
    <t>FinalElo</t>
  </si>
  <si>
    <t>PeakElo</t>
  </si>
  <si>
    <t>Alexis Nicolas</t>
  </si>
  <si>
    <t>France</t>
  </si>
  <si>
    <t>Mahmoudi Gym</t>
  </si>
  <si>
    <t>Kickboxing</t>
  </si>
  <si>
    <t>Male</t>
  </si>
  <si>
    <t>Lightweight</t>
  </si>
  <si>
    <t>Allycia Hellen Rodrigues</t>
  </si>
  <si>
    <t>Brazil</t>
  </si>
  <si>
    <t>Phuket Fight Club</t>
  </si>
  <si>
    <t>Muay Thai</t>
  </si>
  <si>
    <t>Female</t>
  </si>
  <si>
    <t>Strawweight</t>
  </si>
  <si>
    <t>Anatoly Malykhin</t>
  </si>
  <si>
    <t>Russia</t>
  </si>
  <si>
    <t>Golden Team</t>
  </si>
  <si>
    <t>MMA</t>
  </si>
  <si>
    <t>Middleweight</t>
  </si>
  <si>
    <t>Angela Lee</t>
  </si>
  <si>
    <t>Singapore / United States</t>
  </si>
  <si>
    <t>Evolve MMA / United MMA</t>
  </si>
  <si>
    <t>Chingiz Allazov</t>
  </si>
  <si>
    <t>Azerbaijan / Belarus</t>
  </si>
  <si>
    <t>Gridin Gym</t>
  </si>
  <si>
    <t>Featherweight</t>
  </si>
  <si>
    <t>Christian Lee</t>
  </si>
  <si>
    <t>Welterweight</t>
  </si>
  <si>
    <t>Danielle Kelly</t>
  </si>
  <si>
    <t>United States</t>
  </si>
  <si>
    <t>Silver Fox BJJ</t>
  </si>
  <si>
    <t>Submission Grappling</t>
  </si>
  <si>
    <t>Atomweight</t>
  </si>
  <si>
    <t>Demetrious Johnson</t>
  </si>
  <si>
    <t>AMC Pankration / Evolve MMA</t>
  </si>
  <si>
    <t>Flyweight</t>
  </si>
  <si>
    <t>Denice Zamboanga</t>
  </si>
  <si>
    <t>Philippines</t>
  </si>
  <si>
    <t>Fabricio Andrade</t>
  </si>
  <si>
    <t>Evolve MMA / Tiger Muay Thai</t>
  </si>
  <si>
    <t>Jackie Buntan</t>
  </si>
  <si>
    <t>Boxing Works</t>
  </si>
  <si>
    <t>Jarred Brooks</t>
  </si>
  <si>
    <t>Mash Fight Team</t>
  </si>
  <si>
    <t>Jonathan Di Bella</t>
  </si>
  <si>
    <t>Canada / Italy</t>
  </si>
  <si>
    <t>Team Di Bella Kickboxing</t>
  </si>
  <si>
    <t>Jonathan Haggerty</t>
  </si>
  <si>
    <t>United Kingdom</t>
  </si>
  <si>
    <t>Knowlesy Academy / Team Underground</t>
  </si>
  <si>
    <t>Bantamweight</t>
  </si>
  <si>
    <t>Joseph Lasiri</t>
  </si>
  <si>
    <t>Italy / Morocco</t>
  </si>
  <si>
    <t>Kick and Punch Milano</t>
  </si>
  <si>
    <t>Joshua Pacio</t>
  </si>
  <si>
    <t>Lions Nation MMA</t>
  </si>
  <si>
    <t>Kade Ruotolo</t>
  </si>
  <si>
    <t>Atos</t>
  </si>
  <si>
    <t>Masaaki Noiri</t>
  </si>
  <si>
    <t>Japan</t>
  </si>
  <si>
    <t>Mayssa Bastos</t>
  </si>
  <si>
    <t>Art of Jiu-Jitsu Academy</t>
  </si>
  <si>
    <t>Nabil Anane</t>
  </si>
  <si>
    <t>Algeria / Thailand</t>
  </si>
  <si>
    <t>Team Mehdi Zatout</t>
  </si>
  <si>
    <t>Nong-O Hama</t>
  </si>
  <si>
    <t>Thailand</t>
  </si>
  <si>
    <t>Evolve MMA</t>
  </si>
  <si>
    <t>Oumar Kane</t>
  </si>
  <si>
    <t>Senegal</t>
  </si>
  <si>
    <t>Black Panther Sports / TRIPL3 MMA</t>
  </si>
  <si>
    <t>Heavyweight</t>
  </si>
  <si>
    <t>Petchtanong Petchfergus</t>
  </si>
  <si>
    <t>Superbon Training Camp</t>
  </si>
  <si>
    <t>Phetjeeja Lukjaoporongtom</t>
  </si>
  <si>
    <t>Prajanchai PK Saenchai</t>
  </si>
  <si>
    <t>PK Saenchai Muaythaigym</t>
  </si>
  <si>
    <t>Regian Eersel</t>
  </si>
  <si>
    <t>Suriname</t>
  </si>
  <si>
    <t>Sityodtong Amsterdam</t>
  </si>
  <si>
    <t>Rodtang Jitmuangnon</t>
  </si>
  <si>
    <t>Jitmuangnon Gym</t>
  </si>
  <si>
    <t>Roman Kryklia</t>
  </si>
  <si>
    <t>Ukraine</t>
  </si>
  <si>
    <t>Champ Belts</t>
  </si>
  <si>
    <t>Smilla Sundell</t>
  </si>
  <si>
    <t>Sweden</t>
  </si>
  <si>
    <t>Fairtex Training Center</t>
  </si>
  <si>
    <t>Stamp Fairtex</t>
  </si>
  <si>
    <t>Superbon</t>
  </si>
  <si>
    <t>Superlek Kiatmoo9</t>
  </si>
  <si>
    <t>Kiatmoo9 Gym</t>
  </si>
  <si>
    <t>Tang Kai</t>
  </si>
  <si>
    <t>China</t>
  </si>
  <si>
    <t>Sunkin International Fight Club</t>
  </si>
  <si>
    <t>Tawanchai PK Saenchai</t>
  </si>
  <si>
    <t>Thanh Le</t>
  </si>
  <si>
    <t>United States / Vietnam</t>
  </si>
  <si>
    <t>50/50 / MidCity MMA</t>
  </si>
  <si>
    <t>Tye Ruotolo</t>
  </si>
  <si>
    <t>Xiong Jing Nan</t>
  </si>
  <si>
    <t>Yuya Wakamatsu</t>
  </si>
  <si>
    <t>Tribe Tokyo MMA</t>
  </si>
  <si>
    <t>A Xi Shi Ga</t>
  </si>
  <si>
    <t>Chongqing Monster MMA Fight Club</t>
  </si>
  <si>
    <t>Aaron Canarte</t>
  </si>
  <si>
    <t>Ecuador</t>
  </si>
  <si>
    <t>Entram</t>
  </si>
  <si>
    <t>Abdallah Ondash</t>
  </si>
  <si>
    <t>Lebanon</t>
  </si>
  <si>
    <t>Tiger Muay Thai</t>
  </si>
  <si>
    <t>Abdelali Zahidi</t>
  </si>
  <si>
    <t>Morocco</t>
  </si>
  <si>
    <t>Tocayah Fight Club</t>
  </si>
  <si>
    <t>Abdessamie Rhenimi</t>
  </si>
  <si>
    <t>Petchsaman Gym</t>
  </si>
  <si>
    <t>Abdulgadzhi Gaziev</t>
  </si>
  <si>
    <t>Kyrgyzstan</t>
  </si>
  <si>
    <t>Galaktic Sports / Phuket Fight Club</t>
  </si>
  <si>
    <t>Abdulla Dayakaev</t>
  </si>
  <si>
    <t>Abdullo Khodzhaev</t>
  </si>
  <si>
    <t>Tajikistan</t>
  </si>
  <si>
    <t>Abolfazl Alipourandi</t>
  </si>
  <si>
    <t>Iran</t>
  </si>
  <si>
    <t>Abraao Amorim</t>
  </si>
  <si>
    <t>Checkmat</t>
  </si>
  <si>
    <t>Eko Priandono</t>
  </si>
  <si>
    <t>Indonesia</t>
  </si>
  <si>
    <t>Saint Electra MMA</t>
  </si>
  <si>
    <t>Adam Sor Dechapan</t>
  </si>
  <si>
    <t>Malaysia / Thailand</t>
  </si>
  <si>
    <t>Sor Dechapan</t>
  </si>
  <si>
    <t>Adib Sulaiman</t>
  </si>
  <si>
    <t>Brunei</t>
  </si>
  <si>
    <t>Wolfpack Training Ground</t>
  </si>
  <si>
    <t>Adilet Alimbek Uulu</t>
  </si>
  <si>
    <t>Jash Kuch</t>
  </si>
  <si>
    <t>Adilet Mamytov</t>
  </si>
  <si>
    <t>Ihlas</t>
  </si>
  <si>
    <t>Adilet Nurmatov</t>
  </si>
  <si>
    <t>Ikhlas team</t>
  </si>
  <si>
    <t>Adnan Larry</t>
  </si>
  <si>
    <t>New Zealand</t>
  </si>
  <si>
    <t>Absolute MMA</t>
  </si>
  <si>
    <t>Adonis Sevilleno</t>
  </si>
  <si>
    <t>Team Lakay</t>
  </si>
  <si>
    <t>Adrian Lee</t>
  </si>
  <si>
    <t>Prodigy Training Center</t>
  </si>
  <si>
    <t>Adrian Mattheis</t>
  </si>
  <si>
    <t>Tigershark Fighting Academy</t>
  </si>
  <si>
    <t>Adrian Pang</t>
  </si>
  <si>
    <t>Australia</t>
  </si>
  <si>
    <t>Integrated MMA</t>
  </si>
  <si>
    <t>Adriano Moraes</t>
  </si>
  <si>
    <t>American Top Team / Constrictor Team</t>
  </si>
  <si>
    <t>Aekkalak Sor Samarngarment</t>
  </si>
  <si>
    <t>Sor Samarngarment</t>
  </si>
  <si>
    <t>Ahavat Gordon</t>
  </si>
  <si>
    <t>Silapa Thai Gym</t>
  </si>
  <si>
    <t>Ahejiang Ailinuer</t>
  </si>
  <si>
    <t>Chengde Quansheng</t>
  </si>
  <si>
    <t>Ahmad Qais Jasoor</t>
  </si>
  <si>
    <t>Afghanistan</t>
  </si>
  <si>
    <t>Jasoor Fight Club / TGFC Top Team</t>
  </si>
  <si>
    <t>Eazy Anuar</t>
  </si>
  <si>
    <t>Khalifa Mixed Martial Arts</t>
  </si>
  <si>
    <t>Ahmed Krnjic</t>
  </si>
  <si>
    <t>Bosnia and Herzegovina</t>
  </si>
  <si>
    <t>UFD Gym</t>
  </si>
  <si>
    <t>Ahmed Mujtaba</t>
  </si>
  <si>
    <t>Pakistan</t>
  </si>
  <si>
    <t>AKA / KAKS</t>
  </si>
  <si>
    <t>Ayiken Wusaierbabai</t>
  </si>
  <si>
    <t>Hebei Wanshi Fight Club</t>
  </si>
  <si>
    <t>Akari Ogata</t>
  </si>
  <si>
    <t>AACC</t>
  </si>
  <si>
    <t>Akbar Abdullaev</t>
  </si>
  <si>
    <t>Al Munar Team / Tiger Muay Thai</t>
  </si>
  <si>
    <t>Akif Guluzada</t>
  </si>
  <si>
    <t>Azerbaijan</t>
  </si>
  <si>
    <t>Akihiro Fujisawa</t>
  </si>
  <si>
    <t>Stray Cats Fight Team</t>
  </si>
  <si>
    <t>Akito Nakashima</t>
  </si>
  <si>
    <t>Oishi Gym</t>
  </si>
  <si>
    <t>Akkaradet Guaybangkorlaem</t>
  </si>
  <si>
    <t>Guaybangkorlaem</t>
  </si>
  <si>
    <t>Akram Hamidi</t>
  </si>
  <si>
    <t>Algeria / France</t>
  </si>
  <si>
    <t>Team Valente</t>
  </si>
  <si>
    <t>Akuri Ronda</t>
  </si>
  <si>
    <t>Shingikan MMA</t>
  </si>
  <si>
    <t>Alan Philpott</t>
  </si>
  <si>
    <t>Northern Ireland</t>
  </si>
  <si>
    <t>IMMA / Legends Gym Kensington</t>
  </si>
  <si>
    <t>Alan Yauny</t>
  </si>
  <si>
    <t>Argentina</t>
  </si>
  <si>
    <t>Bangtao Muay Thai &amp; MMA</t>
  </si>
  <si>
    <t>Alaverdi Ramazanov</t>
  </si>
  <si>
    <t>Alber Da Silva</t>
  </si>
  <si>
    <t>Chiquerim Team / Impakt MMA</t>
  </si>
  <si>
    <t>Aleksandra Savicheva</t>
  </si>
  <si>
    <t>Global Fight Gym / Raty Team</t>
  </si>
  <si>
    <t>Alessandro Sara</t>
  </si>
  <si>
    <t>Italy</t>
  </si>
  <si>
    <t>Alessio Malatesta</t>
  </si>
  <si>
    <t>Team Malatesta</t>
  </si>
  <si>
    <t>Alex Bublea</t>
  </si>
  <si>
    <t>Romania</t>
  </si>
  <si>
    <t>Alex Roberts</t>
  </si>
  <si>
    <t>The Pit</t>
  </si>
  <si>
    <t>Alex Silva</t>
  </si>
  <si>
    <t>Alexandr Skvortsov</t>
  </si>
  <si>
    <t>PancherNN</t>
  </si>
  <si>
    <t>Alexandre Khan</t>
  </si>
  <si>
    <t>France / Thailand</t>
  </si>
  <si>
    <t>Alexey Balyko</t>
  </si>
  <si>
    <t>Alexy Lyapunov</t>
  </si>
  <si>
    <t>Alfie Ponting</t>
  </si>
  <si>
    <t>Masda Gym Liverpool</t>
  </si>
  <si>
    <t>Ali Aliev</t>
  </si>
  <si>
    <t>Ali Kabdulla</t>
  </si>
  <si>
    <t>Kazakhstan</t>
  </si>
  <si>
    <t>Ali-Khan Ergeshov</t>
  </si>
  <si>
    <t>Ali Koyuncu</t>
  </si>
  <si>
    <t>Turkey</t>
  </si>
  <si>
    <t>Team Reza Goodary</t>
  </si>
  <si>
    <t>Ali Motamed</t>
  </si>
  <si>
    <t>Team Envisage</t>
  </si>
  <si>
    <t>Ali Saldoev</t>
  </si>
  <si>
    <t>Archangel Michel</t>
  </si>
  <si>
    <t>Ali Serik</t>
  </si>
  <si>
    <t>Titan Fight Club</t>
  </si>
  <si>
    <t>Aliasghar Ghodratisaraskan</t>
  </si>
  <si>
    <t>Family Muay Thai</t>
  </si>
  <si>
    <t>Alibeg Rasulov</t>
  </si>
  <si>
    <t>Hyperion Fighters</t>
  </si>
  <si>
    <t>Aliff Sor Dechapan</t>
  </si>
  <si>
    <t>Allan Albindo</t>
  </si>
  <si>
    <t>Yaw-Yan Ardigma Cebu</t>
  </si>
  <si>
    <t>Alisson Barbosa</t>
  </si>
  <si>
    <t>Alma Juniku</t>
  </si>
  <si>
    <t>Modern Warrior Muay Thai</t>
  </si>
  <si>
    <t>Alyona Rassohyna</t>
  </si>
  <si>
    <t>Yarost Gym</t>
  </si>
  <si>
    <t>Alyse Anderson</t>
  </si>
  <si>
    <t>MMA Masters</t>
  </si>
  <si>
    <t>Amarsanaa Tsogookhuu</t>
  </si>
  <si>
    <t>Mongolia</t>
  </si>
  <si>
    <t>Team Amaraa</t>
  </si>
  <si>
    <t>Amber Kitchen</t>
  </si>
  <si>
    <t>Bad Company</t>
  </si>
  <si>
    <t>Amil Shahmarzade</t>
  </si>
  <si>
    <t>Amir Abdulmuslimov</t>
  </si>
  <si>
    <t>Amir El Dakkak</t>
  </si>
  <si>
    <t>Amir Khan</t>
  </si>
  <si>
    <t>Singapore</t>
  </si>
  <si>
    <t>Amir Naseri</t>
  </si>
  <si>
    <t>Iran / Malaysia</t>
  </si>
  <si>
    <t>Amnartdet Sitnayokmot</t>
  </si>
  <si>
    <t>Sor Phumipat</t>
  </si>
  <si>
    <t>Amnuaydet Wor Wantawee</t>
  </si>
  <si>
    <t>Wor Wantawee</t>
  </si>
  <si>
    <t>Amy Pirnie</t>
  </si>
  <si>
    <t>Scotland</t>
  </si>
  <si>
    <t>Inferno Muay Thai</t>
  </si>
  <si>
    <t>An Bunhour</t>
  </si>
  <si>
    <t>Cambodia</t>
  </si>
  <si>
    <t>Kiatsongrit gym</t>
  </si>
  <si>
    <t>Anacleto Lauron</t>
  </si>
  <si>
    <t>FightYard Fabricio</t>
  </si>
  <si>
    <t>Andre Galvao</t>
  </si>
  <si>
    <t>Atos Jiu-Jitsu</t>
  </si>
  <si>
    <t>Andrei Stoica</t>
  </si>
  <si>
    <t>Stoica Brothers Fight Academy</t>
  </si>
  <si>
    <t>Light Heavyweight</t>
  </si>
  <si>
    <t>Andrey Chelbaev</t>
  </si>
  <si>
    <t>Andrey Khromov</t>
  </si>
  <si>
    <t>Imperia club</t>
  </si>
  <si>
    <t>Andrii Mezentsev</t>
  </si>
  <si>
    <t>Muay Thai Spirit / Revolution Muay Thai Phuket</t>
  </si>
  <si>
    <t>Angel Bauza</t>
  </si>
  <si>
    <t>Dojo Serpiente / Silk Muay Thai</t>
  </si>
  <si>
    <t>Angelos Giakoumis</t>
  </si>
  <si>
    <t>Greece</t>
  </si>
  <si>
    <t>BG Kickboxing / Power House Phuket</t>
  </si>
  <si>
    <t>Anissa Meksen</t>
  </si>
  <si>
    <t>Korean Tiger Studios</t>
  </si>
  <si>
    <t>Anita Karim</t>
  </si>
  <si>
    <t>Anna Jaroonsak</t>
  </si>
  <si>
    <t>Jaroonsak Muaythai</t>
  </si>
  <si>
    <t>Anna Lia Moretti</t>
  </si>
  <si>
    <t>Anon Taladkondernmuangpon</t>
  </si>
  <si>
    <t>Antar Kacem</t>
  </si>
  <si>
    <t>Belarus / France</t>
  </si>
  <si>
    <t>Team Mehdi Zatout / Team Nasser K</t>
  </si>
  <si>
    <t>Anthony Do</t>
  </si>
  <si>
    <t>American Kickboxing Academy</t>
  </si>
  <si>
    <t>Anton Petrov</t>
  </si>
  <si>
    <t>Bulgaria</t>
  </si>
  <si>
    <t>Anton Petrov Academy / Phuket Fight Club</t>
  </si>
  <si>
    <t>Anton Salchak</t>
  </si>
  <si>
    <t>Red Eagles</t>
  </si>
  <si>
    <t>Antonio Bushev</t>
  </si>
  <si>
    <t>Armeec Gym</t>
  </si>
  <si>
    <t>Antonio Caruso</t>
  </si>
  <si>
    <t>Hard Knocks 365</t>
  </si>
  <si>
    <t>Antonio Mammarella</t>
  </si>
  <si>
    <t>MMAFFT</t>
  </si>
  <si>
    <t>Antonio Orden</t>
  </si>
  <si>
    <t>Spain</t>
  </si>
  <si>
    <t>El Origen Thaimartin</t>
  </si>
  <si>
    <t>Antonio Piana</t>
  </si>
  <si>
    <t>7 Muay Thai</t>
  </si>
  <si>
    <t>Anurak Wankhongohm MBK</t>
  </si>
  <si>
    <t>TDed99</t>
  </si>
  <si>
    <t>Apidet FiatPathum</t>
  </si>
  <si>
    <t>Fiatpathum</t>
  </si>
  <si>
    <t>Apidet Namduemmee77</t>
  </si>
  <si>
    <t>Kiatpetch</t>
  </si>
  <si>
    <t>Apisit Fairtex</t>
  </si>
  <si>
    <t>Apiwat Sor Somnuk</t>
  </si>
  <si>
    <t>Sor Somnuk</t>
  </si>
  <si>
    <t>Aqib Awan</t>
  </si>
  <si>
    <t>Phuket Fight Club / Team Fight Fortress</t>
  </si>
  <si>
    <t>Arashi Sakamoto</t>
  </si>
  <si>
    <t>King Boxing Camp</t>
  </si>
  <si>
    <t>Arian Esparza</t>
  </si>
  <si>
    <t>Sakasit PRS Gym</t>
  </si>
  <si>
    <t>Arian Sadikovic</t>
  </si>
  <si>
    <t>Bosnia and Herzegovina / Germany</t>
  </si>
  <si>
    <t>Fightschool Hannover / Team CSK</t>
  </si>
  <si>
    <t>Ariel Sexton</t>
  </si>
  <si>
    <t>Canada / Costa Rica</t>
  </si>
  <si>
    <t>Renzo Gracie Fight Academy / Team Daniel Gracie</t>
  </si>
  <si>
    <t>Arif Izzudin</t>
  </si>
  <si>
    <t>Malaysia</t>
  </si>
  <si>
    <t>Equinox MMA</t>
  </si>
  <si>
    <t>Arsenio Balisacan</t>
  </si>
  <si>
    <t>T-Rex MMA</t>
  </si>
  <si>
    <t>Arsoonnoi Sitjasing</t>
  </si>
  <si>
    <t>Sitjasing</t>
  </si>
  <si>
    <t>Artem Belakh</t>
  </si>
  <si>
    <t>10th Planet Krasnodar / Tiger Muay Thai</t>
  </si>
  <si>
    <t>Arthur Klopp</t>
  </si>
  <si>
    <t>Arti Khatri</t>
  </si>
  <si>
    <t>India</t>
  </si>
  <si>
    <t>Amit Muay Thai</t>
  </si>
  <si>
    <t>Arya Akbari</t>
  </si>
  <si>
    <t>Asa Ten Pow</t>
  </si>
  <si>
    <t>Florida Kickboxing Academy</t>
  </si>
  <si>
    <t>Asadula Imangazaliev</t>
  </si>
  <si>
    <t>Asahi Shinagawa</t>
  </si>
  <si>
    <t>Eiwa Sports Gym</t>
  </si>
  <si>
    <t>Asha Roka</t>
  </si>
  <si>
    <t>India / Nepal</t>
  </si>
  <si>
    <t>Sanshinkan</t>
  </si>
  <si>
    <t>Ashley Williams</t>
  </si>
  <si>
    <t>Draig</t>
  </si>
  <si>
    <t>Ashraf Fauzi</t>
  </si>
  <si>
    <t>Juggernaut Fight Club</t>
  </si>
  <si>
    <t>Aslamjon Ortikov</t>
  </si>
  <si>
    <t>Uzbekistan</t>
  </si>
  <si>
    <t>Sport club Shakhriyor / TC Muaythai</t>
  </si>
  <si>
    <t>Aslanbek Zikreev</t>
  </si>
  <si>
    <t>Kuzbass Muay Thai</t>
  </si>
  <si>
    <t>Asliddin Eshankulov</t>
  </si>
  <si>
    <t>Fight Geek / Raqobat Fight</t>
  </si>
  <si>
    <t>Asset Anarbayev</t>
  </si>
  <si>
    <t>Asuka Tsubaki</t>
  </si>
  <si>
    <t>Try Dent Gym</t>
  </si>
  <si>
    <t>Attachai Kelasport</t>
  </si>
  <si>
    <t>Boxing Army 3</t>
  </si>
  <si>
    <t>Aung La N Sang</t>
  </si>
  <si>
    <t>Myanmar [Burma]</t>
  </si>
  <si>
    <t>Kill Cliff FC</t>
  </si>
  <si>
    <t>Avatar PK Saenchai</t>
  </si>
  <si>
    <t>Avazbek Kholmirzaev</t>
  </si>
  <si>
    <t>Raqobat</t>
  </si>
  <si>
    <t>Avliyohon Hamidov</t>
  </si>
  <si>
    <t>Fight Geek</t>
  </si>
  <si>
    <t>Award Kazimba</t>
  </si>
  <si>
    <t>Uganda</t>
  </si>
  <si>
    <t>King of Muaythai</t>
  </si>
  <si>
    <t>Ayad Albadr</t>
  </si>
  <si>
    <t>Iraq</t>
  </si>
  <si>
    <t>Venum Training Camp</t>
  </si>
  <si>
    <t>Ayaka Miura</t>
  </si>
  <si>
    <t>Ayideng Jumayi</t>
  </si>
  <si>
    <t>Longyun MMA</t>
  </si>
  <si>
    <t>Ayijiake Akenbieke</t>
  </si>
  <si>
    <t>Ayoub Bahri</t>
  </si>
  <si>
    <t>Algeria</t>
  </si>
  <si>
    <t>Ayoub El Khadraoui</t>
  </si>
  <si>
    <t>Elamghari Muaythai Team</t>
  </si>
  <si>
    <t>Azize Hlali</t>
  </si>
  <si>
    <t>Babar Ali</t>
  </si>
  <si>
    <t>KAKS</t>
  </si>
  <si>
    <t>Baktygul Kurmanbekova</t>
  </si>
  <si>
    <t>JFC Bishkek</t>
  </si>
  <si>
    <t>Bampara Kouyate</t>
  </si>
  <si>
    <t>France / Mali</t>
  </si>
  <si>
    <t>Banluelok Sitwatcharachai</t>
  </si>
  <si>
    <t>Detrat</t>
  </si>
  <si>
    <t>Banma Duoji</t>
  </si>
  <si>
    <t>Enbo Gedou</t>
  </si>
  <si>
    <t>Banna Hayashi</t>
  </si>
  <si>
    <t>RS Team</t>
  </si>
  <si>
    <t>Banpot Lertthaisong</t>
  </si>
  <si>
    <t>Heavy Martial Arts</t>
  </si>
  <si>
    <t>Baramee Sujeebameekiew</t>
  </si>
  <si>
    <t>Sujeebameekiew</t>
  </si>
  <si>
    <t>Barbara Aguiar</t>
  </si>
  <si>
    <t>Bartosz Skrok</t>
  </si>
  <si>
    <t>Poland</t>
  </si>
  <si>
    <t>Matrix MMA / Tiger Muay Thai</t>
  </si>
  <si>
    <t>Batman Or Atchariya</t>
  </si>
  <si>
    <t>Kiatphet Gym</t>
  </si>
  <si>
    <t>Batochir Batsaikhan</t>
  </si>
  <si>
    <t>Teiwaz Striking</t>
  </si>
  <si>
    <t>Batradz Gazzaev</t>
  </si>
  <si>
    <t>Alania Fighting Team</t>
  </si>
  <si>
    <t>Beckham Bigwinchampiongym</t>
  </si>
  <si>
    <t>Japan / Thailand</t>
  </si>
  <si>
    <t>Banchamek Gym</t>
  </si>
  <si>
    <t>Bektur Zhenishbek Uulu</t>
  </si>
  <si>
    <t>Katran</t>
  </si>
  <si>
    <t>Ben Parker</t>
  </si>
  <si>
    <t>Q23 / Temple BJJ</t>
  </si>
  <si>
    <t>Ben Tynan</t>
  </si>
  <si>
    <t>Canada</t>
  </si>
  <si>
    <t>Elevation Fight Team</t>
  </si>
  <si>
    <t>Ben Wilhelm</t>
  </si>
  <si>
    <t>Gracie Technics</t>
  </si>
  <si>
    <t>Bernueng Sor Salacheep</t>
  </si>
  <si>
    <t>Sor Salacheep</t>
  </si>
  <si>
    <t>Beybulat Isaev</t>
  </si>
  <si>
    <t>Fight Club NORD 86</t>
  </si>
  <si>
    <t>Bhumjaithai Mor Tor 1</t>
  </si>
  <si>
    <t>Bi Nguyen</t>
  </si>
  <si>
    <t>Heritage Muay Thai / Xtreme Couture</t>
  </si>
  <si>
    <t>Bian Ye</t>
  </si>
  <si>
    <t>Benxi Shangwu Fight Club</t>
  </si>
  <si>
    <t>Bianca Basilio</t>
  </si>
  <si>
    <t>Almeida Jiu Jitsu</t>
  </si>
  <si>
    <t>Bibiano Fernandes</t>
  </si>
  <si>
    <t>Brazil / Canada</t>
  </si>
  <si>
    <t>AMC Pankration</t>
  </si>
  <si>
    <t>Bilal Hussain</t>
  </si>
  <si>
    <t>SAGMMA</t>
  </si>
  <si>
    <t>Binladin Sangmorakot</t>
  </si>
  <si>
    <t>Sangmorakot</t>
  </si>
  <si>
    <t>Bismarck Gomes</t>
  </si>
  <si>
    <t>Black Panther</t>
  </si>
  <si>
    <t>Blair Geraghty</t>
  </si>
  <si>
    <t>Blake Cooper</t>
  </si>
  <si>
    <t>BM Fairtex</t>
  </si>
  <si>
    <t>Bo Fu Fan</t>
  </si>
  <si>
    <t>Xiangwang Fight Club</t>
  </si>
  <si>
    <t>Bobirjon Isroilov</t>
  </si>
  <si>
    <t>Flipside / Legion Fight Club</t>
  </si>
  <si>
    <t>Bogdan Shumarov</t>
  </si>
  <si>
    <t>SB Gym</t>
  </si>
  <si>
    <t>Bogdan Stoica</t>
  </si>
  <si>
    <t>Bokang Masunyane</t>
  </si>
  <si>
    <t>South Africa</t>
  </si>
  <si>
    <t>Coach Quan University</t>
  </si>
  <si>
    <t>Bolat Zamanbekov</t>
  </si>
  <si>
    <t>DAR Team / KROC Sports</t>
  </si>
  <si>
    <t>Boonchot Sor Boonmeerit</t>
  </si>
  <si>
    <t>Sor Boonmeerit</t>
  </si>
  <si>
    <t>Boonchu Sor Boonmeerit</t>
  </si>
  <si>
    <t>Boonlert Sor Boonmeerit</t>
  </si>
  <si>
    <t>Brandon Vera</t>
  </si>
  <si>
    <t>Alliance Training Center</t>
  </si>
  <si>
    <t>Brazil Aekmuangnon</t>
  </si>
  <si>
    <t>Aekmuangnon</t>
  </si>
  <si>
    <t>Brett Pastore</t>
  </si>
  <si>
    <t>Brice Delval</t>
  </si>
  <si>
    <t>Brooke Farrell</t>
  </si>
  <si>
    <t>Power House Phuket</t>
  </si>
  <si>
    <t>Bruno Azevedo</t>
  </si>
  <si>
    <t>Phuket Fight Club / Spitfire Gym Berlin</t>
  </si>
  <si>
    <t>Bryan Tee</t>
  </si>
  <si>
    <t>Buakhiao Por Paoin</t>
  </si>
  <si>
    <t>N&amp;P Boxing Gym</t>
  </si>
  <si>
    <t>Marcus Almeida</t>
  </si>
  <si>
    <t>American Top Team / Evolve MMA</t>
  </si>
  <si>
    <t>Burengnong Lukjaoporongtom</t>
  </si>
  <si>
    <t>Kiatpet</t>
  </si>
  <si>
    <t>Byung Hee Lim</t>
  </si>
  <si>
    <t>South Korea</t>
  </si>
  <si>
    <t>Extreme Combat</t>
  </si>
  <si>
    <t>Cai Xiong Xiong</t>
  </si>
  <si>
    <t>Caitlin McEwen</t>
  </si>
  <si>
    <t>Stockade Training Center</t>
  </si>
  <si>
    <t>Capitan Petchyindee</t>
  </si>
  <si>
    <t>Petchyindee Academy</t>
  </si>
  <si>
    <t>Carlo Bumina-ang</t>
  </si>
  <si>
    <t>Carlos Alvarez</t>
  </si>
  <si>
    <t>Celest Hansen</t>
  </si>
  <si>
    <t>Cengiz Lale</t>
  </si>
  <si>
    <t>Ã–zgÃ¼r Sports Club</t>
  </si>
  <si>
    <t>Cep Holik</t>
  </si>
  <si>
    <t>PPSI</t>
  </si>
  <si>
    <t>Chabakaew Sor KanJanchai</t>
  </si>
  <si>
    <t>Luk Chaomae Saithong</t>
  </si>
  <si>
    <t>Chalamdam Sor Boonmeerit</t>
  </si>
  <si>
    <t>Chalarm Paranchai</t>
  </si>
  <si>
    <t>Paranchai</t>
  </si>
  <si>
    <t>Chalarmdam Nayokatasala</t>
  </si>
  <si>
    <t>Sor Chokmeechai</t>
  </si>
  <si>
    <t>Chalawan Ngorbangkapi</t>
  </si>
  <si>
    <t>Sor Sommai</t>
  </si>
  <si>
    <t>Chalie Singha Mawynn</t>
  </si>
  <si>
    <t>Singha Mawynn Muay Thai</t>
  </si>
  <si>
    <t>Chalongsuk Jacksonmuaythai</t>
  </si>
  <si>
    <t>Jackson Muay Thai Gym</t>
  </si>
  <si>
    <t>Chama Superbon Training Camp</t>
  </si>
  <si>
    <t>Champangarm Por Pramuk</t>
  </si>
  <si>
    <t>Por Pramuk</t>
  </si>
  <si>
    <t>Chan Rothana</t>
  </si>
  <si>
    <t>FFG / Selapak</t>
  </si>
  <si>
    <t>Chanajon PK Saenchai</t>
  </si>
  <si>
    <t>Chang Ho Lee</t>
  </si>
  <si>
    <t>Team Max</t>
  </si>
  <si>
    <t>Chang Shuai</t>
  </si>
  <si>
    <t>Baoding Hunter</t>
  </si>
  <si>
    <t>Changthong M U Den</t>
  </si>
  <si>
    <t>FA Group / M U Den</t>
  </si>
  <si>
    <t>Changy Kara-Ool</t>
  </si>
  <si>
    <t>Chaongoh Jitmuangnon</t>
  </si>
  <si>
    <t>Chartmungkorn Chor Hapayak</t>
  </si>
  <si>
    <t>Chor Hapayak</t>
  </si>
  <si>
    <t>Chartpayak Saksatoon</t>
  </si>
  <si>
    <t>Chatanan Sor Jor Joyprajin</t>
  </si>
  <si>
    <t>An Sukhumvit</t>
  </si>
  <si>
    <t>Chathai Bang Saen Fight Club</t>
  </si>
  <si>
    <t>Bangsaen Fight Club</t>
  </si>
  <si>
    <t>Chatpet Sor Jor Tongprajin</t>
  </si>
  <si>
    <t>Chatpet Lampang Sports School</t>
  </si>
  <si>
    <t>Lampang Sports School</t>
  </si>
  <si>
    <t>Chatpichit Sor Sor Toipadriew</t>
  </si>
  <si>
    <t>SorSorToipadriew</t>
  </si>
  <si>
    <t>Chattawee NayokJoyprajin</t>
  </si>
  <si>
    <t>NayokJoyprajin</t>
  </si>
  <si>
    <t>Chayan Oorzhak</t>
  </si>
  <si>
    <t>Mongolia / Russia</t>
  </si>
  <si>
    <t>IdeaJJ Team</t>
  </si>
  <si>
    <t>Chellina Chirino</t>
  </si>
  <si>
    <t>CuraÃ§ao / Netherlands</t>
  </si>
  <si>
    <t>Days Gym / Tiger Muay Thai</t>
  </si>
  <si>
    <t>Chen Hao</t>
  </si>
  <si>
    <t>Chen Jia Yi</t>
  </si>
  <si>
    <t>Anhui Tianxia Huihuang Fight Club</t>
  </si>
  <si>
    <t>Chen Jiayi</t>
  </si>
  <si>
    <t>Anhui Tianxia Huihiang Fight Club</t>
  </si>
  <si>
    <t>Chen Rui</t>
  </si>
  <si>
    <t>Chengdu Ashura Fight Club</t>
  </si>
  <si>
    <t>Chihiro Sawada</t>
  </si>
  <si>
    <t>Chloe Cooke</t>
  </si>
  <si>
    <t>Team Underground</t>
  </si>
  <si>
    <t>Cho Gyu Jun</t>
  </si>
  <si>
    <t>Yatcha Club Gym</t>
  </si>
  <si>
    <t>Cho Joon Gun</t>
  </si>
  <si>
    <t>Team Marco / The Gym Lab</t>
  </si>
  <si>
    <t>Choi Jeong Yun</t>
  </si>
  <si>
    <t>The Gym Lab</t>
  </si>
  <si>
    <t>Chokdee Maxjandee</t>
  </si>
  <si>
    <t>Chokpreecha PK Saenchai</t>
  </si>
  <si>
    <t>Chorfah Tor Sangtiennoi</t>
  </si>
  <si>
    <t>Sangtiennoi Gym</t>
  </si>
  <si>
    <t>Chris Shaw</t>
  </si>
  <si>
    <t>Higher Level MMA</t>
  </si>
  <si>
    <t>Chu Nga Sze</t>
  </si>
  <si>
    <t>Hong Kong SAR China</t>
  </si>
  <si>
    <t>Singpatong Gym</t>
  </si>
  <si>
    <t>Chusap Sor Salacheep</t>
  </si>
  <si>
    <t>Chusuan Chumaroonfarm</t>
  </si>
  <si>
    <t>Claire Rankine</t>
  </si>
  <si>
    <t>Phuket Top Team</t>
  </si>
  <si>
    <t>Claudia Diaz</t>
  </si>
  <si>
    <t>Cleber Sousa</t>
  </si>
  <si>
    <t>Cody Jerome</t>
  </si>
  <si>
    <t>Colbey Northcutt</t>
  </si>
  <si>
    <t>TreigningÂ Lab</t>
  </si>
  <si>
    <t>Cole Abate</t>
  </si>
  <si>
    <t>Colton Kielbasa</t>
  </si>
  <si>
    <t>2 Y</t>
  </si>
  <si>
    <t>Comeback TK Yutthana</t>
  </si>
  <si>
    <t>TK Yuthanna</t>
  </si>
  <si>
    <t>Connor Tymon</t>
  </si>
  <si>
    <t>Brotherhood MMA / Royal Fight Club</t>
  </si>
  <si>
    <t>Constantin Rusu</t>
  </si>
  <si>
    <t>Moldova / Russia</t>
  </si>
  <si>
    <t>RLC Army</t>
  </si>
  <si>
    <t>Coopar Royal</t>
  </si>
  <si>
    <t>Family Fight Team</t>
  </si>
  <si>
    <t>Copter Sor Sommai</t>
  </si>
  <si>
    <t>Cosmo Alexandre</t>
  </si>
  <si>
    <t>Evolution MMA</t>
  </si>
  <si>
    <t>Courtney Martin</t>
  </si>
  <si>
    <t>Wolves Den Perth</t>
  </si>
  <si>
    <t>Craig Coakley</t>
  </si>
  <si>
    <t>Ireland</t>
  </si>
  <si>
    <t>Dublin Combat Academy</t>
  </si>
  <si>
    <t>Craig Hutchison</t>
  </si>
  <si>
    <t>Japan / United Kingdom</t>
  </si>
  <si>
    <t>Carpe Diem</t>
  </si>
  <si>
    <t>Cristina Morales</t>
  </si>
  <si>
    <t>Team Jesus Cabello</t>
  </si>
  <si>
    <t>Cynthia Flores</t>
  </si>
  <si>
    <t>Mexico</t>
  </si>
  <si>
    <t>Richard Cruz MuayThai</t>
  </si>
  <si>
    <t>Dabdam Por Tor Tor Thongtawee</t>
  </si>
  <si>
    <t>Petsomnuck / Por Tor Tor Thongtawee</t>
  </si>
  <si>
    <t>Dae Hwan Kim</t>
  </si>
  <si>
    <t>KukJe Gym / Ryeong Promotion</t>
  </si>
  <si>
    <t>Dae Sung Park</t>
  </si>
  <si>
    <t>Team Macho</t>
  </si>
  <si>
    <t>Dagi Arslanaliev</t>
  </si>
  <si>
    <t>Dai Xiong Li</t>
  </si>
  <si>
    <t>Dalir Moradian</t>
  </si>
  <si>
    <t>Bezhad Warrior Academy</t>
  </si>
  <si>
    <t>Danial Williams</t>
  </si>
  <si>
    <t>Australia / Thailand</t>
  </si>
  <si>
    <t>Kao Sok Muay Thai / Scrappy MMA</t>
  </si>
  <si>
    <t>Daniel Donchenko</t>
  </si>
  <si>
    <t>Daniel Puertas</t>
  </si>
  <si>
    <t>Ultimate Fight School</t>
  </si>
  <si>
    <t>Daniela Lopez</t>
  </si>
  <si>
    <t>FA Group</t>
  </si>
  <si>
    <t>Danila Vasilikhin</t>
  </si>
  <si>
    <t>Daniyal Zainalov</t>
  </si>
  <si>
    <t>Yugansk Fight Team</t>
  </si>
  <si>
    <t>Dankalong Sor Dechapan</t>
  </si>
  <si>
    <t>Danny Kingad</t>
  </si>
  <si>
    <t>Dante Leon</t>
  </si>
  <si>
    <t>Pedigo Submission Fighting</t>
  </si>
  <si>
    <t>Darkie Nokkhao KorMor11</t>
  </si>
  <si>
    <t>Nokkhao Kor Mor 11</t>
  </si>
  <si>
    <t>Dave Bangguigui</t>
  </si>
  <si>
    <t>Fight Corps MMA</t>
  </si>
  <si>
    <t>David Cooke</t>
  </si>
  <si>
    <t>Davit Kiria</t>
  </si>
  <si>
    <t>Georgia</t>
  </si>
  <si>
    <t>Team Kiria</t>
  </si>
  <si>
    <t>Da Woon Jung</t>
  </si>
  <si>
    <t>Team POMA</t>
  </si>
  <si>
    <t>Dayane Cardoso</t>
  </si>
  <si>
    <t>Carioca Academy</t>
  </si>
  <si>
    <t>Decho Por Borirak</t>
  </si>
  <si>
    <t>Singha Mawynn</t>
  </si>
  <si>
    <t>Dedduanglek Wankhongohm MBK</t>
  </si>
  <si>
    <t>Wankhongohm MBK</t>
  </si>
  <si>
    <t>Deepak Bhardwaj</t>
  </si>
  <si>
    <t>Bali MMA</t>
  </si>
  <si>
    <t>Den Sitnayoktaweeptaphong</t>
  </si>
  <si>
    <t>Sak Buriram</t>
  </si>
  <si>
    <t>Denis Andreev</t>
  </si>
  <si>
    <t>Sakha Wrestling MMA</t>
  </si>
  <si>
    <t>Denis Burmatov</t>
  </si>
  <si>
    <t>Sibir</t>
  </si>
  <si>
    <t>Denis Puric</t>
  </si>
  <si>
    <t>Bosnia and Herzegovina / Canada</t>
  </si>
  <si>
    <t>Team CSK</t>
  </si>
  <si>
    <t>Deniz Demirkapu</t>
  </si>
  <si>
    <t>Morocco / Turkey</t>
  </si>
  <si>
    <t>Petchsaman Gym / Team Elite Amsterdam</t>
  </si>
  <si>
    <t>Denkriangkrai Singha Mawynn</t>
  </si>
  <si>
    <t>Denny Sisti</t>
  </si>
  <si>
    <t>Southside MMA</t>
  </si>
  <si>
    <t>Denpanom Pran26</t>
  </si>
  <si>
    <t>Pran 26</t>
  </si>
  <si>
    <t>Denpayak Detpetchsrithong</t>
  </si>
  <si>
    <t>Detpetchsrithong</t>
  </si>
  <si>
    <t>Denphuthai Superlek Muay Thai</t>
  </si>
  <si>
    <t>Superlek Muaythai</t>
  </si>
  <si>
    <t>Detchanan Wor Wiangsa</t>
  </si>
  <si>
    <t>Wor Wiangsa</t>
  </si>
  <si>
    <t>Detchawalit Silkmuaythai</t>
  </si>
  <si>
    <t>Silk Muaythai</t>
  </si>
  <si>
    <t>Detphupa ChotBangsaen</t>
  </si>
  <si>
    <t>Wor Suksan</t>
  </si>
  <si>
    <t>Detpichai NaweeAndaman</t>
  </si>
  <si>
    <t>NaweeAndaman</t>
  </si>
  <si>
    <t>Detrit LooksuanAutomuaythai</t>
  </si>
  <si>
    <t>Looksuan</t>
  </si>
  <si>
    <t>Devina Martin</t>
  </si>
  <si>
    <t>MauyU</t>
  </si>
  <si>
    <t>Diandra Martin</t>
  </si>
  <si>
    <t>MuayU</t>
  </si>
  <si>
    <t>Diego Paez</t>
  </si>
  <si>
    <t>Colombia / United States</t>
  </si>
  <si>
    <t>Classic Fight Team</t>
  </si>
  <si>
    <t>Dieselnoi Liamthanawat</t>
  </si>
  <si>
    <t>Sor Jor Lekmuangnon</t>
  </si>
  <si>
    <t>Ding Meng</t>
  </si>
  <si>
    <t>Daqin Martial Arts MMA Club</t>
  </si>
  <si>
    <t>Dinneurthong Muadphong191</t>
  </si>
  <si>
    <t>Diogo Calado</t>
  </si>
  <si>
    <t>Portugal</t>
  </si>
  <si>
    <t>Dinamite Team / Fight Nation</t>
  </si>
  <si>
    <t>Diogo Reis</t>
  </si>
  <si>
    <t>Melqui Galvao</t>
  </si>
  <si>
    <t>Dionatha Santos Tobias</t>
  </si>
  <si>
    <t>Dmitrii Kovtun</t>
  </si>
  <si>
    <t>RUS Gym / Sitsongpeenong Muay Thai Camp</t>
  </si>
  <si>
    <t>Dmitriy Babkin</t>
  </si>
  <si>
    <t>Raty</t>
  </si>
  <si>
    <t>Dmitriy Kireev</t>
  </si>
  <si>
    <t>Dmitry Changelia</t>
  </si>
  <si>
    <t>Legion</t>
  </si>
  <si>
    <t>Dmitry Menshikov</t>
  </si>
  <si>
    <t>Empire Club / Kuzbass Muay Thai</t>
  </si>
  <si>
    <t>Dokmaipa PK Saenchai</t>
  </si>
  <si>
    <t>Donking Yotharakmuaythai</t>
  </si>
  <si>
    <t>Yotharak Muaythai</t>
  </si>
  <si>
    <t>Donny Smith</t>
  </si>
  <si>
    <t>Doraemon</t>
  </si>
  <si>
    <t>Duangsompong Jitmuangnon</t>
  </si>
  <si>
    <t>Duke Didier</t>
  </si>
  <si>
    <t>Progression MMA</t>
  </si>
  <si>
    <t>Dunk Lukporphrayasua</t>
  </si>
  <si>
    <t>Lukporphrayasua</t>
  </si>
  <si>
    <t>Dzhabir Dzhabrailov</t>
  </si>
  <si>
    <t>Team Amir</t>
  </si>
  <si>
    <t>Dzhokhar Eskiev</t>
  </si>
  <si>
    <t>T-1 Fight Academy</t>
  </si>
  <si>
    <t>Eddie Abasolo</t>
  </si>
  <si>
    <t>The Resistance</t>
  </si>
  <si>
    <t>Edson Machavane</t>
  </si>
  <si>
    <t>Mozambique / South Africa</t>
  </si>
  <si>
    <t>Creonte BJJ Gym</t>
  </si>
  <si>
    <t>Edson Marques</t>
  </si>
  <si>
    <t>Libertas MMA</t>
  </si>
  <si>
    <t>Eduard Folayang</t>
  </si>
  <si>
    <t>Eduard Saik</t>
  </si>
  <si>
    <t>Eduardo Freitas</t>
  </si>
  <si>
    <t>Edward Kelly</t>
  </si>
  <si>
    <t>Egi Rozten</t>
  </si>
  <si>
    <t>IndoGym</t>
  </si>
  <si>
    <t>Egor Bikrev</t>
  </si>
  <si>
    <t>City of Fighters / Kuzbass Muay Thai</t>
  </si>
  <si>
    <t>Eh Mwi</t>
  </si>
  <si>
    <t>Top One</t>
  </si>
  <si>
    <t>Eisaku Ogasawara</t>
  </si>
  <si>
    <t>Crosspoint Kichijoji</t>
  </si>
  <si>
    <t>Ekaterina Vandaryeva</t>
  </si>
  <si>
    <t>Belarus</t>
  </si>
  <si>
    <t>Eko Roni Saputra</t>
  </si>
  <si>
    <t>Elad Suman</t>
  </si>
  <si>
    <t>Ghana / Israel</t>
  </si>
  <si>
    <t>Elbek Alyshov</t>
  </si>
  <si>
    <t>Azerbaijan / Russia</t>
  </si>
  <si>
    <t>GM Gym</t>
  </si>
  <si>
    <t>Elbrus Osmanov</t>
  </si>
  <si>
    <t>Akhmat Kickboxing / Team Mehdi Zatout</t>
  </si>
  <si>
    <t>Elias Ghazali</t>
  </si>
  <si>
    <t>Malaysia / United States</t>
  </si>
  <si>
    <t>Rentap Muay Thai Gym</t>
  </si>
  <si>
    <t>Elias Mahmoudi</t>
  </si>
  <si>
    <t>Elies Abdelali</t>
  </si>
  <si>
    <t>Team Payan</t>
  </si>
  <si>
    <t>Ellis Badr Barboza</t>
  </si>
  <si>
    <t>Elmehdi El Jamari</t>
  </si>
  <si>
    <t>Ostora Fighters World</t>
  </si>
  <si>
    <t>Ely Fernandez</t>
  </si>
  <si>
    <t>Index MMA</t>
  </si>
  <si>
    <t>Elyes Kacem</t>
  </si>
  <si>
    <t>Team Nasser K</t>
  </si>
  <si>
    <t>Emilio Urrutia</t>
  </si>
  <si>
    <t>Emily Chong</t>
  </si>
  <si>
    <t>Emran Hafizoglu</t>
  </si>
  <si>
    <t>Enkh-Orgil Baatarkhuu</t>
  </si>
  <si>
    <t>Team Tungaa</t>
  </si>
  <si>
    <t>Enriko Kehl</t>
  </si>
  <si>
    <t>Germany</t>
  </si>
  <si>
    <t>Trans4mer Mainz</t>
  </si>
  <si>
    <t>Enzo Clarisse</t>
  </si>
  <si>
    <t>Erdem Taha Dincer</t>
  </si>
  <si>
    <t>WMC Lamai Muay Thai Gym</t>
  </si>
  <si>
    <t>Erik Hehir</t>
  </si>
  <si>
    <t>Chanrit Muay Thai</t>
  </si>
  <si>
    <t>Eros Baluyot</t>
  </si>
  <si>
    <t>Atos Jiu-Jitsu / Submission Sport Philippines</t>
  </si>
  <si>
    <t>Erzhan Zhanyshbek Uulu</t>
  </si>
  <si>
    <t>KROC Sports / Mashrapov Academy</t>
  </si>
  <si>
    <t>Estrada Donga-as</t>
  </si>
  <si>
    <t>ET Wankhongohm MBK</t>
  </si>
  <si>
    <t>Eubert Gomez</t>
  </si>
  <si>
    <t>Venezuela</t>
  </si>
  <si>
    <t>IS 360 Sport Academy / Toros Fighters</t>
  </si>
  <si>
    <t>Ev Ting</t>
  </si>
  <si>
    <t>Malaysia / New Zealand</t>
  </si>
  <si>
    <t>Auckland MMA</t>
  </si>
  <si>
    <t>Evgenii Antonov</t>
  </si>
  <si>
    <t>bk Grusha / Evolve MMA</t>
  </si>
  <si>
    <t>Evgenii Morozov</t>
  </si>
  <si>
    <t>STORM Fight Team Tver</t>
  </si>
  <si>
    <t>Ezekiel Isidro</t>
  </si>
  <si>
    <t>Submission Sport Philippines</t>
  </si>
  <si>
    <t>Fabio Harada</t>
  </si>
  <si>
    <t>Brazil / Japan</t>
  </si>
  <si>
    <t>In Fight Japan</t>
  </si>
  <si>
    <t>Fabio Reis</t>
  </si>
  <si>
    <t>Fabricio Andrey</t>
  </si>
  <si>
    <t>Face Erawan</t>
  </si>
  <si>
    <t>Erawan</t>
  </si>
  <si>
    <t>Fahjarat Sor Dechapan</t>
  </si>
  <si>
    <t>Fahlan Por Petkhaikaew</t>
  </si>
  <si>
    <t>Por Petkhaikaew</t>
  </si>
  <si>
    <t>Fahlikit NayokJoyprajin</t>
  </si>
  <si>
    <t>Petchnumnoi</t>
  </si>
  <si>
    <t>Faine Mesquita</t>
  </si>
  <si>
    <t>Faizan Khan</t>
  </si>
  <si>
    <t>Team Fight Fortress</t>
  </si>
  <si>
    <t>Fajar</t>
  </si>
  <si>
    <t>BSA Martial Arts Center</t>
  </si>
  <si>
    <t>Fan Jia Le</t>
  </si>
  <si>
    <t>Farid Alibabazade</t>
  </si>
  <si>
    <t>Galaktic Sports</t>
  </si>
  <si>
    <t>Felipe Lobo</t>
  </si>
  <si>
    <t>Revolution Muay Thai Phuket</t>
  </si>
  <si>
    <t>Felipe Negochadle</t>
  </si>
  <si>
    <t>Brazil / Vietnam</t>
  </si>
  <si>
    <t>C88 Martial Arts</t>
  </si>
  <si>
    <t>Felipe Silva</t>
  </si>
  <si>
    <t>Feng Xing Li</t>
  </si>
  <si>
    <t>Fighting Elements Gym Team A</t>
  </si>
  <si>
    <t>Sanda</t>
  </si>
  <si>
    <t>Fernando Amaya</t>
  </si>
  <si>
    <t>Ferrari Fairtex</t>
  </si>
  <si>
    <t>Ferzan Cicek</t>
  </si>
  <si>
    <t>Fino Chor Ketwina</t>
  </si>
  <si>
    <t>Chor Ketwina</t>
  </si>
  <si>
    <t>Focus PK Wor Apinya</t>
  </si>
  <si>
    <t>Francisca Vera</t>
  </si>
  <si>
    <t>Chile</t>
  </si>
  <si>
    <t>Kai Muay Free Fighters</t>
  </si>
  <si>
    <t>Francisco Lo</t>
  </si>
  <si>
    <t>Freddie Haggerty</t>
  </si>
  <si>
    <t>England</t>
  </si>
  <si>
    <t>Fritz Biagtan</t>
  </si>
  <si>
    <t>Biagtan MMA / T-Rex MMA</t>
  </si>
  <si>
    <t>Fu Kang Kang</t>
  </si>
  <si>
    <t>Fu Qing Nan</t>
  </si>
  <si>
    <t>Qiu Jianliang Kickboxing Sports Academy</t>
  </si>
  <si>
    <t>Fujun Cao</t>
  </si>
  <si>
    <t>Furkan Karabag</t>
  </si>
  <si>
    <t>WMC Lamai Muaythai</t>
  </si>
  <si>
    <t>Fuu</t>
  </si>
  <si>
    <t>Ryuseijuku Phantom Dojo</t>
  </si>
  <si>
    <t>Fuyuka</t>
  </si>
  <si>
    <t>Team Forest</t>
  </si>
  <si>
    <t>Gabriel Sousa</t>
  </si>
  <si>
    <t>Gabriel Souza</t>
  </si>
  <si>
    <t>Gabriele Lionetti</t>
  </si>
  <si>
    <t>Team IMPACT / Tiger Muay Thai</t>
  </si>
  <si>
    <t>Gabriele Moram</t>
  </si>
  <si>
    <t>Kiatphontip Gym</t>
  </si>
  <si>
    <t>Gadzhimurad Amirzhanov</t>
  </si>
  <si>
    <t>Dobrynya</t>
  </si>
  <si>
    <t>Gadzhimurad Gasanguseinov</t>
  </si>
  <si>
    <t>Russia / Uzbekistan</t>
  </si>
  <si>
    <t>Ganchai Jitmuangnon</t>
  </si>
  <si>
    <t>G'Anijonov Muhlisbek</t>
  </si>
  <si>
    <t>Gantogtokh Baatarchuluun</t>
  </si>
  <si>
    <t>Garuda MMA</t>
  </si>
  <si>
    <t>Gao Bo</t>
  </si>
  <si>
    <t>YUAN Jiujitsu</t>
  </si>
  <si>
    <t>Garry Tonon</t>
  </si>
  <si>
    <t>Evolve MMA / Team Renzo Gracie</t>
  </si>
  <si>
    <t>Geje Eustaquio</t>
  </si>
  <si>
    <t>George Jarvis</t>
  </si>
  <si>
    <t>Lumpini Crawley</t>
  </si>
  <si>
    <t>George Mouzakitis</t>
  </si>
  <si>
    <t>Petchnoi Gym</t>
  </si>
  <si>
    <t>Georgy Shahruramazanov</t>
  </si>
  <si>
    <t>Fighting Eagles / Raty Team</t>
  </si>
  <si>
    <t>Germain Kpoghomou</t>
  </si>
  <si>
    <t>France / Guinea</t>
  </si>
  <si>
    <t>Mahmoudi Gym / NF Looksuan</t>
  </si>
  <si>
    <t>Gianni Grippo</t>
  </si>
  <si>
    <t>Bodega Jiu-Jitsu</t>
  </si>
  <si>
    <t>Gianni Subba</t>
  </si>
  <si>
    <t>Bali MMA / Klinch MMA</t>
  </si>
  <si>
    <t>Gianny De Leu</t>
  </si>
  <si>
    <t>Belgium</t>
  </si>
  <si>
    <t>Sandu Gym / Sor Dechapan</t>
  </si>
  <si>
    <t>Gilbert Nakatani</t>
  </si>
  <si>
    <t>Aragon Training Academy</t>
  </si>
  <si>
    <t>Gingsanglek Wor Kumchamnarn</t>
  </si>
  <si>
    <t>Tor Laksong Gym</t>
  </si>
  <si>
    <t>Giorgio Petrosyan</t>
  </si>
  <si>
    <t>Team Multi Fight Petrosyan</t>
  </si>
  <si>
    <t>Gokhan Boran</t>
  </si>
  <si>
    <t>Got Taipetburi</t>
  </si>
  <si>
    <t>Taipetburi</t>
  </si>
  <si>
    <t>Govind Singh</t>
  </si>
  <si>
    <t>Phuket Top Team / Team Mountain Boys</t>
  </si>
  <si>
    <t>Grandprixnoi PK Saenchai</t>
  </si>
  <si>
    <t>Gregor Thom</t>
  </si>
  <si>
    <t>Aberdeen Combat Centre / Kiatsongrit</t>
  </si>
  <si>
    <t>Gui Yan Zhao</t>
  </si>
  <si>
    <t>Haoyue Fight Club</t>
  </si>
  <si>
    <t>Guilherme Antunes</t>
  </si>
  <si>
    <t>Gump</t>
  </si>
  <si>
    <t>Team Teppen</t>
  </si>
  <si>
    <t>Gurdarshan Mangat</t>
  </si>
  <si>
    <t>Canada / India</t>
  </si>
  <si>
    <t>10th Planet Las Vegas / Xtreme Couture</t>
  </si>
  <si>
    <t>Gusjung Fairtex</t>
  </si>
  <si>
    <t>Guto Inocente</t>
  </si>
  <si>
    <t>Real Combat Technique</t>
  </si>
  <si>
    <t>Gwanwoo Lim</t>
  </si>
  <si>
    <t>Hakim Bah</t>
  </si>
  <si>
    <t>France / Morocco</t>
  </si>
  <si>
    <t>Singto Gym / Sor Dechapan</t>
  </si>
  <si>
    <t>Hakim Hamech</t>
  </si>
  <si>
    <t>Team NAS-R.K.</t>
  </si>
  <si>
    <t>Halil Amir</t>
  </si>
  <si>
    <t>Halil Kutukcu</t>
  </si>
  <si>
    <t>Netherlands / Turkey</t>
  </si>
  <si>
    <t>Han Zi Hao</t>
  </si>
  <si>
    <t>Mad Muay Thai Gym / Shunyuan Fight Club</t>
  </si>
  <si>
    <t>Hannah Brady</t>
  </si>
  <si>
    <t>Kiatphontip UK</t>
  </si>
  <si>
    <t>Hao Da Peng</t>
  </si>
  <si>
    <t>ET Club</t>
  </si>
  <si>
    <t>Hao Shuai</t>
  </si>
  <si>
    <t>Sathian MuayThai</t>
  </si>
  <si>
    <t>Haodong Jitmuangnon</t>
  </si>
  <si>
    <t>Har Ling Om</t>
  </si>
  <si>
    <t>Phyo Wai Group</t>
  </si>
  <si>
    <t>Harlysson Nunes</t>
  </si>
  <si>
    <t>Haruto Yasumoto</t>
  </si>
  <si>
    <t>Hashimoto Dojo</t>
  </si>
  <si>
    <t>Haruyuki Tanitsu</t>
  </si>
  <si>
    <t>Sinkou MueTai</t>
  </si>
  <si>
    <t>Hassan Vahdanirad</t>
  </si>
  <si>
    <t>Cyrus</t>
  </si>
  <si>
    <t>Hercules Wor Chakrawut</t>
  </si>
  <si>
    <t>Petseemuan Gym</t>
  </si>
  <si>
    <t>Hern NF Looksuan</t>
  </si>
  <si>
    <t>NF Looksuan</t>
  </si>
  <si>
    <t>Hexigetu</t>
  </si>
  <si>
    <t>China Top Team</t>
  </si>
  <si>
    <t>Hidenari Saijo</t>
  </si>
  <si>
    <t>The Black Belt Japan</t>
  </si>
  <si>
    <t>Hikaru Furumura</t>
  </si>
  <si>
    <t>Furumura Gym</t>
  </si>
  <si>
    <t>Hikaru Yoshino</t>
  </si>
  <si>
    <t>Paraestra Tokyo Bay</t>
  </si>
  <si>
    <t>Hinlekfai Samchaiwisetsuk</t>
  </si>
  <si>
    <t>Samchaiwisetsuk</t>
  </si>
  <si>
    <t>Hiroba Minowa</t>
  </si>
  <si>
    <t>STF</t>
  </si>
  <si>
    <t>Hiroki Akimoto</t>
  </si>
  <si>
    <t>Hiroki Kasahara</t>
  </si>
  <si>
    <t>Caesar Gym</t>
  </si>
  <si>
    <t>Hiroki Naruo</t>
  </si>
  <si>
    <t>Kyudo Kaikan</t>
  </si>
  <si>
    <t>Hiroki Suzuki</t>
  </si>
  <si>
    <t>Cross Point Kichijoji</t>
  </si>
  <si>
    <t>Hiroto Masuda</t>
  </si>
  <si>
    <t>Master Japan</t>
  </si>
  <si>
    <t>Hiroto Sameshima</t>
  </si>
  <si>
    <t>Weerasackreck MuayThai Gym</t>
  </si>
  <si>
    <t>Hiroyasu Sakurai</t>
  </si>
  <si>
    <t>Team Never Quit</t>
  </si>
  <si>
    <t>Hiroyuki</t>
  </si>
  <si>
    <t>RIKIX</t>
  </si>
  <si>
    <t>Hiroyuki Ihara</t>
  </si>
  <si>
    <t>Hades Workout Gym</t>
  </si>
  <si>
    <t>Hiroyuki Tetsuka</t>
  </si>
  <si>
    <t>Yamada Dojo-TGFC</t>
  </si>
  <si>
    <t>Hiryu Niwa</t>
  </si>
  <si>
    <t>Honorio Banario</t>
  </si>
  <si>
    <t>Hu Bin Qian</t>
  </si>
  <si>
    <t>Changsha Ruige Muay Thai Gym</t>
  </si>
  <si>
    <t>Hu Li Zong</t>
  </si>
  <si>
    <t>Freeman</t>
  </si>
  <si>
    <t>Hu Si Le</t>
  </si>
  <si>
    <t>Hu Ye</t>
  </si>
  <si>
    <t>Mango Muay Thai</t>
  </si>
  <si>
    <t>Hu Yong</t>
  </si>
  <si>
    <t>Fighting Bros Club</t>
  </si>
  <si>
    <t>Huang Shuai Lu</t>
  </si>
  <si>
    <t>White Shark Fight Club</t>
  </si>
  <si>
    <t>Huang Yan Chuan</t>
  </si>
  <si>
    <t>Beijing Ningguangyou Combat and Fitness Club</t>
  </si>
  <si>
    <t>Huo Xiaolong</t>
  </si>
  <si>
    <t>Xuchang Chunyang Boji club</t>
  </si>
  <si>
    <t>Hussein Salem</t>
  </si>
  <si>
    <t>Huyixibai</t>
  </si>
  <si>
    <t>Warrior Fight Club</t>
  </si>
  <si>
    <t>Hyu</t>
  </si>
  <si>
    <t>Team Mehdi Zatout / TEAM3K</t>
  </si>
  <si>
    <t>Hyun jin Lee</t>
  </si>
  <si>
    <t>Ssen Gym</t>
  </si>
  <si>
    <t>Ibragim Abdulmedzhidov</t>
  </si>
  <si>
    <t>Sham Fighter</t>
  </si>
  <si>
    <t>Ibragim Dauev</t>
  </si>
  <si>
    <t>Fight Club Akhmat / One Chance</t>
  </si>
  <si>
    <t>Ibragim Shaymanov</t>
  </si>
  <si>
    <t>Idris Abdurashidov</t>
  </si>
  <si>
    <t>Aslan Team</t>
  </si>
  <si>
    <t>Ikko Ota</t>
  </si>
  <si>
    <t>Shinkoh Muay Thai Gym</t>
  </si>
  <si>
    <t>Ilashev Dostonbek</t>
  </si>
  <si>
    <t>Ilias Ennahachi</t>
  </si>
  <si>
    <t>Morocco / Netherlands</t>
  </si>
  <si>
    <t>S&amp;B Gym</t>
  </si>
  <si>
    <t>Ilimbek Akylbek Uulu</t>
  </si>
  <si>
    <t>Ilja Stojanov</t>
  </si>
  <si>
    <t>MMA Spirit</t>
  </si>
  <si>
    <t>Ilya Freymanov</t>
  </si>
  <si>
    <t>Kuznya Fight Club</t>
  </si>
  <si>
    <t>Ilyas Dursun</t>
  </si>
  <si>
    <t>Amir Team / Seven Training Club</t>
  </si>
  <si>
    <t>Ilyas Eziyeu</t>
  </si>
  <si>
    <t>Akhmat Fight Team</t>
  </si>
  <si>
    <t>Ilyas Musaev</t>
  </si>
  <si>
    <t>Imad Salhi</t>
  </si>
  <si>
    <t>Morocco / Spain</t>
  </si>
  <si>
    <t>Sor Dechapan / Voodoo Fight Gym</t>
  </si>
  <si>
    <t>Iman Barlow</t>
  </si>
  <si>
    <t>Assassins MUAY THAI</t>
  </si>
  <si>
    <t>Imran Satiev</t>
  </si>
  <si>
    <t>KHK Dagestan / Team Mehdi Zatout</t>
  </si>
  <si>
    <t>Irfan Ahmad</t>
  </si>
  <si>
    <t>Team Shaheen</t>
  </si>
  <si>
    <t>Isaac Araya</t>
  </si>
  <si>
    <t>Muay Pam Gym Tenerife</t>
  </si>
  <si>
    <t>Isaac Mohammed</t>
  </si>
  <si>
    <t>Petch Muay Thai Gym</t>
  </si>
  <si>
    <t>Isannuea Tor Tanjaroen</t>
  </si>
  <si>
    <t>Sit Erawan</t>
  </si>
  <si>
    <t>Isaque Moura</t>
  </si>
  <si>
    <t>Lions MMA Club</t>
  </si>
  <si>
    <t>Isfak Seyid</t>
  </si>
  <si>
    <t>Flipside / Last Round Gym</t>
  </si>
  <si>
    <t>Isi Fitikefu</t>
  </si>
  <si>
    <t>Australia / Tonga</t>
  </si>
  <si>
    <t>Gracie Jiu-Jitsu Smeaton Grange</t>
  </si>
  <si>
    <t>Islam Kukaev</t>
  </si>
  <si>
    <t>Austria</t>
  </si>
  <si>
    <t>Hiro Gym</t>
  </si>
  <si>
    <t>Islam Murtazaev</t>
  </si>
  <si>
    <t>Varyag Gym / Venum Training Camp Thailand</t>
  </si>
  <si>
    <t>Islay Erika Bomogao</t>
  </si>
  <si>
    <t>Team Bagsik</t>
  </si>
  <si>
    <t>Ismael Bandiwan</t>
  </si>
  <si>
    <t>Tribal Torogi</t>
  </si>
  <si>
    <t>Ismael Londt</t>
  </si>
  <si>
    <t>Netherlands / Suriname</t>
  </si>
  <si>
    <t>ARJ Trainingen</t>
  </si>
  <si>
    <t>Ismail Khan</t>
  </si>
  <si>
    <t>Issei Yonaha</t>
  </si>
  <si>
    <t>Saenchai Muay Thai Gym</t>
  </si>
  <si>
    <t>Itsuki Hirata</t>
  </si>
  <si>
    <t>Serra-Longo Fight Team</t>
  </si>
  <si>
    <t>Iuri Lapicus</t>
  </si>
  <si>
    <t>Moldova</t>
  </si>
  <si>
    <t>Ankos MMA / Team Petrosyan</t>
  </si>
  <si>
    <t>Ivan Bondarchuk</t>
  </si>
  <si>
    <t>Ivan Buldakov</t>
  </si>
  <si>
    <t>Ivan Gnizditskiy</t>
  </si>
  <si>
    <t>Chingi Tura</t>
  </si>
  <si>
    <t>Ivan Orekhov</t>
  </si>
  <si>
    <t>Ratibor Moscow / Tiger Muay Thai</t>
  </si>
  <si>
    <t>Ivan Parshikov</t>
  </si>
  <si>
    <t>Nova Uniao / Rusich</t>
  </si>
  <si>
    <t>Ivan Podrugin</t>
  </si>
  <si>
    <t>Pankration Fight Club / Raty Team</t>
  </si>
  <si>
    <t>Izaak Michell</t>
  </si>
  <si>
    <t>Vanguard Academy</t>
  </si>
  <si>
    <t>Jace Law</t>
  </si>
  <si>
    <t>Harbour Top Team</t>
  </si>
  <si>
    <t>Jack Jackmuaythai Gym</t>
  </si>
  <si>
    <t>Sit Jack Muaythai</t>
  </si>
  <si>
    <t>Jacob Smith</t>
  </si>
  <si>
    <t>Bad Company / Thaifist</t>
  </si>
  <si>
    <t>Jacob Thompson</t>
  </si>
  <si>
    <t>Team Jai Dee</t>
  </si>
  <si>
    <t>Jaipet Singha Mawynn</t>
  </si>
  <si>
    <t>Jaising Sitnayokpunsak</t>
  </si>
  <si>
    <t>Sitnayokpansak</t>
  </si>
  <si>
    <t>Jake Peacock</t>
  </si>
  <si>
    <t>Canada / United Kingdom</t>
  </si>
  <si>
    <t>Dunamis Muay Thai</t>
  </si>
  <si>
    <t>Jakub Poslowski</t>
  </si>
  <si>
    <t>Klincz Kielce</t>
  </si>
  <si>
    <t>Jakub Wayman</t>
  </si>
  <si>
    <t>Khun Suek</t>
  </si>
  <si>
    <t>Jalill Barnes</t>
  </si>
  <si>
    <t>Jamal Yusupov</t>
  </si>
  <si>
    <t>Jamark Cooper</t>
  </si>
  <si>
    <t>James Nakashima</t>
  </si>
  <si>
    <t>MMA Lab</t>
  </si>
  <si>
    <t>James Yang</t>
  </si>
  <si>
    <t>Jan Menard Atole</t>
  </si>
  <si>
    <t>Fresh Training Room</t>
  </si>
  <si>
    <t>Jang Seon Gyu</t>
  </si>
  <si>
    <t>Team Rookie</t>
  </si>
  <si>
    <t>Jaoinsee PK Saenchai</t>
  </si>
  <si>
    <t>Jaopuenyai Kiatkongkreangkrai</t>
  </si>
  <si>
    <t>Kiatkongkreangkrai Muay Thai Gym</t>
  </si>
  <si>
    <t>Jaosuayai Mor Krungthepthonburi</t>
  </si>
  <si>
    <t>Jaradchai Maxjandee</t>
  </si>
  <si>
    <t>Maxjandee / PK Saenchai Muaythaigym</t>
  </si>
  <si>
    <t>Jaroenporn TKD Muaythai</t>
  </si>
  <si>
    <t>TKD Muaythai</t>
  </si>
  <si>
    <t>Jaruadsuk Sor Jor Wichitpadriew</t>
  </si>
  <si>
    <t>Sor Takainthong</t>
  </si>
  <si>
    <t>Javad Bigdeli</t>
  </si>
  <si>
    <t>Javier Aparicio</t>
  </si>
  <si>
    <t>Jayson Miralpez</t>
  </si>
  <si>
    <t>Warriors MMA Academy</t>
  </si>
  <si>
    <t>JD Hardwick</t>
  </si>
  <si>
    <t>Jean Carlos Pereira</t>
  </si>
  <si>
    <t>Muay Thai J Base</t>
  </si>
  <si>
    <t>Jean Claude Saclag</t>
  </si>
  <si>
    <t>Jeff Chan</t>
  </si>
  <si>
    <t>Tristar</t>
  </si>
  <si>
    <t>Jelte Blommaert</t>
  </si>
  <si>
    <t>Jencherng Pumpanmuang</t>
  </si>
  <si>
    <t>Lukmakhamwan</t>
  </si>
  <si>
    <t>Jenelyn Olsim</t>
  </si>
  <si>
    <t>Jeremy Miado</t>
  </si>
  <si>
    <t>Marrok Force</t>
  </si>
  <si>
    <t>Jeremy Pacatiw</t>
  </si>
  <si>
    <t>Jerry Olsim</t>
  </si>
  <si>
    <t>Jessa Khan</t>
  </si>
  <si>
    <t>Cambodia / United States</t>
  </si>
  <si>
    <t>Jhanlo Mark Sangiao</t>
  </si>
  <si>
    <t>Jia Ao Qi</t>
  </si>
  <si>
    <t>Jiang Lumin</t>
  </si>
  <si>
    <t>Jiao Dao Bo</t>
  </si>
  <si>
    <t>Fighting Elements Gym Team B</t>
  </si>
  <si>
    <t>Jiduo Yibu</t>
  </si>
  <si>
    <t>Shengli Fight Club</t>
  </si>
  <si>
    <t>Jihin Radzuan</t>
  </si>
  <si>
    <t>Ultimate MMA Academy</t>
  </si>
  <si>
    <t>Jimmy Vienot</t>
  </si>
  <si>
    <t>Jingreedtong Kelasport</t>
  </si>
  <si>
    <t>Jo Nattawut</t>
  </si>
  <si>
    <t>Thai Top Team</t>
  </si>
  <si>
    <t>Joachim Ouraghi</t>
  </si>
  <si>
    <t>Petsaman</t>
  </si>
  <si>
    <t>Joe Welch</t>
  </si>
  <si>
    <t>Northern Kings</t>
  </si>
  <si>
    <t>Joey Baylon</t>
  </si>
  <si>
    <t>4 Y</t>
  </si>
  <si>
    <t>Joey Pierotti</t>
  </si>
  <si>
    <t>Combat Sports and Fitness</t>
  </si>
  <si>
    <t>Johan Estupinan</t>
  </si>
  <si>
    <t>Colombia</t>
  </si>
  <si>
    <t>JCFernandez / Team CSK</t>
  </si>
  <si>
    <t>Johan Ghazali</t>
  </si>
  <si>
    <t>Rentap Muaythai Gym</t>
  </si>
  <si>
    <t>Johanna Persson</t>
  </si>
  <si>
    <t>Gefle Fight Center / Sitjaopho Muaythai</t>
  </si>
  <si>
    <t>John Lineker</t>
  </si>
  <si>
    <t>American Top Team</t>
  </si>
  <si>
    <t>John Wayne Parr</t>
  </si>
  <si>
    <t>Boonchu Gym</t>
  </si>
  <si>
    <t>Johnny Nunez</t>
  </si>
  <si>
    <t>Joji Goto</t>
  </si>
  <si>
    <t>Joker Paesaisi</t>
  </si>
  <si>
    <t>Paesaisi</t>
  </si>
  <si>
    <t>Jomhod Auto MuayThai</t>
  </si>
  <si>
    <t>Jomhod Auto R1 Gym</t>
  </si>
  <si>
    <t>Jomhot Charoenmuang</t>
  </si>
  <si>
    <t>Jaroenmueng Muaythai</t>
  </si>
  <si>
    <t>Jomhod Chor Ketwina</t>
  </si>
  <si>
    <t>Jomjai Naksugym</t>
  </si>
  <si>
    <t>Captain Kane Gym</t>
  </si>
  <si>
    <t>Jompadej Nupranburi</t>
  </si>
  <si>
    <t>Nupranburi</t>
  </si>
  <si>
    <t>Jong Heon Kim</t>
  </si>
  <si>
    <t>Octagon Multi Gym</t>
  </si>
  <si>
    <t>Jongangsuk Sor Theppitak</t>
  </si>
  <si>
    <t>Joo Hwan Kim</t>
  </si>
  <si>
    <t>Jordan Estupinan</t>
  </si>
  <si>
    <t>Jordan Godtfredsen</t>
  </si>
  <si>
    <t>Kao Sok Muay Thai</t>
  </si>
  <si>
    <t>Jose Manuel Hita</t>
  </si>
  <si>
    <t>Kai Muay Freefighters</t>
  </si>
  <si>
    <t>Josh Hill</t>
  </si>
  <si>
    <t>Majestic Gym</t>
  </si>
  <si>
    <t>Josh Tonna</t>
  </si>
  <si>
    <t>Josh Trowbridge</t>
  </si>
  <si>
    <t>Joshua Perreira</t>
  </si>
  <si>
    <t>Immortal Martial Arts</t>
  </si>
  <si>
    <t>Josue Cruz</t>
  </si>
  <si>
    <t>Mahmoudi Gym Mexico</t>
  </si>
  <si>
    <t>Jozef Chen</t>
  </si>
  <si>
    <t>B-Team</t>
  </si>
  <si>
    <t>Judy Humber</t>
  </si>
  <si>
    <t>Sinbi Muaythai</t>
  </si>
  <si>
    <t>Juliana Otalora</t>
  </si>
  <si>
    <t>El Patron Academy</t>
  </si>
  <si>
    <t>Julio Lobo</t>
  </si>
  <si>
    <t>Jung Jun Hee</t>
  </si>
  <si>
    <t>Wang Ho</t>
  </si>
  <si>
    <t>Junior Fairtex</t>
  </si>
  <si>
    <t>Jurai Ishii</t>
  </si>
  <si>
    <t>Exindecon Gym</t>
  </si>
  <si>
    <t>Justin Jones Matoto</t>
  </si>
  <si>
    <t>CC MMA / OC Fight Gym</t>
  </si>
  <si>
    <t>Kabilan Jelevan</t>
  </si>
  <si>
    <t>Kaenlek Sor Chokmeechai</t>
  </si>
  <si>
    <t>Kaenpitak NhongBangsai</t>
  </si>
  <si>
    <t>NhongBangsai</t>
  </si>
  <si>
    <t>Maisangngern Sor Yingcharoenkarnchang</t>
  </si>
  <si>
    <t>3rd Army Area</t>
  </si>
  <si>
    <t>Kaimookkhao Wankhongohm MBK</t>
  </si>
  <si>
    <t>Kairat Akhmetov</t>
  </si>
  <si>
    <t>Kais Mohammed</t>
  </si>
  <si>
    <t>Kaisei Sato</t>
  </si>
  <si>
    <t>PCK</t>
  </si>
  <si>
    <t>Kaito Oda</t>
  </si>
  <si>
    <t>Carpe Diem Fukuoka</t>
  </si>
  <si>
    <t>Kaito</t>
  </si>
  <si>
    <t>Team F.O.D.</t>
  </si>
  <si>
    <t>Kaito Sakaguchi</t>
  </si>
  <si>
    <t>Risshi Kaikan</t>
  </si>
  <si>
    <t>Kalaked Por Muangpetch</t>
  </si>
  <si>
    <t>Por Muangpetch</t>
  </si>
  <si>
    <t>Kampeetewada Sitthikul</t>
  </si>
  <si>
    <t>Sitthikul Muaytewada Gym</t>
  </si>
  <si>
    <t>Kana Morimoto</t>
  </si>
  <si>
    <t>Team Aftermath</t>
  </si>
  <si>
    <t>Kang Ji Won</t>
  </si>
  <si>
    <t>Kanta Motoyama</t>
  </si>
  <si>
    <t>Kick Lab</t>
  </si>
  <si>
    <t>Kantharaj Agasa</t>
  </si>
  <si>
    <t>Indian Combat Sports Academy</t>
  </si>
  <si>
    <t>Kaokarat Sor Tienpo</t>
  </si>
  <si>
    <t>Sor Tienpo</t>
  </si>
  <si>
    <t>Kaoklai Chor Hapayak</t>
  </si>
  <si>
    <t>LookEsan fighting</t>
  </si>
  <si>
    <t>Kaotaem Fairtex</t>
  </si>
  <si>
    <t>Petpalabordee</t>
  </si>
  <si>
    <t>Karim Bennoui</t>
  </si>
  <si>
    <t>Karim Dahou</t>
  </si>
  <si>
    <t>Kasim Magomedshapiev</t>
  </si>
  <si>
    <t>Forward Fight Club</t>
  </si>
  <si>
    <t>Katsuaki Aoyagi</t>
  </si>
  <si>
    <t>BMF Space</t>
  </si>
  <si>
    <t>Katsuki Kitano</t>
  </si>
  <si>
    <t>Seishikai Gym</t>
  </si>
  <si>
    <t>Kayasit Por Prachansi</t>
  </si>
  <si>
    <t>Por Prachansi</t>
  </si>
  <si>
    <t>Kazakbai Tilenov</t>
  </si>
  <si>
    <t>Ihlas Bishkek / Tiger Muay Thai</t>
  </si>
  <si>
    <t>Kazuki Yamagishi</t>
  </si>
  <si>
    <t>Kazumichi Murai</t>
  </si>
  <si>
    <t>Fight Base Toritsudai / PK Saenchai Muaythaigym</t>
  </si>
  <si>
    <t>Ke Jingjun</t>
  </si>
  <si>
    <t>Chu Zhan Kungfu Fight Club</t>
  </si>
  <si>
    <t>Kei Maezono</t>
  </si>
  <si>
    <t>YOSHIDA DOJO</t>
  </si>
  <si>
    <t>Keito Yamakita</t>
  </si>
  <si>
    <t>We</t>
  </si>
  <si>
    <t>Keivan Soleimani</t>
  </si>
  <si>
    <t>Kenan Bayramov</t>
  </si>
  <si>
    <t>Azerbaijan / Turkey</t>
  </si>
  <si>
    <t>Kharajala Fight Club / Tiger Muay Thai</t>
  </si>
  <si>
    <t>Kendu Irving</t>
  </si>
  <si>
    <t>Kevin Belingon</t>
  </si>
  <si>
    <t>Khalim Nazruloev</t>
  </si>
  <si>
    <t>Russia / Tajikistan</t>
  </si>
  <si>
    <t>Khasan Khaliev</t>
  </si>
  <si>
    <t>Fight Club Akhmat / Team Mehdi Zatout</t>
  </si>
  <si>
    <t>Khasan Salomov</t>
  </si>
  <si>
    <t>Khojinsa Komoldinova</t>
  </si>
  <si>
    <t>Khon Sichan</t>
  </si>
  <si>
    <t>Phnom Penh MMA / Prodal Fight Gym</t>
  </si>
  <si>
    <t>Khundet PK Saenchai</t>
  </si>
  <si>
    <t>Khunkrai PK Saenchai</t>
  </si>
  <si>
    <t>Khunpon Aekmuangnon</t>
  </si>
  <si>
    <t>Khunpon Or AudUdon</t>
  </si>
  <si>
    <t>Changbanrat</t>
  </si>
  <si>
    <t>Khunponnoi Sor Sommai</t>
  </si>
  <si>
    <t>Khunsuek Superbon Training Camp</t>
  </si>
  <si>
    <t>Khunsueklek Boomdeksean</t>
  </si>
  <si>
    <t>Boomdeksean</t>
  </si>
  <si>
    <t>Khunsuk Mor Krungthepthonburi</t>
  </si>
  <si>
    <t>Khurshidbek Bozarboev</t>
  </si>
  <si>
    <t>Jakhon Club</t>
  </si>
  <si>
    <t>Khusan Urakov</t>
  </si>
  <si>
    <t>Khusen Salomov</t>
  </si>
  <si>
    <t>Kiamran Nabati</t>
  </si>
  <si>
    <t>Kieran Joblin</t>
  </si>
  <si>
    <t>Shoot Grapple Roll</t>
  </si>
  <si>
    <t>Kijani Aytch</t>
  </si>
  <si>
    <t>Kim Jae Woong</t>
  </si>
  <si>
    <t>Kim Kyung Lock</t>
  </si>
  <si>
    <t>Team Mad</t>
  </si>
  <si>
    <t>Kimura Ayumu</t>
  </si>
  <si>
    <t>Kirill Gorobets</t>
  </si>
  <si>
    <t>Team Storm</t>
  </si>
  <si>
    <t>Kirill Grishenko</t>
  </si>
  <si>
    <t>M2G / MGC</t>
  </si>
  <si>
    <t>Kirill Khomutov</t>
  </si>
  <si>
    <t>Empire Club / Kuzbass Muaythai team</t>
  </si>
  <si>
    <t>Kiriluang Chor Hapayak</t>
  </si>
  <si>
    <t>Kochasit Tasaeyasat</t>
  </si>
  <si>
    <t>Wor Auracha</t>
  </si>
  <si>
    <t>Kodai Murata</t>
  </si>
  <si>
    <t>Kohei Shinjo</t>
  </si>
  <si>
    <t>Team First Star</t>
  </si>
  <si>
    <t>Kohei Takegami</t>
  </si>
  <si>
    <t>MMA KARATE DOJO TAKA</t>
  </si>
  <si>
    <t>Kohei Wakabayashi</t>
  </si>
  <si>
    <t>Kobra Cai MMA Dojo</t>
  </si>
  <si>
    <t>Kohtao Petsomnuk</t>
  </si>
  <si>
    <t>Petsomnuk</t>
  </si>
  <si>
    <t>Kojiro Shiba</t>
  </si>
  <si>
    <t>Gym Fighters</t>
  </si>
  <si>
    <t>Koki Osaki</t>
  </si>
  <si>
    <t>Koki Saito</t>
  </si>
  <si>
    <t>Sugawara Dojo</t>
  </si>
  <si>
    <t>Koko Mor Rattanabundit</t>
  </si>
  <si>
    <t>Mor Rattanabundit / TDed99</t>
  </si>
  <si>
    <t>Kokoz</t>
  </si>
  <si>
    <t>Try Hard Gym</t>
  </si>
  <si>
    <t>Komawut FA Group</t>
  </si>
  <si>
    <t>Komkrit J Power Roof Phuket</t>
  </si>
  <si>
    <t>J Power Roof Phuket</t>
  </si>
  <si>
    <t>Kompet Sitsarawatsuer</t>
  </si>
  <si>
    <t>Sitsarawatseur</t>
  </si>
  <si>
    <t>Komronbek Ortikov</t>
  </si>
  <si>
    <t>Kongburapha Thiptamai</t>
  </si>
  <si>
    <t>Thiptamai</t>
  </si>
  <si>
    <t>Kongchai Chanaidonmueang</t>
  </si>
  <si>
    <t>Kongkairop FiatPathum</t>
  </si>
  <si>
    <t>Sitluangpuutian</t>
  </si>
  <si>
    <t>Kongklai Sor Sommai</t>
  </si>
  <si>
    <t>Kongkula Jitmuangnon</t>
  </si>
  <si>
    <t>Kongpoxay LaoLaneXang</t>
  </si>
  <si>
    <t>Laos</t>
  </si>
  <si>
    <t>MuayLao Lanexang Gym</t>
  </si>
  <si>
    <t>Kongsuk Fairtex</t>
  </si>
  <si>
    <t>Kongsurin Sor Jor Lekmuangnon</t>
  </si>
  <si>
    <t>Kongthailand Kiatnavy</t>
  </si>
  <si>
    <t>Kiatnavy</t>
  </si>
  <si>
    <t>Kongthoranee Sor Sommai</t>
  </si>
  <si>
    <t>Konstantin Marareskul</t>
  </si>
  <si>
    <t>Korpai Sor Yingcharoenkarnchang</t>
  </si>
  <si>
    <t>Sor Yingcharoenkarnchang</t>
  </si>
  <si>
    <t>Koshen Akanov</t>
  </si>
  <si>
    <t>KROC Sports / Tobet Top Team</t>
  </si>
  <si>
    <t>Kouta Omori</t>
  </si>
  <si>
    <t>Krisana Daodenmuaythai</t>
  </si>
  <si>
    <t>Daoden Muay Thai</t>
  </si>
  <si>
    <t>Kritpet PK Saenchai</t>
  </si>
  <si>
    <t>Kulabdam Sor Jor Piek Uthai</t>
  </si>
  <si>
    <t>Sor Jor Piek Uthai</t>
  </si>
  <si>
    <t>Kurbanali Isabekov</t>
  </si>
  <si>
    <t>Kurbanjiang Tuluosibake</t>
  </si>
  <si>
    <t>Kuroda Naoya</t>
  </si>
  <si>
    <t>Kwanjai KwanjaiMuaythaigym</t>
  </si>
  <si>
    <t>Singha Mawyn</t>
  </si>
  <si>
    <t>Kwankhao Por Muangpetch</t>
  </si>
  <si>
    <t>Kwon Won Il</t>
  </si>
  <si>
    <t>Extreme Combat / P-Boy MMA</t>
  </si>
  <si>
    <t>Lamnamkhong BS Muaythai</t>
  </si>
  <si>
    <t>BS Muaythai</t>
  </si>
  <si>
    <t>Lamnamoonlek Tded99</t>
  </si>
  <si>
    <t>Lamsing Sor Dechapan</t>
  </si>
  <si>
    <t>Lan Shanteng</t>
  </si>
  <si>
    <t>Lanyakaew Tor Silapon</t>
  </si>
  <si>
    <t>Jacky Gym</t>
  </si>
  <si>
    <t>Lara Fernandez</t>
  </si>
  <si>
    <t>Lone Wolf Fight Team</t>
  </si>
  <si>
    <t>Lea Bivins</t>
  </si>
  <si>
    <t>House of Moons</t>
  </si>
  <si>
    <t>Leandro Ataides</t>
  </si>
  <si>
    <t>Nova UniÃ£o</t>
  </si>
  <si>
    <t>Leandro Gomes</t>
  </si>
  <si>
    <t>Leandro Issa</t>
  </si>
  <si>
    <t>Leandro Miranda</t>
  </si>
  <si>
    <t>Mamba Fight Club</t>
  </si>
  <si>
    <t>Lee Jun Hwan</t>
  </si>
  <si>
    <t>Lee Jun Young</t>
  </si>
  <si>
    <t>SSABI-MMA</t>
  </si>
  <si>
    <t>Lee Seung Chul</t>
  </si>
  <si>
    <t>DK Gym</t>
  </si>
  <si>
    <t>Lehe</t>
  </si>
  <si>
    <t>Muay Thai 98 Fitness Gym</t>
  </si>
  <si>
    <t>Lekkla BS Muaythai</t>
  </si>
  <si>
    <t>Lena Nocker</t>
  </si>
  <si>
    <t>Lenny Blasi</t>
  </si>
  <si>
    <t>Team Calzolari</t>
  </si>
  <si>
    <t>Leonardo Casotti</t>
  </si>
  <si>
    <t>Nova UniÃ£o Phuket</t>
  </si>
  <si>
    <t>Li-Chih Yeh</t>
  </si>
  <si>
    <t>Taipei, China</t>
  </si>
  <si>
    <t>Dragon Fighter Agency</t>
  </si>
  <si>
    <t>Li Hong Jiang</t>
  </si>
  <si>
    <t>A.256 Super Evolution Team</t>
  </si>
  <si>
    <t>Li Hong Lin</t>
  </si>
  <si>
    <t>Li Shuai Hu</t>
  </si>
  <si>
    <t>Haosheng MMA</t>
  </si>
  <si>
    <t>Li Yuan Kun</t>
  </si>
  <si>
    <t>XingHui BoJi Club</t>
  </si>
  <si>
    <t>Liam Harrison</t>
  </si>
  <si>
    <t>Liam Nolan</t>
  </si>
  <si>
    <t>Nolan Muay Thai</t>
  </si>
  <si>
    <t>Lianyang Xia</t>
  </si>
  <si>
    <t>Chengjie Fight</t>
  </si>
  <si>
    <t>Liao Shixu</t>
  </si>
  <si>
    <t>Liisi Vaht</t>
  </si>
  <si>
    <t>Estonia</t>
  </si>
  <si>
    <t>Estum Jiu-Jitsu / Fairtex Training Center</t>
  </si>
  <si>
    <t>Lin Heqin</t>
  </si>
  <si>
    <t>Linda Darrow</t>
  </si>
  <si>
    <t>Han Fight Academy</t>
  </si>
  <si>
    <t>Lisa Brierley</t>
  </si>
  <si>
    <t>Manasak Muay Thai</t>
  </si>
  <si>
    <t>Lisa Kyriacou</t>
  </si>
  <si>
    <t>Lito Adiwang</t>
  </si>
  <si>
    <t>Soma Fight Club</t>
  </si>
  <si>
    <t>Liu Gui Cheng</t>
  </si>
  <si>
    <t>Rongdao Fight Club</t>
  </si>
  <si>
    <t>Liu Hai Yang</t>
  </si>
  <si>
    <t>Bangkok of Light</t>
  </si>
  <si>
    <t>Liu Jing Peng</t>
  </si>
  <si>
    <t>Liu Junchao</t>
  </si>
  <si>
    <t>Sheng Li Ren He</t>
  </si>
  <si>
    <t>Liu Meng Yu</t>
  </si>
  <si>
    <t>North Dalian MMA</t>
  </si>
  <si>
    <t>Liu Mengyang</t>
  </si>
  <si>
    <t>Liu Quan</t>
  </si>
  <si>
    <t>Liu Wei</t>
  </si>
  <si>
    <t>Journey of Fight Club</t>
  </si>
  <si>
    <t>Liu Ya Ning</t>
  </si>
  <si>
    <t>Liu Yao Hong</t>
  </si>
  <si>
    <t>Bangkok of Light.256</t>
  </si>
  <si>
    <t>Liu Zhi Peng</t>
  </si>
  <si>
    <t>Daqin Qianqiu Fight Club</t>
  </si>
  <si>
    <t>Logan Chan</t>
  </si>
  <si>
    <t>Hong Kong SAR China / Scotland</t>
  </si>
  <si>
    <t>Hanuman Thai Boxing Edinburgh</t>
  </si>
  <si>
    <t>Long La</t>
  </si>
  <si>
    <t>Cambodian Top Team</t>
  </si>
  <si>
    <t>Longern Sor Sommai</t>
  </si>
  <si>
    <t>Lookkwan Sujeebameekiew</t>
  </si>
  <si>
    <t>Lorenzo Di Vara</t>
  </si>
  <si>
    <t>Sor Dechapan / The King Fight Club</t>
  </si>
  <si>
    <t>Lothong Kruaynaimuanggym</t>
  </si>
  <si>
    <t>Kruaynaimuang Gym</t>
  </si>
  <si>
    <t>Lou-Elise Manuel</t>
  </si>
  <si>
    <t>Lowen Tynanes</t>
  </si>
  <si>
    <t>Hawaii Elite MMA</t>
  </si>
  <si>
    <t>Lu Jun</t>
  </si>
  <si>
    <t>Lu Rui Lei</t>
  </si>
  <si>
    <t>A.256 Super Evolution Team / Beijing Taobo Fight Club</t>
  </si>
  <si>
    <t>Lu Yifu</t>
  </si>
  <si>
    <t>Lu Zhao Huang</t>
  </si>
  <si>
    <t>Super Gain Fighting Gym</t>
  </si>
  <si>
    <t>Lu Zheng</t>
  </si>
  <si>
    <t>Equilibrium Beijing</t>
  </si>
  <si>
    <t>Luapong Kaewsamrit</t>
  </si>
  <si>
    <t>Kaewsamrit Gym</t>
  </si>
  <si>
    <t>Luca Cecchetti</t>
  </si>
  <si>
    <t>Luca Lombardo</t>
  </si>
  <si>
    <t>Lucas Gabriel</t>
  </si>
  <si>
    <t>Lucas Ganin</t>
  </si>
  <si>
    <t>IS 360 Sport Academy</t>
  </si>
  <si>
    <t>Luke Lessei</t>
  </si>
  <si>
    <t>Dubuque Martial Arts Group</t>
  </si>
  <si>
    <t>Luo Chao</t>
  </si>
  <si>
    <t>Luo Chenghao</t>
  </si>
  <si>
    <t>Luo Zhou Jiang Cuo</t>
  </si>
  <si>
    <t>Luong Thanh Phuc</t>
  </si>
  <si>
    <t>Vietnam</t>
  </si>
  <si>
    <t>NO.1 Muay Thai Club</t>
  </si>
  <si>
    <t>Lyndon Knowles</t>
  </si>
  <si>
    <t>Knowlesy Academy</t>
  </si>
  <si>
    <t>Ma Jia Wen</t>
  </si>
  <si>
    <t>Tianjin I Fitness</t>
  </si>
  <si>
    <t>Ma Meng Hao</t>
  </si>
  <si>
    <t>Ma Teng</t>
  </si>
  <si>
    <t>Ma Xu Dong</t>
  </si>
  <si>
    <t>SHLC MMA</t>
  </si>
  <si>
    <t>Macarena Aragon</t>
  </si>
  <si>
    <t>Academia Ribas Famili</t>
  </si>
  <si>
    <t>Maciej Karpinski</t>
  </si>
  <si>
    <t>KO Gym Muay Thai WrocÅ‚aw</t>
  </si>
  <si>
    <t>Maemmot Sor Salacheep</t>
  </si>
  <si>
    <t>Magnum Sor Sommai</t>
  </si>
  <si>
    <t>Magnus Andersson</t>
  </si>
  <si>
    <t>Magomed Akaev</t>
  </si>
  <si>
    <t>Black Dragon</t>
  </si>
  <si>
    <t>Magomed Magomedov</t>
  </si>
  <si>
    <t>Fight Geek / Team UF - Raqobat</t>
  </si>
  <si>
    <t>Fighter</t>
  </si>
  <si>
    <t>Magomet Matiev</t>
  </si>
  <si>
    <t>Phuket Grappling Academy</t>
  </si>
  <si>
    <t>Mahamongkol Move on Chiangmai</t>
  </si>
  <si>
    <t>CMA Muay Thai academy</t>
  </si>
  <si>
    <t>Mahesuan Aekmuangnon</t>
  </si>
  <si>
    <t>Singpatong</t>
  </si>
  <si>
    <t>Maira Mazar</t>
  </si>
  <si>
    <t>Maisangkum Sor Yingcharoenkarnchang</t>
  </si>
  <si>
    <t>Majid Karimi</t>
  </si>
  <si>
    <t>Majid Seydali</t>
  </si>
  <si>
    <t>Maksim Bakhtin</t>
  </si>
  <si>
    <t>Muay Thai Union</t>
  </si>
  <si>
    <t>Makuto Sato</t>
  </si>
  <si>
    <t>Mamuka Usubyan</t>
  </si>
  <si>
    <t>Mansur Gitinov</t>
  </si>
  <si>
    <t>Amanat Fight Club / Teiwaz Striking</t>
  </si>
  <si>
    <t>Mansur Malachiev</t>
  </si>
  <si>
    <t>Industrial Fighters</t>
  </si>
  <si>
    <t>Manthan Rane</t>
  </si>
  <si>
    <t>Team Relentless</t>
  </si>
  <si>
    <t>ManU Sitjanim</t>
  </si>
  <si>
    <t>Meenayothin</t>
  </si>
  <si>
    <t>Marat Gafurov</t>
  </si>
  <si>
    <t>Top Team Makhachkala</t>
  </si>
  <si>
    <t>Marat Grigorian</t>
  </si>
  <si>
    <t>Armenia</t>
  </si>
  <si>
    <t>Hemmers Gym</t>
  </si>
  <si>
    <t>Marcelo Garcia</t>
  </si>
  <si>
    <t>Out of range</t>
  </si>
  <si>
    <t>Marcus Paulo Amaral</t>
  </si>
  <si>
    <t>Nordeste Jiu Jitsu</t>
  </si>
  <si>
    <t>Mardanglek Nakatawan</t>
  </si>
  <si>
    <t>Sit Kruwut</t>
  </si>
  <si>
    <t>Mardsing Khaolakmuaythai</t>
  </si>
  <si>
    <t>Khaolak Muaythai</t>
  </si>
  <si>
    <t>Mariane Mariano</t>
  </si>
  <si>
    <t>Fabricio Manila MMA / Veterans Gym</t>
  </si>
  <si>
    <t>Marie McManamon</t>
  </si>
  <si>
    <t>England / Ireland</t>
  </si>
  <si>
    <t>The Knowlesy Academy</t>
  </si>
  <si>
    <t>Martin Batur</t>
  </si>
  <si>
    <t>Croatia</t>
  </si>
  <si>
    <t>Martin Nguyen</t>
  </si>
  <si>
    <t>Australia / Vietnam</t>
  </si>
  <si>
    <t>Martin Parra</t>
  </si>
  <si>
    <t>NF Looksuan - Kamikaze cuenca</t>
  </si>
  <si>
    <t>Martine Michieletto</t>
  </si>
  <si>
    <t>Fighting Club Valle dâ€™Aosta</t>
  </si>
  <si>
    <t>Martyna Kierczynska</t>
  </si>
  <si>
    <t>Legion Glogow</t>
  </si>
  <si>
    <t>Marvin Dittrich</t>
  </si>
  <si>
    <t>Silk Muay Thai</t>
  </si>
  <si>
    <t>Marwin Quirante</t>
  </si>
  <si>
    <t>AJJ Sprawl / KROC Sports</t>
  </si>
  <si>
    <t>Masahito Okuyama</t>
  </si>
  <si>
    <t>Masakazu Imanari</t>
  </si>
  <si>
    <t>Imanari Jiujitsu</t>
  </si>
  <si>
    <t>Masatoshi Hirai</t>
  </si>
  <si>
    <t>Bravely Gym</t>
  </si>
  <si>
    <t>Masaya Katsuno</t>
  </si>
  <si>
    <t>Masayoshi Tsuhashi</t>
  </si>
  <si>
    <t>Free Fighter</t>
  </si>
  <si>
    <t>Matheus Gabriel</t>
  </si>
  <si>
    <t>Matheus Pereira</t>
  </si>
  <si>
    <t>Matias Farinelli</t>
  </si>
  <si>
    <t>Demonios Team Argentina</t>
  </si>
  <si>
    <t>Matt Korro</t>
  </si>
  <si>
    <t>Nook Kok Supergame Muay Thai Gym</t>
  </si>
  <si>
    <t>Maurice Abevi</t>
  </si>
  <si>
    <t>Switzerland</t>
  </si>
  <si>
    <t>360 Martial Arts / Phuket Grappling Academy / Tiger Muay Thai</t>
  </si>
  <si>
    <t>Mauro Cerilli</t>
  </si>
  <si>
    <t>Aurora Fight Team</t>
  </si>
  <si>
    <t>Mauro Mastromarini</t>
  </si>
  <si>
    <t>Team Fenix</t>
  </si>
  <si>
    <t>Mavlonbek Kakhkhorov</t>
  </si>
  <si>
    <t>Flipside</t>
  </si>
  <si>
    <t>Mavlud Tifiyev</t>
  </si>
  <si>
    <t>Mawin Soonkelahuaitom</t>
  </si>
  <si>
    <t>Soonkelahuaitom</t>
  </si>
  <si>
    <t>Maxime Combes</t>
  </si>
  <si>
    <t>Democratic Republic of the Congo / France</t>
  </si>
  <si>
    <t>Looksuan / Mahmoudi Gym</t>
  </si>
  <si>
    <t>Maxwell Djantou Nana</t>
  </si>
  <si>
    <t>Cameroon</t>
  </si>
  <si>
    <t>Manchester Top Team</t>
  </si>
  <si>
    <t>Meeka Michael</t>
  </si>
  <si>
    <t>Riddlers Gym</t>
  </si>
  <si>
    <t>Mehdi Barghi</t>
  </si>
  <si>
    <t>Eltefat</t>
  </si>
  <si>
    <t>Mehdi Zatout</t>
  </si>
  <si>
    <t>Venum Training Camp Thailand</t>
  </si>
  <si>
    <t>Boxing</t>
  </si>
  <si>
    <t>Mehrdad Khanzadeh</t>
  </si>
  <si>
    <t>Fight Nation Hua Hin</t>
  </si>
  <si>
    <t>Mei Yamaguchi</t>
  </si>
  <si>
    <t>HybridFighter</t>
  </si>
  <si>
    <t>Meng Bo</t>
  </si>
  <si>
    <t>Tiger Wang Gym</t>
  </si>
  <si>
    <t>Meng Ketuogesi</t>
  </si>
  <si>
    <t>Mert Aslan</t>
  </si>
  <si>
    <t>Meysam Adelniya</t>
  </si>
  <si>
    <t>Muaythai Kheybar</t>
  </si>
  <si>
    <t>Miao Aoqi</t>
  </si>
  <si>
    <t>Liu Xiangming Fight Club</t>
  </si>
  <si>
    <t>Miao Li Tao</t>
  </si>
  <si>
    <t>Michael Baranov</t>
  </si>
  <si>
    <t>Michael Walker</t>
  </si>
  <si>
    <t>Westside MMA</t>
  </si>
  <si>
    <t>Michelle Nicolini</t>
  </si>
  <si>
    <t>Vila Da Luta</t>
  </si>
  <si>
    <t>Miguel Trindade</t>
  </si>
  <si>
    <t>Mihajlo Kecojevic</t>
  </si>
  <si>
    <t>Serbia</t>
  </si>
  <si>
    <t>Kickboxing Team Sindjelic</t>
  </si>
  <si>
    <t>Mikail Makrushin</t>
  </si>
  <si>
    <t>Universal Fight</t>
  </si>
  <si>
    <t>Mikel Fernandez</t>
  </si>
  <si>
    <t>Mikhail Gritsanenko</t>
  </si>
  <si>
    <t>Milad Hosseini</t>
  </si>
  <si>
    <t>Milana Bjelogrlic</t>
  </si>
  <si>
    <t>SB Gym / Tiger Muay Thai</t>
  </si>
  <si>
    <t>Milena Sakumoto</t>
  </si>
  <si>
    <t>Tree Brazilian Jiu-Jitsu</t>
  </si>
  <si>
    <t>Min Hyuk Lee</t>
  </si>
  <si>
    <t>Song Min Jong</t>
  </si>
  <si>
    <t>Monster House</t>
  </si>
  <si>
    <t>Min Kyaw Za</t>
  </si>
  <si>
    <t>Zwe Kapin Myay</t>
  </si>
  <si>
    <t>Mirza Aliev</t>
  </si>
  <si>
    <t>Club Fighter / Phuket Fight Club</t>
  </si>
  <si>
    <t>Misaki</t>
  </si>
  <si>
    <t>Mitchell Chamale</t>
  </si>
  <si>
    <t>Guatemala / United States</t>
  </si>
  <si>
    <t>Fusion Xcel / Tough as Nails</t>
  </si>
  <si>
    <t>Mo Hao Xiong</t>
  </si>
  <si>
    <t>Kunming Quandongli MMA club</t>
  </si>
  <si>
    <t>Mo Yong Hui</t>
  </si>
  <si>
    <t>Changsha Great Muay Thai Gym</t>
  </si>
  <si>
    <t>Moa Carlsson</t>
  </si>
  <si>
    <t>Halmstad Fight Academy / Team Mehdi Zatout</t>
  </si>
  <si>
    <t>Moe Htet Aung</t>
  </si>
  <si>
    <t>Family Wan Chai</t>
  </si>
  <si>
    <t>Hidayat Abdul</t>
  </si>
  <si>
    <t>Mohamed Hanoun</t>
  </si>
  <si>
    <t>Mohamed Taoufyq</t>
  </si>
  <si>
    <t>Elamghari Muaythai Team / Sathian MuayThai</t>
  </si>
  <si>
    <t>Mohamed Younes Rabah</t>
  </si>
  <si>
    <t>Mohammad Aburumuh</t>
  </si>
  <si>
    <t>Jordan</t>
  </si>
  <si>
    <t>Absoluto</t>
  </si>
  <si>
    <t>Mohammad Ali</t>
  </si>
  <si>
    <t>Jaophahin Muaythai</t>
  </si>
  <si>
    <t>Mohammad Fahmi</t>
  </si>
  <si>
    <t>Special Fight Club</t>
  </si>
  <si>
    <t>Mohammad Sadeghi</t>
  </si>
  <si>
    <t>Mohammad Siasarani</t>
  </si>
  <si>
    <t>Mohammed Bin Mahmoud</t>
  </si>
  <si>
    <t>Sampuri Muay Thai Gym Ampang</t>
  </si>
  <si>
    <t>Mohammed Boutasaa</t>
  </si>
  <si>
    <t>Southpaw Gym</t>
  </si>
  <si>
    <t>Moises Lois Ilogon</t>
  </si>
  <si>
    <t>Ox Fitness Lab / The Street</t>
  </si>
  <si>
    <t>Mon Yoddhaxay</t>
  </si>
  <si>
    <t>Yoddhaxay Kickboxing Academy</t>
  </si>
  <si>
    <t>Mongkolkaew Sor Sommai</t>
  </si>
  <si>
    <t>Mongkolpetch Petchyindee</t>
  </si>
  <si>
    <t>Monjit Yein</t>
  </si>
  <si>
    <t>Bidang MMA / KROC Sports</t>
  </si>
  <si>
    <t>Moris Boleyan</t>
  </si>
  <si>
    <t>Lionheart</t>
  </si>
  <si>
    <t>Mowgli Chor Ajalaboon</t>
  </si>
  <si>
    <t>Phet Si Muen</t>
  </si>
  <si>
    <t>Muanglao Kiattongyot</t>
  </si>
  <si>
    <t>Kiattongyot</t>
  </si>
  <si>
    <t>Muangsap Kiatsongrit</t>
  </si>
  <si>
    <t>Kiatsongrit</t>
  </si>
  <si>
    <t>Muangthai PK Saenchai</t>
  </si>
  <si>
    <t>Muga Seto</t>
  </si>
  <si>
    <t>Victory Gym</t>
  </si>
  <si>
    <t>Mungkorn Boomdeksean</t>
  </si>
  <si>
    <t>Murad Umachiev</t>
  </si>
  <si>
    <t>Gorets FT</t>
  </si>
  <si>
    <t>Murugan Silvarajoo</t>
  </si>
  <si>
    <t>MuayFit</t>
  </si>
  <si>
    <t>Musa Musazade</t>
  </si>
  <si>
    <t>Mustafa Al Tekreeti</t>
  </si>
  <si>
    <t>Mustapha Haida</t>
  </si>
  <si>
    <t>Fight Club Firenze</t>
  </si>
  <si>
    <t>Myung Gu Kim</t>
  </si>
  <si>
    <t>Independent</t>
  </si>
  <si>
    <t>Bae Myung Ho</t>
  </si>
  <si>
    <t>Nachyn Sat</t>
  </si>
  <si>
    <t>Nadaka</t>
  </si>
  <si>
    <t>Nadyr Aliev</t>
  </si>
  <si>
    <t>Astrakhan Top Team / Tiger Muay Thai</t>
  </si>
  <si>
    <t>Nahyan Mohammed</t>
  </si>
  <si>
    <t>Nakrob Fairtex</t>
  </si>
  <si>
    <t>Nam Hee Kim</t>
  </si>
  <si>
    <t>Daecheon Jiu-Jitsu / Ssen Gym</t>
  </si>
  <si>
    <t>Namiki Kawahara</t>
  </si>
  <si>
    <t>Alpha Male</t>
  </si>
  <si>
    <t>Namphongnoi Sor Sommai</t>
  </si>
  <si>
    <t>Nanami Ichikawa</t>
  </si>
  <si>
    <t>Arete Brazilian Jiu Jitsu</t>
  </si>
  <si>
    <t>Nat Jaroonsak</t>
  </si>
  <si>
    <t>Jaroonsak Muaythai / Southside MMA</t>
  </si>
  <si>
    <t>Natalia Diachkova</t>
  </si>
  <si>
    <t>Nathan Bendon</t>
  </si>
  <si>
    <t>Domin8 Academy</t>
  </si>
  <si>
    <t>Natsuki Takamoto</t>
  </si>
  <si>
    <t>TATORU</t>
  </si>
  <si>
    <t>Nauzet Trujillo</t>
  </si>
  <si>
    <t>Fight Club Moi Rui / Susi Team</t>
  </si>
  <si>
    <t>Nawaaek Sor Sommai</t>
  </si>
  <si>
    <t>Nefise Delikurt</t>
  </si>
  <si>
    <t>Delikurt Fight Club</t>
  </si>
  <si>
    <t>Nehramit Annymuaythai</t>
  </si>
  <si>
    <t>Keatkhamtorn</t>
  </si>
  <si>
    <t>Nerea Rubio</t>
  </si>
  <si>
    <t>Ngaopayak Adsanpatong</t>
  </si>
  <si>
    <t>Bear Fight Club</t>
  </si>
  <si>
    <t>Nguyen Tran Duy Nhat</t>
  </si>
  <si>
    <t>Hochiminh City Muay Team</t>
  </si>
  <si>
    <t>Nguyen Van Thanh</t>
  </si>
  <si>
    <t>Tank Club</t>
  </si>
  <si>
    <t>Ni Gedan</t>
  </si>
  <si>
    <t>Niclas Larsen</t>
  </si>
  <si>
    <t>Denmark</t>
  </si>
  <si>
    <t>Extreme Muay Thai</t>
  </si>
  <si>
    <t>Nico Carrillo</t>
  </si>
  <si>
    <t>Deachkalek Muay Thai Academy</t>
  </si>
  <si>
    <t>Nico Cornejo</t>
  </si>
  <si>
    <t>Carlos Machado Jiu Jitsu / Warrior Built MMA</t>
  </si>
  <si>
    <t>Nicolas Leite Silva</t>
  </si>
  <si>
    <t>Nicolas Vigna</t>
  </si>
  <si>
    <t>Aldao Team</t>
  </si>
  <si>
    <t>Nieky Holzken</t>
  </si>
  <si>
    <t>Netherlands</t>
  </si>
  <si>
    <t>Team Holzken Helmon</t>
  </si>
  <si>
    <t>Nittikorn JP Power</t>
  </si>
  <si>
    <t>JP Power</t>
  </si>
  <si>
    <t>Nobutaka Naito</t>
  </si>
  <si>
    <t>Paraestra Matsudo</t>
  </si>
  <si>
    <t>Noelisson Silva</t>
  </si>
  <si>
    <t>Noelle Grandjean</t>
  </si>
  <si>
    <t>Team Grandjean / Tiger Muay Thai</t>
  </si>
  <si>
    <t>Nong Oh LaoLaneXang</t>
  </si>
  <si>
    <t>Lanexang Gym</t>
  </si>
  <si>
    <t>Nongam Fairtex</t>
  </si>
  <si>
    <t>Nongbia LaoLaneXang</t>
  </si>
  <si>
    <t>Nongchamp Luckybuntherng</t>
  </si>
  <si>
    <t>Nongfahsai TOP PK Saenchai</t>
  </si>
  <si>
    <t>Nongnuk Mor Kor Chor Chaiyaphum</t>
  </si>
  <si>
    <t>Rin Muay Thai Boxing camp</t>
  </si>
  <si>
    <t>Nontachai Jitmuangnon</t>
  </si>
  <si>
    <t>Nonthakit Tor Morsri</t>
  </si>
  <si>
    <t>Noppadet Chor Hapayak</t>
  </si>
  <si>
    <t>Norika Ryu</t>
  </si>
  <si>
    <t>Alliance Fight Team</t>
  </si>
  <si>
    <t>Nuapet Tded99</t>
  </si>
  <si>
    <t>Nueaphet Kelasport</t>
  </si>
  <si>
    <t>Kelasport</t>
  </si>
  <si>
    <t>Nuengthoranee Guaybangkorlaem</t>
  </si>
  <si>
    <t>Nuengubon Wankhongohm MBK</t>
  </si>
  <si>
    <t>Numpangna Eaglemuaythai</t>
  </si>
  <si>
    <t>Eagle Muay Thai</t>
  </si>
  <si>
    <t>Numsurin Chor Ketwina</t>
  </si>
  <si>
    <t>Tdet99</t>
  </si>
  <si>
    <t>Nurmukhammad Adamkhonov</t>
  </si>
  <si>
    <t>Nursultan Toktorov</t>
  </si>
  <si>
    <t>Team Kyzyl-Kiya</t>
  </si>
  <si>
    <t>Odai Abozraiq</t>
  </si>
  <si>
    <t>Oh Ho Taek</t>
  </si>
  <si>
    <t>Oh Su Hwan</t>
  </si>
  <si>
    <t>Diamma</t>
  </si>
  <si>
    <t>Ok Rae Yoon</t>
  </si>
  <si>
    <t>Olaylek Chor Hapayak</t>
  </si>
  <si>
    <t>Sor Kaenchai</t>
  </si>
  <si>
    <t>Oliver Axelsson</t>
  </si>
  <si>
    <t>Royal Superpro</t>
  </si>
  <si>
    <t>Oliver Hansen</t>
  </si>
  <si>
    <t>Norway</t>
  </si>
  <si>
    <t>Lionheart Muaythai</t>
  </si>
  <si>
    <t>Omar Drissi</t>
  </si>
  <si>
    <t>Academy Di Sipio</t>
  </si>
  <si>
    <t>Omar El Halabi</t>
  </si>
  <si>
    <t>Omar Kinteh</t>
  </si>
  <si>
    <t>Gambia / Switzerland</t>
  </si>
  <si>
    <t>Ongbak Fairtex</t>
  </si>
  <si>
    <t>Osamah Almarwai</t>
  </si>
  <si>
    <t>Yemen</t>
  </si>
  <si>
    <t>Otgonbaatar Nergui</t>
  </si>
  <si>
    <t>Zorky MMA</t>
  </si>
  <si>
    <t>Otis Waghorn</t>
  </si>
  <si>
    <t>Assassins Gym / Tiger Muay Thai</t>
  </si>
  <si>
    <t>Otop Or Kwanmuang</t>
  </si>
  <si>
    <t>Padejsuk NF Looksuan</t>
  </si>
  <si>
    <t>Paeyim Sor Boonmeerit</t>
  </si>
  <si>
    <t>Paidang Kiatsongrit</t>
  </si>
  <si>
    <t>Pakorn PK Saenchai</t>
  </si>
  <si>
    <t>Palangboon Wor Santai</t>
  </si>
  <si>
    <t>Santai Muaythai Gym</t>
  </si>
  <si>
    <t>Pamor-E-Daeng Chor Chokamnuaychai</t>
  </si>
  <si>
    <t>Chor Chokamnuaychai</t>
  </si>
  <si>
    <t>Pan Jia Yun</t>
  </si>
  <si>
    <t>Panlam Sor Sommai</t>
  </si>
  <si>
    <t>Panpadej NF Looksuan</t>
  </si>
  <si>
    <t>Panpayak Jitmuangnon</t>
  </si>
  <si>
    <t>Panpet Sor Naruemon</t>
  </si>
  <si>
    <t>Sitsangprab</t>
  </si>
  <si>
    <t>Panrit Lukjaomaesaiwaree</t>
  </si>
  <si>
    <t>Pansak Wor Wantawee</t>
  </si>
  <si>
    <t>Panthep VK Khaoyai</t>
  </si>
  <si>
    <t>Singpatong / Sitnumnoi Muay Thai Gym</t>
  </si>
  <si>
    <t>Pardeep Kumar</t>
  </si>
  <si>
    <t>Prime Sports</t>
  </si>
  <si>
    <t>Parham Gheirati</t>
  </si>
  <si>
    <t>Parnpet Sor Jor Lekmuangnon</t>
  </si>
  <si>
    <t>Parsa Aminpour</t>
  </si>
  <si>
    <t>Paruehatnoi TBM Gym</t>
  </si>
  <si>
    <t>TBM Gym</t>
  </si>
  <si>
    <t>Patakaek Theppakin</t>
  </si>
  <si>
    <t>Patakake Sinbimuaythai</t>
  </si>
  <si>
    <t>Pataknin Sinbimuaythai</t>
  </si>
  <si>
    <t>Patrik Szana</t>
  </si>
  <si>
    <t>Hungary</t>
  </si>
  <si>
    <t>Paul Elliott</t>
  </si>
  <si>
    <t>Akurei MMA Academy / TFT</t>
  </si>
  <si>
    <t>Payakkiri Misakawan</t>
  </si>
  <si>
    <t>Misakawan</t>
  </si>
  <si>
    <t>Payakmekin Jomhodmuaythai</t>
  </si>
  <si>
    <t>Jomhod Muaythai</t>
  </si>
  <si>
    <t>Payakrut Suajantokmuaythai</t>
  </si>
  <si>
    <t>Suajan Tok Ban Muay Thai</t>
  </si>
  <si>
    <t>Payaksurin JP Power</t>
  </si>
  <si>
    <t>JP Mansion Muay Thai</t>
  </si>
  <si>
    <t>Pedro Dantas</t>
  </si>
  <si>
    <t>Guerreiros Team</t>
  </si>
  <si>
    <t>Peemai Mor Rattanabundit</t>
  </si>
  <si>
    <t>Por KobKuea</t>
  </si>
  <si>
    <t>Liu Peng Shuai</t>
  </si>
  <si>
    <t>Pentor SP Kansart Paeminburi</t>
  </si>
  <si>
    <t>Paeminburi</t>
  </si>
  <si>
    <t>Percival Oumo Mwambi</t>
  </si>
  <si>
    <t>Australia / Kenya</t>
  </si>
  <si>
    <t>Pet Suanluangrodyok</t>
  </si>
  <si>
    <t>Petaek Sitbigjasskonrakpathum</t>
  </si>
  <si>
    <t>Thammasat Khlong Luang</t>
  </si>
  <si>
    <t>Petake Kiatjamroon</t>
  </si>
  <si>
    <t>Kiatjamroon</t>
  </si>
  <si>
    <t>Petake Sor Thepparat</t>
  </si>
  <si>
    <t>Sor Thepparat</t>
  </si>
  <si>
    <t>Petbanrai Singha Mawynn</t>
  </si>
  <si>
    <t>Petchainart Sitkumnunneng</t>
  </si>
  <si>
    <t>Sitkumnunneng</t>
  </si>
  <si>
    <t>Petchakrit TN Diamond Home</t>
  </si>
  <si>
    <t>Petchartchai Fight Geek Muaythai</t>
  </si>
  <si>
    <t>Petchayut Nupranburi</t>
  </si>
  <si>
    <t>Petchdam Petchyindee</t>
  </si>
  <si>
    <t>Petchmorakot Petchyindee</t>
  </si>
  <si>
    <t>Petchnumchai Sor Jor Tongprachin</t>
  </si>
  <si>
    <t>Sor Jaruwan</t>
  </si>
  <si>
    <t>Petchuanchom Chor Hapayak</t>
  </si>
  <si>
    <t>Petdam Petkiatpet</t>
  </si>
  <si>
    <t>Petkiatpet</t>
  </si>
  <si>
    <t>Peter Danesoe</t>
  </si>
  <si>
    <t>Denmark / Thailand</t>
  </si>
  <si>
    <t>Team Quest Thailand</t>
  </si>
  <si>
    <t>Petganya Sor Puangthong</t>
  </si>
  <si>
    <t>Sor Puangthong</t>
  </si>
  <si>
    <t>Petgarfield Jitmuangnon</t>
  </si>
  <si>
    <t>Pethuahin Jitmuangnon</t>
  </si>
  <si>
    <t>Petkaolan Singha Mawynn</t>
  </si>
  <si>
    <t>Petkhaowang Sor Jor Lekmuangnon</t>
  </si>
  <si>
    <t>Petkiri Pongsevenfarm</t>
  </si>
  <si>
    <t>Pongsevenfarm</t>
  </si>
  <si>
    <t>Petkitti JeabRamintra</t>
  </si>
  <si>
    <t>Petklangna Sitphuyainilan</t>
  </si>
  <si>
    <t>Niran Muay Thai</t>
  </si>
  <si>
    <t>Petkritsada CMA Academy</t>
  </si>
  <si>
    <t>Petkuntung Yaicheyseafood</t>
  </si>
  <si>
    <t>Yaicheyseafood</t>
  </si>
  <si>
    <t>Petlampun Muadablampang</t>
  </si>
  <si>
    <t>Bumrungsit</t>
  </si>
  <si>
    <t>Petleela M U Den</t>
  </si>
  <si>
    <t>Petmai MC Superlek</t>
  </si>
  <si>
    <t>Petmanee Sor Jaruwan</t>
  </si>
  <si>
    <t>Petmongkol Soonkelahuaitom</t>
  </si>
  <si>
    <t>Petmorakot Sitnayoktaweeptaphong</t>
  </si>
  <si>
    <t>Petmuangsri Wankhongohm MBK</t>
  </si>
  <si>
    <t>Petmuangthai Sor Naruemon</t>
  </si>
  <si>
    <t>Petnakian Sor Nakian</t>
  </si>
  <si>
    <t>Chor Sukmagym</t>
  </si>
  <si>
    <t>Petnamkhong Mongkolpet</t>
  </si>
  <si>
    <t>Mongkolpet Gym</t>
  </si>
  <si>
    <t>Petnamngam PK Saenchai</t>
  </si>
  <si>
    <t>Petnaruang Sor Rungsak</t>
  </si>
  <si>
    <t>Sor Rungsak</t>
  </si>
  <si>
    <t>Petnaya Nhongbangsai</t>
  </si>
  <si>
    <t>Petninmungkorn NamkangIceland</t>
  </si>
  <si>
    <t>Captain Kane Boxing Gym / Singha Wangcha</t>
  </si>
  <si>
    <t>Petniyom FA Group</t>
  </si>
  <si>
    <t>Petnongnoey Nokkhao KorMor11</t>
  </si>
  <si>
    <t>Por Homklin</t>
  </si>
  <si>
    <t>Petnoppadet Noppadetmuaythai</t>
  </si>
  <si>
    <t>Noppadet Muay Thai</t>
  </si>
  <si>
    <t>Petnumkhum Phundakratanaburi</t>
  </si>
  <si>
    <t>Phundakrataburi</t>
  </si>
  <si>
    <t>Petpairin Sor Jor Tongprachin</t>
  </si>
  <si>
    <t>Petpalangchai Por Jaroenpat</t>
  </si>
  <si>
    <t>Petparuehat Sitnayoktaweeptaphong</t>
  </si>
  <si>
    <t>Petpattaya Silkmuaythai</t>
  </si>
  <si>
    <t>Petpayathai Sangmorakot</t>
  </si>
  <si>
    <t>Petphadan Jitmuangnon</t>
  </si>
  <si>
    <t>Petphathai Bumrungsit</t>
  </si>
  <si>
    <t>Petphupa Aekpujean</t>
  </si>
  <si>
    <t>Petporwarit Sor Sommai</t>
  </si>
  <si>
    <t>Petputhai Or Bor Jor Nakhonpanom</t>
  </si>
  <si>
    <t>Or Bor Jor Nakhonpanom gym</t>
  </si>
  <si>
    <t>Petrapha Sor Sopit</t>
  </si>
  <si>
    <t>Sor Sopit</t>
  </si>
  <si>
    <t>Petrit Nokkhao KorMor11</t>
  </si>
  <si>
    <t>Petru Morari</t>
  </si>
  <si>
    <t>Petsaenchai M U Den KhonmaiBaowee</t>
  </si>
  <si>
    <t>Petsaenkom Sor Sommai</t>
  </si>
  <si>
    <t>Petsaenkom Yaicheyseafood</t>
  </si>
  <si>
    <t>Petsangwan Sor Samarngarment</t>
  </si>
  <si>
    <t>Petsansab Sor Jaruwan</t>
  </si>
  <si>
    <t>Petsansuk ChotBangsaen</t>
  </si>
  <si>
    <t>Chonburi Art Muay Thai</t>
  </si>
  <si>
    <t>Petseekiew Kor Kampanart</t>
  </si>
  <si>
    <t>Kor Kampanart</t>
  </si>
  <si>
    <t>Petseenin Wankhongohm MBK</t>
  </si>
  <si>
    <t>Petsimok PK Saenchai</t>
  </si>
  <si>
    <t>Petsinchai Kingballroofphuket</t>
  </si>
  <si>
    <t>Kings Ball Roof Phuket</t>
  </si>
  <si>
    <t>Petsirichai Detpetchsrithong</t>
  </si>
  <si>
    <t>Petsommai Sor Sommai</t>
  </si>
  <si>
    <t>Petsukumvit Boi Bangna</t>
  </si>
  <si>
    <t>Petsuwan Boomdeksean</t>
  </si>
  <si>
    <t>Pettapee Rongrienkelasurat</t>
  </si>
  <si>
    <t>PU Pabai</t>
  </si>
  <si>
    <t>Pettasuea Seeopal</t>
  </si>
  <si>
    <t>Seeopal</t>
  </si>
  <si>
    <t>Pettaweesak Sangmorakot</t>
  </si>
  <si>
    <t>Petthanwa Eaglemuaythai</t>
  </si>
  <si>
    <t>Petthongkao Patcharagym</t>
  </si>
  <si>
    <t>Patcharagym</t>
  </si>
  <si>
    <t>Pettong Kiatsongrit</t>
  </si>
  <si>
    <t>Kiatsongrit Muay Thai Gym</t>
  </si>
  <si>
    <t>Pettonglor Sitluangpeenumfon</t>
  </si>
  <si>
    <t>Petwanghin Lookpayakraipakdee</t>
  </si>
  <si>
    <t>Lookpayakraipakdee / Por Petchkaikaew</t>
  </si>
  <si>
    <t>Petwichit Singha Mawynn</t>
  </si>
  <si>
    <t>Petwiset Petkiatpet</t>
  </si>
  <si>
    <t>Peyman Zolfaghari</t>
  </si>
  <si>
    <t>Pham Van Nam</t>
  </si>
  <si>
    <t>Saigon Sports Club</t>
  </si>
  <si>
    <t>Phan Thanh Tung</t>
  </si>
  <si>
    <t>Agoge</t>
  </si>
  <si>
    <t>Phetchumpair Highland Gym</t>
  </si>
  <si>
    <t>Highland Gym</t>
  </si>
  <si>
    <t>Philip Kim</t>
  </si>
  <si>
    <t>Team Perosh MMA</t>
  </si>
  <si>
    <t>Pichai Lookbanmai</t>
  </si>
  <si>
    <t>Lookbanmai</t>
  </si>
  <si>
    <t>Pichitchai PK Saenchai</t>
  </si>
  <si>
    <t>Pinpet Mor RajabhatKorat</t>
  </si>
  <si>
    <t>Mor RajabhatKorat</t>
  </si>
  <si>
    <t>Ploykhao Or AudUdon</t>
  </si>
  <si>
    <t>Sitjaykarn</t>
  </si>
  <si>
    <t>Ploymuangjan Smile Muaythai</t>
  </si>
  <si>
    <t>Smile Muaythai Gym</t>
  </si>
  <si>
    <t>Ploypanlan PK Saenchai</t>
  </si>
  <si>
    <t>Pol Pascual</t>
  </si>
  <si>
    <t>Sit Thailand Muay Thai Gym</t>
  </si>
  <si>
    <t>Pompet Panthonggym</t>
  </si>
  <si>
    <t>Pongsiri PK Saenchai</t>
  </si>
  <si>
    <t>Pongsiri Sujeebameekiew</t>
  </si>
  <si>
    <t>Sor Jor Wichitpadriew</t>
  </si>
  <si>
    <t>Poriya Golpour</t>
  </si>
  <si>
    <t>Pornsanae Sor Phumipat</t>
  </si>
  <si>
    <t>Sor Phumpat</t>
  </si>
  <si>
    <t>Pornsiri PK Saenchai</t>
  </si>
  <si>
    <t>Poye Adsanpatong</t>
  </si>
  <si>
    <t>Wor Santai</t>
  </si>
  <si>
    <t>Prakaypetlek EminentAir</t>
  </si>
  <si>
    <t>EminentAir</t>
  </si>
  <si>
    <t>Prikthaidam Jitmuangnon</t>
  </si>
  <si>
    <t>Priscilla Hertati Lumban Gaol</t>
  </si>
  <si>
    <t>Siam Training Camp</t>
  </si>
  <si>
    <t>Prom Yor Andaman</t>
  </si>
  <si>
    <t>Nokjeanladkrabang</t>
  </si>
  <si>
    <t>Promrob Looksuan</t>
  </si>
  <si>
    <t>PTT Apichart Farm</t>
  </si>
  <si>
    <t>Puengluang Baanramba</t>
  </si>
  <si>
    <t>Baanrambaa</t>
  </si>
  <si>
    <t>Punmongkol Sor Mongkolkarnchang</t>
  </si>
  <si>
    <t>Sor Mongkolkarnchang</t>
  </si>
  <si>
    <t>Punnya Sai</t>
  </si>
  <si>
    <t>Qiu Jianliang</t>
  </si>
  <si>
    <t>Rabindra Dhant</t>
  </si>
  <si>
    <t>Nepal</t>
  </si>
  <si>
    <t>Locknroll MMA Nepal</t>
  </si>
  <si>
    <t>Rachan Sor Somnuk</t>
  </si>
  <si>
    <t>Rafael Nunes</t>
  </si>
  <si>
    <t>AC Fight &amp; Fitness / Nova Uniao</t>
  </si>
  <si>
    <t>Rafi Bohic</t>
  </si>
  <si>
    <t>Raghvendra Singh</t>
  </si>
  <si>
    <t>Team Prime Time</t>
  </si>
  <si>
    <t>Rahil Baghirov</t>
  </si>
  <si>
    <t>Rahul Raju</t>
  </si>
  <si>
    <t>Raimond Magomedaliev</t>
  </si>
  <si>
    <t>Eagles MMA</t>
  </si>
  <si>
    <t>Rak Erawan</t>
  </si>
  <si>
    <t>Raksaensuk Sor Tor Hiewbangsaen</t>
  </si>
  <si>
    <t>Siriluck Muaythai</t>
  </si>
  <si>
    <t>Raksiam Sor Boonmeerit</t>
  </si>
  <si>
    <t>Ramadan Ondash</t>
  </si>
  <si>
    <t>Ramazan Karimov</t>
  </si>
  <si>
    <t>One Chance / Skala Sports Club</t>
  </si>
  <si>
    <t>Ramazan Suleymanov</t>
  </si>
  <si>
    <t>Rambo Mor Rattanabandit</t>
  </si>
  <si>
    <t>Pet Por Tor Or gym</t>
  </si>
  <si>
    <t>Rambolek Chor Ajalaboon</t>
  </si>
  <si>
    <t>Rambong Sor Therapat</t>
  </si>
  <si>
    <t>LookSuan MuayThai Camp</t>
  </si>
  <si>
    <t>Ramu Araya</t>
  </si>
  <si>
    <t>Zero Gym</t>
  </si>
  <si>
    <t>Ran Longshu</t>
  </si>
  <si>
    <t>Rana Rudra Pratap Singh</t>
  </si>
  <si>
    <t>Yogya</t>
  </si>
  <si>
    <t>Ratchadej Sor Petjumrat</t>
  </si>
  <si>
    <t>TN Muay Thai gym</t>
  </si>
  <si>
    <t>Ratchamongkol Maethongbairecycle</t>
  </si>
  <si>
    <t>Reece McLaren</t>
  </si>
  <si>
    <t>CMBT Training Centre</t>
  </si>
  <si>
    <t>Reito Takazono</t>
  </si>
  <si>
    <t>Ren Ya Wei</t>
  </si>
  <si>
    <t>Renato Canuto</t>
  </si>
  <si>
    <t>Checkmat / Hybrid Jiujitsu</t>
  </si>
  <si>
    <t>Revo Sor Sommai</t>
  </si>
  <si>
    <t>Reza Abasi</t>
  </si>
  <si>
    <t>Behzad Warrior Academy</t>
  </si>
  <si>
    <t>Reza Saedi</t>
  </si>
  <si>
    <t>Flipside / M.S. Gym</t>
  </si>
  <si>
    <t>Rhuam Felipe Morais Caldas</t>
  </si>
  <si>
    <t>Dream Fighters</t>
  </si>
  <si>
    <t>Riamu Matsumoto</t>
  </si>
  <si>
    <t>Ricardo Bravo</t>
  </si>
  <si>
    <t>Weerasackreck Fairtex Gym</t>
  </si>
  <si>
    <t>Riccardo Catindig-Stagg</t>
  </si>
  <si>
    <t>Richard Godoy</t>
  </si>
  <si>
    <t>Looknongsaeg Muay Thai</t>
  </si>
  <si>
    <t>Riedzwan Norsyahmie</t>
  </si>
  <si>
    <t>66 Unicorn Muaythai Gym / S Inn Malay</t>
  </si>
  <si>
    <t>Rifdean Masdor</t>
  </si>
  <si>
    <t>Rikito</t>
  </si>
  <si>
    <t>Prepared Gym</t>
  </si>
  <si>
    <t>Rit Keawsamrit</t>
  </si>
  <si>
    <t>Keawsamrit</t>
  </si>
  <si>
    <t>Ritnaka Or Bor Jor Nakhonpanom</t>
  </si>
  <si>
    <t>Rittewada Petchyindee</t>
  </si>
  <si>
    <t>Rittidet Sor Sommai</t>
  </si>
  <si>
    <t>Ritu Phogat</t>
  </si>
  <si>
    <t>River Daz</t>
  </si>
  <si>
    <t>Roberto Soldic</t>
  </si>
  <si>
    <t>Robin Catalan</t>
  </si>
  <si>
    <t>Catalan Fighting System</t>
  </si>
  <si>
    <t>Robocop Radgoldgym</t>
  </si>
  <si>
    <t>Robson de Oliveira</t>
  </si>
  <si>
    <t>Rockie Bactol</t>
  </si>
  <si>
    <t>Rocky Kangaroo Muaythai</t>
  </si>
  <si>
    <t>Thailand / United Kingdom</t>
  </si>
  <si>
    <t>Kangaroo Muaythai</t>
  </si>
  <si>
    <t>Rocky Wor Wantawee</t>
  </si>
  <si>
    <t>Rodbenz PK Saenchai</t>
  </si>
  <si>
    <t>Rodlek PK Saenchai</t>
  </si>
  <si>
    <t>Rodrigo Marello</t>
  </si>
  <si>
    <t>Rolex Wor Panyawai</t>
  </si>
  <si>
    <t>Wor Panyawai</t>
  </si>
  <si>
    <t>Roman Popov</t>
  </si>
  <si>
    <t>Ronachai Tor Ramintra</t>
  </si>
  <si>
    <t>Ruayjing Sor Wisetkit</t>
  </si>
  <si>
    <t>Sor Wisetkit</t>
  </si>
  <si>
    <t>Rudy Da Silva</t>
  </si>
  <si>
    <t>Aberdeen Muay Thai / Wor Auracha</t>
  </si>
  <si>
    <t>Rui Botelho</t>
  </si>
  <si>
    <t>Dinamite Team</t>
  </si>
  <si>
    <t>Rui Kakizaki</t>
  </si>
  <si>
    <t>Cross Point Oizumi</t>
  </si>
  <si>
    <t>Rungnarai Kiatmoo9</t>
  </si>
  <si>
    <t>Rungpet Petcharoen</t>
  </si>
  <si>
    <t>Rungrawee Sitsongpeenong</t>
  </si>
  <si>
    <t>Sitsongpeenong</t>
  </si>
  <si>
    <t>Rungrot Posi</t>
  </si>
  <si>
    <t>Bangkok Fight Lab</t>
  </si>
  <si>
    <t>Rungsangtawan Sor Parrat</t>
  </si>
  <si>
    <t>Sor Parrat</t>
  </si>
  <si>
    <t>Rusi Hadzhiev</t>
  </si>
  <si>
    <t>Flipside / Guedjev BJJ Gym</t>
  </si>
  <si>
    <t>Ruslan Arslangereev</t>
  </si>
  <si>
    <t>Flipside / Kimura BJJ TÃ¼rkiye</t>
  </si>
  <si>
    <t>Ruslan Bagdasarian</t>
  </si>
  <si>
    <t>UMMC Sambo Club</t>
  </si>
  <si>
    <t>Ruslan Emilbek Uulu</t>
  </si>
  <si>
    <t>Ak-Bars Team</t>
  </si>
  <si>
    <t>Ruslan Satiev</t>
  </si>
  <si>
    <t>Dobrynya / KHK Dagestan</t>
  </si>
  <si>
    <t>Rustam Yunusov</t>
  </si>
  <si>
    <t>Sinbi Muaythai / Tomahawk Kamilov Team</t>
  </si>
  <si>
    <t>Ryogo Takahashi</t>
  </si>
  <si>
    <t>Krazy Bee</t>
  </si>
  <si>
    <t>Ryohei Igado</t>
  </si>
  <si>
    <t>Stage Kickboxing Gym</t>
  </si>
  <si>
    <t>Ryoji Kudo</t>
  </si>
  <si>
    <t>Ryosuke Honda</t>
  </si>
  <si>
    <t>Ryosuke Noda</t>
  </si>
  <si>
    <t>Alliance</t>
  </si>
  <si>
    <t>Ryota Hashimoto</t>
  </si>
  <si>
    <t>Next Level Gym</t>
  </si>
  <si>
    <t>Ryota Koshimizu</t>
  </si>
  <si>
    <t>King Leo</t>
  </si>
  <si>
    <t>Ryota Nakano</t>
  </si>
  <si>
    <t>Seishikai</t>
  </si>
  <si>
    <t>Ryugo Takeuchi</t>
  </si>
  <si>
    <t>King Gym</t>
  </si>
  <si>
    <t>Ryuichi Yamashita</t>
  </si>
  <si>
    <t>BRAVE Gym</t>
  </si>
  <si>
    <t>Ryuki Kawano</t>
  </si>
  <si>
    <t>Ryusei</t>
  </si>
  <si>
    <t>BRAID</t>
  </si>
  <si>
    <t>Ryuto Oinuma</t>
  </si>
  <si>
    <t>Struggle Gym</t>
  </si>
  <si>
    <t>Ryuto Sawada</t>
  </si>
  <si>
    <t>Ryuya Hatakeyama</t>
  </si>
  <si>
    <t>Sa Soe Thiha</t>
  </si>
  <si>
    <t>Sadegh Ghasemi</t>
  </si>
  <si>
    <t>Saemapetch Fairtex</t>
  </si>
  <si>
    <t>Saenchai Nayokwittungsong</t>
  </si>
  <si>
    <t>Petsimuen</t>
  </si>
  <si>
    <t>Saenphon Sor Sommai</t>
  </si>
  <si>
    <t>Sagaengarm Jitmuangnon</t>
  </si>
  <si>
    <t>Saharat Khongsawat</t>
  </si>
  <si>
    <t>DNA Thailand</t>
  </si>
  <si>
    <t>Sai Nyan Lin</t>
  </si>
  <si>
    <t>Team Phoe Thaw</t>
  </si>
  <si>
    <t>Sainatee PK Saenchai</t>
  </si>
  <si>
    <t>Sajad Sattari</t>
  </si>
  <si>
    <t>Sakchainoi M U Den</t>
  </si>
  <si>
    <t>Sagetdao Petpayathai</t>
  </si>
  <si>
    <t>Saklek Kiatsongrit</t>
  </si>
  <si>
    <t>Sakolpat ChotBangsaen</t>
  </si>
  <si>
    <t>Saksit Janhom</t>
  </si>
  <si>
    <t>Wildcard MMA</t>
  </si>
  <si>
    <t>Saksri Superlek Muaythai</t>
  </si>
  <si>
    <t>Salamat Orozakunov</t>
  </si>
  <si>
    <t>Universal Team</t>
  </si>
  <si>
    <t>Sam-A Gaiyanghadao</t>
  </si>
  <si>
    <t>Samanchai Sor Sommai</t>
  </si>
  <si>
    <t>Samat Mamedov</t>
  </si>
  <si>
    <t>Samingdam Chor Ajalaboon</t>
  </si>
  <si>
    <t>Samingdam NF Looksuan</t>
  </si>
  <si>
    <t>Samingnum M Ekachart</t>
  </si>
  <si>
    <t>Samoynoi Tor Phusuwan</t>
  </si>
  <si>
    <t>Kiatchatchai</t>
  </si>
  <si>
    <t>Samransing Sitchalongsak</t>
  </si>
  <si>
    <t>Samsiblan Sor Sasiwat</t>
  </si>
  <si>
    <t>Samuel Bielen</t>
  </si>
  <si>
    <t>Samuel Toscano</t>
  </si>
  <si>
    <t>Sitjemam</t>
  </si>
  <si>
    <t>Samurai Seeopal</t>
  </si>
  <si>
    <t>Samy Sana</t>
  </si>
  <si>
    <t>Phenix Muay Thai Paris / Venum Training Camp Thailand</t>
  </si>
  <si>
    <t>Sandeep Gurung</t>
  </si>
  <si>
    <t>All Martial Arts Academy</t>
  </si>
  <si>
    <t>Sangarthit Looksaikongdin</t>
  </si>
  <si>
    <t>Looksaikongdin Boxing Camp</t>
  </si>
  <si>
    <t>Sangsakda BoyTarchang</t>
  </si>
  <si>
    <t>BoyTarchang</t>
  </si>
  <si>
    <t>Sanit Lookthamsuea</t>
  </si>
  <si>
    <t>Lookthamsuea / Team Emerald gym</t>
  </si>
  <si>
    <t>Sanlang Gexi</t>
  </si>
  <si>
    <t>Sanpet Sor Salacheep</t>
  </si>
  <si>
    <t>Sanya Kongkatonk</t>
  </si>
  <si>
    <t>Sanzhar Zakirov</t>
  </si>
  <si>
    <t>Khaturaev Team</t>
  </si>
  <si>
    <t>Saorattana Sitkrujeab</t>
  </si>
  <si>
    <t>Sitkrujeab</t>
  </si>
  <si>
    <t>Sardor Karimboev</t>
  </si>
  <si>
    <t>Kxanturaev Team</t>
  </si>
  <si>
    <t>Satangthong Chor Hapayak</t>
  </si>
  <si>
    <t>Satoshi Katashima</t>
  </si>
  <si>
    <t>Kick Life</t>
  </si>
  <si>
    <t>Savvas Michael</t>
  </si>
  <si>
    <t>Cyprus</t>
  </si>
  <si>
    <t>Saw Min Min</t>
  </si>
  <si>
    <t>T&amp;T Thaton</t>
  </si>
  <si>
    <t>Sean Clancy</t>
  </si>
  <si>
    <t>Siam Warrior Ireland / Yodyut Muay Thai Thailand</t>
  </si>
  <si>
    <t>Sean Climaco</t>
  </si>
  <si>
    <t>Philippines / United States</t>
  </si>
  <si>
    <t>Smash Fighter / Woodenman Muay Thai</t>
  </si>
  <si>
    <t>Sein Lone Chaw</t>
  </si>
  <si>
    <t>Seiya Matsuda</t>
  </si>
  <si>
    <t>Blue Dog Gym</t>
  </si>
  <si>
    <t>Seksan Fairtex</t>
  </si>
  <si>
    <t>Seksan Or Kwanmuang</t>
  </si>
  <si>
    <t>Or. Kwanmuang</t>
  </si>
  <si>
    <t>Senzo Ikeda</t>
  </si>
  <si>
    <t>Ham Seo Hee</t>
  </si>
  <si>
    <t>Seung Hyun Cho</t>
  </si>
  <si>
    <t>5 Y</t>
  </si>
  <si>
    <t>Sevket Cerkez</t>
  </si>
  <si>
    <t>Seyedali Asli</t>
  </si>
  <si>
    <t>IRIC TEAM</t>
  </si>
  <si>
    <t>Sha Nidu</t>
  </si>
  <si>
    <t>Yunnan Kunil Fight Club</t>
  </si>
  <si>
    <t>Shadow Singha Mawynn</t>
  </si>
  <si>
    <t>Shahzaib Rindh</t>
  </si>
  <si>
    <t>Red Dragon / Wilson Wushu Academy</t>
  </si>
  <si>
    <t>Shakhriyor Jurayev</t>
  </si>
  <si>
    <t>Shakhriyor Sport Club / TC Muaythai</t>
  </si>
  <si>
    <t>Shakir Al-Tekreeti</t>
  </si>
  <si>
    <t>Al Nagde Team</t>
  </si>
  <si>
    <t>Shamil Adukhov</t>
  </si>
  <si>
    <t>Profi-Sport</t>
  </si>
  <si>
    <t>Shamil Erdogan</t>
  </si>
  <si>
    <t>Kremost Fight Club</t>
  </si>
  <si>
    <t>Shamil Gasanov</t>
  </si>
  <si>
    <t>Peresvet Fight Team / Tiger Muay Thai</t>
  </si>
  <si>
    <t>Shammah Chandran</t>
  </si>
  <si>
    <t>Marcos Escobar BJJ</t>
  </si>
  <si>
    <t>Shamsudin Magomedov</t>
  </si>
  <si>
    <t>Carpe Diem Bangkok</t>
  </si>
  <si>
    <t>Shang Xi Feng</t>
  </si>
  <si>
    <t>Shan Yuan Fight Club</t>
  </si>
  <si>
    <t>Shannon Wiratchai</t>
  </si>
  <si>
    <t>Bangkok Fight Lab / Tiger Muay Thai</t>
  </si>
  <si>
    <t>Sharif Mazoriev</t>
  </si>
  <si>
    <t>KAO SIB SAM Phuket Gym</t>
  </si>
  <si>
    <t>Shazada Ataev</t>
  </si>
  <si>
    <t>Turkmenistan</t>
  </si>
  <si>
    <t>Basabas Sowes Merkezi</t>
  </si>
  <si>
    <t>Sheagh Dobbin</t>
  </si>
  <si>
    <t>Royal Fight Club</t>
  </si>
  <si>
    <t>Sheng Yi Yang</t>
  </si>
  <si>
    <t>Sherif Mohamed</t>
  </si>
  <si>
    <t>Egypt</t>
  </si>
  <si>
    <t>The Shark Gym</t>
  </si>
  <si>
    <t>Sherzod Kabutov</t>
  </si>
  <si>
    <t>Shiga Masahiro</t>
  </si>
  <si>
    <t>S Gym</t>
  </si>
  <si>
    <t>Shimamura Naoki</t>
  </si>
  <si>
    <t>Oota Dojo</t>
  </si>
  <si>
    <t>Shimon Yoshinari</t>
  </si>
  <si>
    <t>Shin Dong Hyun</t>
  </si>
  <si>
    <t>Team Danger</t>
  </si>
  <si>
    <t>Shinechagtga Zoltsetseg</t>
  </si>
  <si>
    <t>Shingo Shibata</t>
  </si>
  <si>
    <t>Shinji Suzuki</t>
  </si>
  <si>
    <t>Fujimakick Muay Thai Gym</t>
  </si>
  <si>
    <t>Shinya Aoki</t>
  </si>
  <si>
    <t>Shir Cohen</t>
  </si>
  <si>
    <t>Israel</t>
  </si>
  <si>
    <t>Sho Ogawa</t>
  </si>
  <si>
    <t>Shoa Arii</t>
  </si>
  <si>
    <t>Oikawa Dojo</t>
  </si>
  <si>
    <t>Shogo Kuriaki</t>
  </si>
  <si>
    <t>Shoko Sato</t>
  </si>
  <si>
    <t>Fight Base Toritsudai / Sakaguchi Dojo</t>
  </si>
  <si>
    <t>Shota Tezuka</t>
  </si>
  <si>
    <t>Gong Gym</t>
  </si>
  <si>
    <t>Shoya Ishiguro</t>
  </si>
  <si>
    <t>Carpediem</t>
  </si>
  <si>
    <t>Shuri Sakayori</t>
  </si>
  <si>
    <t>Shuto Sato</t>
  </si>
  <si>
    <t>Grappling Shootboxers Japan</t>
  </si>
  <si>
    <t>Shuya Kamikubo</t>
  </si>
  <si>
    <t>Itadaki Jiu-Jitsu / TRY H Studio</t>
  </si>
  <si>
    <t>Sibmuen</t>
  </si>
  <si>
    <t>Coach Nay Sibmuen Gym</t>
  </si>
  <si>
    <t>Sibsan Nokkhao KorMor11</t>
  </si>
  <si>
    <t>Silangern Lanna Waterside</t>
  </si>
  <si>
    <t>Lanna Waterside</t>
  </si>
  <si>
    <t>Silapet Por Petkaikaew</t>
  </si>
  <si>
    <t>Por Petchkaikaew</t>
  </si>
  <si>
    <t>Silviu Vitez</t>
  </si>
  <si>
    <t>MFC Noia / Sityodtong</t>
  </si>
  <si>
    <t>Simon Carson</t>
  </si>
  <si>
    <t>Absolute MMA Melbourne</t>
  </si>
  <si>
    <t>Sing Sor Chokmeechai</t>
  </si>
  <si>
    <t>Singdam Kafefocus</t>
  </si>
  <si>
    <t>Singdomthong Nokjeanladkrabang</t>
  </si>
  <si>
    <t>Singmanee Surasakmontri</t>
  </si>
  <si>
    <t>Surasakmontri</t>
  </si>
  <si>
    <t>Singsangpa Lookboonmee</t>
  </si>
  <si>
    <t>Lookboonmee</t>
  </si>
  <si>
    <t>Singtanawat Nokjeanladkrabang</t>
  </si>
  <si>
    <t>SingUbon Or AudUdon</t>
  </si>
  <si>
    <t>AudUdon</t>
  </si>
  <si>
    <t>Singudon Detpetsithong</t>
  </si>
  <si>
    <t>Detpetsithong</t>
  </si>
  <si>
    <t>Sinsamut Klinmee</t>
  </si>
  <si>
    <t>Sirichok Sor Sommai</t>
  </si>
  <si>
    <t>Sirvan Amini</t>
  </si>
  <si>
    <t>Muay Thai Academy MTA</t>
  </si>
  <si>
    <t>Sitrak Por Paidang</t>
  </si>
  <si>
    <t>Por Paidang</t>
  </si>
  <si>
    <t>Sitthichai Sitsongpeenong</t>
  </si>
  <si>
    <t>Sitsongpeenong Muay Thai Camp</t>
  </si>
  <si>
    <t>Sitthichai Sor Dechapan</t>
  </si>
  <si>
    <t>Siwakorn PK Saenchai</t>
  </si>
  <si>
    <t>Slatan Jitmuangnon</t>
  </si>
  <si>
    <t>So Yul Kim</t>
  </si>
  <si>
    <t>MOB Training Center</t>
  </si>
  <si>
    <t>Soe Lin Oo</t>
  </si>
  <si>
    <t>Doe Yoe Yar Lethwei Club</t>
  </si>
  <si>
    <t>Soe Naung Oo</t>
  </si>
  <si>
    <t>Taung Ka Lay</t>
  </si>
  <si>
    <t>Soichiro Arata</t>
  </si>
  <si>
    <t>Soner Sen</t>
  </si>
  <si>
    <t>Song Dong Dong</t>
  </si>
  <si>
    <t>Beijing Taobo Fight Club</t>
  </si>
  <si>
    <t>Song Xu Kui</t>
  </si>
  <si>
    <t>Luoyang Tiquanzhixing Fight Club / Shunyuan Fight Club</t>
  </si>
  <si>
    <t>Songchainoi Kiatsongrit</t>
  </si>
  <si>
    <t>Songfangkhong FA Group</t>
  </si>
  <si>
    <t>Songpandin Chor Kaewwiset</t>
  </si>
  <si>
    <t>Chor Kaeweiset</t>
  </si>
  <si>
    <t>Songpayak JP Power</t>
  </si>
  <si>
    <t>Sonrak Fairtex</t>
  </si>
  <si>
    <t>Sornsueknoi FA Group</t>
  </si>
  <si>
    <t>Soroush Akbari</t>
  </si>
  <si>
    <t>Sovannahry Em</t>
  </si>
  <si>
    <t>Modern Martial Arts and Fitness</t>
  </si>
  <si>
    <t>Stefan Korodi</t>
  </si>
  <si>
    <t>Dublin Combat Academy / PK Saenchai Muaythaigym</t>
  </si>
  <si>
    <t>Stefer Rahardian</t>
  </si>
  <si>
    <t>Stella Hemetsberger</t>
  </si>
  <si>
    <t>RS-GYM</t>
  </si>
  <si>
    <t>Stephen Irvine</t>
  </si>
  <si>
    <t>Suablack Tor Pran49</t>
  </si>
  <si>
    <t>NP Suablack</t>
  </si>
  <si>
    <t>Suajan Sor Isarachot</t>
  </si>
  <si>
    <t>Suakim Sor Jor Tongprajin</t>
  </si>
  <si>
    <t>Sor Jor Thongprajin</t>
  </si>
  <si>
    <t>Suayai Chor.Haapayak</t>
  </si>
  <si>
    <t>Chor Haapayak</t>
  </si>
  <si>
    <t>Sueakhao Sor Naruemon</t>
  </si>
  <si>
    <t>Suesat Manop Gym</t>
  </si>
  <si>
    <t>Manop Gym</t>
  </si>
  <si>
    <t>Suksawat PK Saenchai</t>
  </si>
  <si>
    <t>Sulaiman Looksuan</t>
  </si>
  <si>
    <t>Suleyman Suleymanov</t>
  </si>
  <si>
    <t>Sumit Bhyan</t>
  </si>
  <si>
    <t>WarriorsCove MMA</t>
  </si>
  <si>
    <t>Sun Shu Wei</t>
  </si>
  <si>
    <t>Sunday Boomdeksean</t>
  </si>
  <si>
    <t>Sungprab Lookpichit</t>
  </si>
  <si>
    <t>Lookpichit</t>
  </si>
  <si>
    <t>Sunisa Srisen</t>
  </si>
  <si>
    <t>Mister Kok Gym</t>
  </si>
  <si>
    <t>Sunoto</t>
  </si>
  <si>
    <t>Predator MMA</t>
  </si>
  <si>
    <t>Sunvo TDed99</t>
  </si>
  <si>
    <t>Supalek Jitmuangnon</t>
  </si>
  <si>
    <t>Super Yay Chan</t>
  </si>
  <si>
    <t>900 Ton Cement Factory</t>
  </si>
  <si>
    <t>Superball TDed99</t>
  </si>
  <si>
    <t>Superchub Bang Saen Fight Club</t>
  </si>
  <si>
    <t>Superjeng Tded99</t>
  </si>
  <si>
    <t>Superman Or AudUdon</t>
  </si>
  <si>
    <t>Or AudUdon</t>
  </si>
  <si>
    <t>Suphachailek Nengsubyai</t>
  </si>
  <si>
    <t>Saangmorakot</t>
  </si>
  <si>
    <t>Surachai Sor Sommai</t>
  </si>
  <si>
    <t>Suriyanlek Por Yenying</t>
  </si>
  <si>
    <t>Susuek TC Muaythai</t>
  </si>
  <si>
    <t>TC Muaythai</t>
  </si>
  <si>
    <t>Sutin Rinnmuaythai</t>
  </si>
  <si>
    <t>Rinn Muaythai</t>
  </si>
  <si>
    <t>Suwatlek TDed99</t>
  </si>
  <si>
    <t>Tae Ho Bak</t>
  </si>
  <si>
    <t>10th Planet Jiu Jitsu Korea</t>
  </si>
  <si>
    <t>Tagir Khalilov</t>
  </si>
  <si>
    <t>Archangel Michel / Samingpri Muay Thai Gym</t>
  </si>
  <si>
    <t>Tahaneak Nayokatasala</t>
  </si>
  <si>
    <t>Tai Sor Jor Piek Uthai</t>
  </si>
  <si>
    <t>Sor Jor PiekUthai gym</t>
  </si>
  <si>
    <t>Taiki Naito</t>
  </si>
  <si>
    <t>Bell Wood Fight Team</t>
  </si>
  <si>
    <t>Takahashi Kiyoto</t>
  </si>
  <si>
    <t>Triangle</t>
  </si>
  <si>
    <t>Takasuke Kume</t>
  </si>
  <si>
    <t>ALIVE</t>
  </si>
  <si>
    <t>Takeharu Ogawa</t>
  </si>
  <si>
    <t>God Side Gym</t>
  </si>
  <si>
    <t>Takeru Segawa</t>
  </si>
  <si>
    <t>Team Vasileus</t>
  </si>
  <si>
    <t>Taku Kondo</t>
  </si>
  <si>
    <t>Sports24</t>
  </si>
  <si>
    <t>Takuma Ota</t>
  </si>
  <si>
    <t>Takuma Sudo</t>
  </si>
  <si>
    <t>X-treme Ebina</t>
  </si>
  <si>
    <t>Takuya Nagata</t>
  </si>
  <si>
    <t>Shooto Gym Blows</t>
  </si>
  <si>
    <t>Talekh Gamidov</t>
  </si>
  <si>
    <t>Fight Club Steel</t>
  </si>
  <si>
    <t>Tammi Musumeci</t>
  </si>
  <si>
    <t>Grappling</t>
  </si>
  <si>
    <t>Tanachart Por Patcharawat</t>
  </si>
  <si>
    <t>Por Patcharawat</t>
  </si>
  <si>
    <t>Tang Qiqin</t>
  </si>
  <si>
    <t>Tangtang Suansunandhagym</t>
  </si>
  <si>
    <t>Tapaokaew Singha Mawynn</t>
  </si>
  <si>
    <t>Tasiken Jumatai</t>
  </si>
  <si>
    <t>Tasuku Yonekawa</t>
  </si>
  <si>
    <t>Yonekawa Dojo</t>
  </si>
  <si>
    <t>Tatsumitsu Wada</t>
  </si>
  <si>
    <t>Tawanchai VK Khaoyai</t>
  </si>
  <si>
    <t>Sor Siriluck</t>
  </si>
  <si>
    <t>Taylor McClatchie</t>
  </si>
  <si>
    <t>613 Fight Factory</t>
  </si>
  <si>
    <t>Teeyai PK Saenchai</t>
  </si>
  <si>
    <t>Teeyai TDed99</t>
  </si>
  <si>
    <t>Temirlan Bekmurzaev</t>
  </si>
  <si>
    <t>Tengnueng Fairtex</t>
  </si>
  <si>
    <t>Teodora Kirilova</t>
  </si>
  <si>
    <t>Tetsuya Yamada</t>
  </si>
  <si>
    <t>Tiger Muay Thai / Y&amp;K MMA Academy</t>
  </si>
  <si>
    <t>Thailandlek Sor Rungsak</t>
  </si>
  <si>
    <t>Thales Nakassu</t>
  </si>
  <si>
    <t>Thant Zin</t>
  </si>
  <si>
    <t>Taw Win Ayeyar Club</t>
  </si>
  <si>
    <t>Thanungern FA Group</t>
  </si>
  <si>
    <t>Thapluang Petkiatpet</t>
  </si>
  <si>
    <t>Or Muangchumphae</t>
  </si>
  <si>
    <t>Theeradet Chor Hapayak</t>
  </si>
  <si>
    <t>Theptaksin Sor Sornsing</t>
  </si>
  <si>
    <t>Thet Paing Aung</t>
  </si>
  <si>
    <t>Thomas Van Nijnatten</t>
  </si>
  <si>
    <t>Thongpoon PK Saenchai</t>
  </si>
  <si>
    <t>Thongsiam Lukjaoporongtom</t>
  </si>
  <si>
    <t>Thuanthong Sor Sommai</t>
  </si>
  <si>
    <t>Thway Lin Htet</t>
  </si>
  <si>
    <t>Daw Na Taung Chay</t>
  </si>
  <si>
    <t>Thway Thit Win Hlaing</t>
  </si>
  <si>
    <t>Tial Thang</t>
  </si>
  <si>
    <t>Sanford MMA</t>
  </si>
  <si>
    <t>Tienngam Nakbinalaiyon</t>
  </si>
  <si>
    <t>Nakbinalaiyon</t>
  </si>
  <si>
    <t>Tiffany Teo</t>
  </si>
  <si>
    <t>Matrix MMA</t>
  </si>
  <si>
    <t>Timofey Nastyukhin</t>
  </si>
  <si>
    <t>Raty Team</t>
  </si>
  <si>
    <t>Timur Chuikov</t>
  </si>
  <si>
    <t>Title Chai</t>
  </si>
  <si>
    <t>Tomioka Yusei</t>
  </si>
  <si>
    <t>Formed Gym</t>
  </si>
  <si>
    <t>Tommy Langaker</t>
  </si>
  <si>
    <t>Wulfing Academy</t>
  </si>
  <si>
    <t>Tomoki Sato</t>
  </si>
  <si>
    <t>Tomorrow Kiatsongrit</t>
  </si>
  <si>
    <t>Tomoshige Sera</t>
  </si>
  <si>
    <t>Tomoya Maruyama</t>
  </si>
  <si>
    <t>Buyuukai</t>
  </si>
  <si>
    <t>Tomyamkoong Bhumjaithai</t>
  </si>
  <si>
    <t>Tonglampoon FA Group</t>
  </si>
  <si>
    <t>Topgun Kor Kanluak</t>
  </si>
  <si>
    <t>Torepchi Dongak</t>
  </si>
  <si>
    <t>Toreq</t>
  </si>
  <si>
    <t>Toshiyasu Sagae</t>
  </si>
  <si>
    <t>Toufiq Chabibi</t>
  </si>
  <si>
    <t>Toyota Eaglemuaythai</t>
  </si>
  <si>
    <t>Tran Ngoc Luong</t>
  </si>
  <si>
    <t>Tran Quang Loc</t>
  </si>
  <si>
    <t>Liem Phong</t>
  </si>
  <si>
    <t>Trong Vinh Mui</t>
  </si>
  <si>
    <t>No.1 Muay Club</t>
  </si>
  <si>
    <t>Troy Worthen</t>
  </si>
  <si>
    <t>Tsukasa Mizoguchi</t>
  </si>
  <si>
    <t>Black Rose</t>
  </si>
  <si>
    <t>Tsz Ching Phoebe Lo</t>
  </si>
  <si>
    <t>Tuan Quoc Tran</t>
  </si>
  <si>
    <t>Tuangsap Sor Salacheep</t>
  </si>
  <si>
    <t>Tor Ittiporn</t>
  </si>
  <si>
    <t>Tuanthong Paesaisi</t>
  </si>
  <si>
    <t>Por Petchkaikaew / SingAchawin</t>
  </si>
  <si>
    <t>Tubtimthong Sor Jor Lekmuangnon</t>
  </si>
  <si>
    <t>Tun Min Aung</t>
  </si>
  <si>
    <t>GCC Lethwei Club</t>
  </si>
  <si>
    <t>Tural Askarov</t>
  </si>
  <si>
    <t>Tyson Harrison</t>
  </si>
  <si>
    <t>Sangtiennoi Muay Thai Gym</t>
  </si>
  <si>
    <t>Uali Kurzhev</t>
  </si>
  <si>
    <t>Kurzhev School</t>
  </si>
  <si>
    <t>Ubaid Hussain</t>
  </si>
  <si>
    <t>Pakistan / United Kingdom</t>
  </si>
  <si>
    <t>Udomlek Nupranburi</t>
  </si>
  <si>
    <t>Uzair Ismoiljonov</t>
  </si>
  <si>
    <t>Valerii Gusarov</t>
  </si>
  <si>
    <t>Valmir Da Silva</t>
  </si>
  <si>
    <t>Blacks MMA</t>
  </si>
  <si>
    <t>Valmir Galiev</t>
  </si>
  <si>
    <t>Centr MMA</t>
  </si>
  <si>
    <t>Vanessa Romanowski</t>
  </si>
  <si>
    <t>Poland / Sweden</t>
  </si>
  <si>
    <t>Allstars Training Center / Rawai Muay Thai Khao Lak</t>
  </si>
  <si>
    <t>Vero</t>
  </si>
  <si>
    <t>Victor Hugo</t>
  </si>
  <si>
    <t>Victor Pinto</t>
  </si>
  <si>
    <t>Pinto Fight Studio</t>
  </si>
  <si>
    <t>Victor Teixeira</t>
  </si>
  <si>
    <t>Victoria Lee</t>
  </si>
  <si>
    <t>Victoria Souza</t>
  </si>
  <si>
    <t>Ataque Duplo / Chute Boxe Floripa</t>
  </si>
  <si>
    <t>Viet Anh Do</t>
  </si>
  <si>
    <t>New Zealand / Vietnam</t>
  </si>
  <si>
    <t>View Petkosol</t>
  </si>
  <si>
    <t>Vladimir Gabov</t>
  </si>
  <si>
    <t>Fight club Siam / Kuzbass Muaythai team</t>
  </si>
  <si>
    <t>Vladimir Kanunnikov</t>
  </si>
  <si>
    <t>Team Strela</t>
  </si>
  <si>
    <t>Vladimir Kuchmistyi</t>
  </si>
  <si>
    <t>Fairtex Training Center / Strela Team</t>
  </si>
  <si>
    <t>Vladimir Kuzmin</t>
  </si>
  <si>
    <t>Fight Club Archangel Michael</t>
  </si>
  <si>
    <t>Wail Karroumi</t>
  </si>
  <si>
    <t>Walid Sakhraji</t>
  </si>
  <si>
    <t>Walter Cogliandro</t>
  </si>
  <si>
    <t>SBG Ireland</t>
  </si>
  <si>
    <t>Walter Goncalves</t>
  </si>
  <si>
    <t>Blackthai CT</t>
  </si>
  <si>
    <t>Wanchuchai Kaewsamrit</t>
  </si>
  <si>
    <t>Wang Chen Hao</t>
  </si>
  <si>
    <t>Huangwei Fighting Club</t>
  </si>
  <si>
    <t>Wang Hu</t>
  </si>
  <si>
    <t>Wang Jia Le</t>
  </si>
  <si>
    <t>Mowang Gedou</t>
  </si>
  <si>
    <t>Wang Jian Hong</t>
  </si>
  <si>
    <t>TOP-1 Fighting Club</t>
  </si>
  <si>
    <t>Wang Jing Jia</t>
  </si>
  <si>
    <t>Wang Kaifeng</t>
  </si>
  <si>
    <t>Wang Mao Lun</t>
  </si>
  <si>
    <t>Wang Shi Qi</t>
  </si>
  <si>
    <t>CTC</t>
  </si>
  <si>
    <t>Wang Shuai</t>
  </si>
  <si>
    <t>Wang Shuo</t>
  </si>
  <si>
    <t>Wang Tan Zhao</t>
  </si>
  <si>
    <t>Wang Wenfeng</t>
  </si>
  <si>
    <t>Xingbo Shengshi Fight Club</t>
  </si>
  <si>
    <t>Wang Yuhan</t>
  </si>
  <si>
    <t>Wang Zhen</t>
  </si>
  <si>
    <t>Wang Zhen Dong</t>
  </si>
  <si>
    <t>Wanpadej Looksuan</t>
  </si>
  <si>
    <t>Watcharaphon PK Saenchai</t>
  </si>
  <si>
    <t>Watcharaphon Singha Mawynn</t>
  </si>
  <si>
    <t>Wei Rui</t>
  </si>
  <si>
    <t>Wei Ziqin</t>
  </si>
  <si>
    <t>Wen Yun Bin</t>
  </si>
  <si>
    <t>Wilachon PK Saenchai</t>
  </si>
  <si>
    <t>Wilian Poles</t>
  </si>
  <si>
    <t>Astra Fight Team</t>
  </si>
  <si>
    <t>Will Drewitt</t>
  </si>
  <si>
    <t>Rocheys / Team Underground</t>
  </si>
  <si>
    <t>Win Sitjanim</t>
  </si>
  <si>
    <t>Sitjanim</t>
  </si>
  <si>
    <t>Windson Ramos</t>
  </si>
  <si>
    <t>Woo Sung Hoon</t>
  </si>
  <si>
    <t>Worapon Lukjaoporongtom</t>
  </si>
  <si>
    <t>Wuttikrai Wor Chakrawut</t>
  </si>
  <si>
    <t>Wor Chakrawut</t>
  </si>
  <si>
    <t>Xavier Gonzalez</t>
  </si>
  <si>
    <t>Xia Lian Yang</t>
  </si>
  <si>
    <t>Shanghai Animal</t>
  </si>
  <si>
    <t>Xia Ming Quan</t>
  </si>
  <si>
    <t>Xiatihe Zhumatai</t>
  </si>
  <si>
    <t>Xie Long Long</t>
  </si>
  <si>
    <t>Xie Wei</t>
  </si>
  <si>
    <t>Xie Xiao Hong</t>
  </si>
  <si>
    <t>Xie Yu Hang</t>
  </si>
  <si>
    <t>Xie Zhipeng</t>
  </si>
  <si>
    <t>Xiong Pi Ping</t>
  </si>
  <si>
    <t>Xu Hong Xi</t>
  </si>
  <si>
    <t>Ninja MMA</t>
  </si>
  <si>
    <t>Xu Yan Wei</t>
  </si>
  <si>
    <t>Yamin PK Saenchai</t>
  </si>
  <si>
    <t>Yan Zhi Yuan</t>
  </si>
  <si>
    <t>Yang Fei</t>
  </si>
  <si>
    <t>Yang Fu Chong</t>
  </si>
  <si>
    <t>Yunnan Kunli Fight Club</t>
  </si>
  <si>
    <t>Yang Hua</t>
  </si>
  <si>
    <t>Yang Jia</t>
  </si>
  <si>
    <t>Lion Heart</t>
  </si>
  <si>
    <t>Yang Wu Lin</t>
  </si>
  <si>
    <t>Yang Ying Qiang</t>
  </si>
  <si>
    <t>Yangdam Jitmuangnon</t>
  </si>
  <si>
    <t>Yara Saleh</t>
  </si>
  <si>
    <t>Mikenta Denmark</t>
  </si>
  <si>
    <t>OutlierFlag_Country</t>
  </si>
  <si>
    <t>CAvg</t>
  </si>
  <si>
    <t>CStd</t>
  </si>
  <si>
    <t>CZscore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</si>
</sst>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BC5DE10-E90C-4456-BBCD-D6C157DE8F6B}" name="Table1" displayName="Table1" ref="A1:AC1529" totalsRowShown="0">
  <autoFilter ref="A1:AC1529" xr:uid="{5BC5DE10-E90C-4456-BBCD-D6C157DE8F6B}">
    <filterColumn colId="7">
      <filters>
        <filter val="Male"/>
      </filters>
    </filterColumn>
  </autoFilter>
  <sortState xmlns:xlrd2="http://schemas.microsoft.com/office/spreadsheetml/2017/richdata2" ref="A2:AC1529">
    <sortCondition descending="1" ref="A1:A1529"/>
  </sortState>
  <tableColumns count="29">
    <tableColumn id="1" xr3:uid="{16B235FD-BC22-4D70-959F-92ACB8695349}" name="Name"/>
    <tableColumn id="2" xr3:uid="{45F294F6-7B01-45AA-BA46-19CB03D001B3}" name="Weight (kg)"/>
    <tableColumn id="3" xr3:uid="{46631837-C92E-4E88-A59F-129E5180021E}" name="Height (cm)"/>
    <tableColumn id="4" xr3:uid="{1BEAC036-36D7-4FF8-B7DD-1513647481FA}" name="Country"/>
    <tableColumn id="5" xr3:uid="{BBB42D4A-806F-4BF5-B25F-D04BD5A4F6C5}" name="Age"/>
    <tableColumn id="6" xr3:uid="{1DAF1DFF-66B9-4DE5-BC63-E49265AA0CDE}" name="Team"/>
    <tableColumn id="7" xr3:uid="{7F6E092E-915B-43AB-844E-9C212CEE10E5}" name="Sport"/>
    <tableColumn id="8" xr3:uid="{828C137F-7FBF-42CC-9AB5-CC466AB2016A}" name="Gender"/>
    <tableColumn id="9" xr3:uid="{99674EB7-9F9E-4E49-9938-A9804861ABAA}" name="Weight Class"/>
    <tableColumn id="10" xr3:uid="{A3DFCC9F-1DBC-4DF6-B74B-2F68FFFB5E26}" name="WIN"/>
    <tableColumn id="11" xr3:uid="{21946895-D75B-49C8-9C04-661E96C49682}" name="LOSS"/>
    <tableColumn id="12" xr3:uid="{4CE45999-5150-46CA-B4CA-8ACE0B99BB5F}" name="DRAW"/>
    <tableColumn id="13" xr3:uid="{A6C0C228-98C3-4597-8737-C60438FEBB75}" name="W TKO"/>
    <tableColumn id="14" xr3:uid="{132965DB-860B-489D-8DB9-3FBBEACE90E0}" name="W Submission"/>
    <tableColumn id="15" xr3:uid="{5052640C-2DA4-46DE-A93B-E3906459B572}" name="W Disqualification"/>
    <tableColumn id="16" xr3:uid="{AAF5FCF0-A2F8-4083-81E0-D8B3A4804849}" name="W Unanimous Decision"/>
    <tableColumn id="17" xr3:uid="{B6E3C614-9346-4C7A-9398-6CB52597B1FB}" name="W Split Decision"/>
    <tableColumn id="18" xr3:uid="{DB7F54D5-5CF5-46EA-98BF-9791F3F93B42}" name="L TKO"/>
    <tableColumn id="19" xr3:uid="{9E44F7C1-4824-47A7-B00C-59DAA18133C3}" name="L Submission"/>
    <tableColumn id="20" xr3:uid="{799D6FF3-11B6-4519-B768-DB75D4E479E5}" name="L Disqualification"/>
    <tableColumn id="21" xr3:uid="{4196D78D-F7A2-40D1-8097-DEA391F67C9A}" name="L Unanimous Decision"/>
    <tableColumn id="22" xr3:uid="{7D5C0164-5D13-4B66-A9DF-86B21C71C31B}" name="L Split Decision"/>
    <tableColumn id="23" xr3:uid="{1C43FF73-1185-4D89-8C48-AD2C60354F0E}" name="Total Fight"/>
    <tableColumn id="24" xr3:uid="{1ADAB70D-9AC8-4DAF-A85D-F90AC31BBBAF}" name="FinalElo"/>
    <tableColumn id="25" xr3:uid="{48AA30D3-69CF-4842-895C-84E94A3CE60B}" name="PeakElo"/>
    <tableColumn id="26" xr3:uid="{2B16F2C3-4D82-4CD6-A076-019107BE63BA}" name="CAvg" dataDxfId="3">
      <calculatedColumnFormula>AVERAGEIFS(Table1[FinalElo], Table1[Country], Table1[[#This Row],[Country]])</calculatedColumnFormula>
    </tableColumn>
    <tableColumn id="27" xr3:uid="{38A9555C-B3D4-45B8-A7C5-E6A212EBF550}" name="CStd" dataDxfId="2">
      <calculatedColumnFormula array="1">IF(COUNTIFS(Table1[Country],Table1[[#This Row],[Country]])=1,0, _xlfn.STDEV.S(IF(Table1[Country]=Table1[[#This Row],[Country]],Table1[FinalElo])))</calculatedColumnFormula>
    </tableColumn>
    <tableColumn id="28" xr3:uid="{D912C547-D43A-492E-A35E-921ADE0F4554}" name="CZscore" dataDxfId="1">
      <calculatedColumnFormula>IF(Table1[[#This Row],[CStd]]=0,0, (Table1[[#This Row],[FinalElo]]-Table1[[#This Row],[CAvg]]) / Table1[[#This Row],[CStd]])</calculatedColumnFormula>
    </tableColumn>
    <tableColumn id="29" xr3:uid="{A45E0B4B-F952-4030-ABEA-BA42522A0384}" name="OutlierFlag_Country" dataDxfId="0">
      <calculatedColumnFormula>IF(Table1[[#This Row],[CStd]]=0,"Normal", IF(ABS(Table1[[#This Row],[CZscore]])&gt;2,"Outlier","Normal"))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7A3B5E-FA5D-459C-8B4F-6875D8A91E69}">
  <dimension ref="A1:AC1529"/>
  <sheetViews>
    <sheetView tabSelected="1" workbookViewId="0">
      <selection activeCell="A864" sqref="A864"/>
    </sheetView>
  </sheetViews>
  <sheetFormatPr defaultRowHeight="14.5" x14ac:dyDescent="0.35"/>
  <cols>
    <col min="2" max="2" width="12.1796875" customWidth="1"/>
    <col min="3" max="3" width="12.54296875" customWidth="1"/>
    <col min="4" max="4" width="9.453125" customWidth="1"/>
    <col min="8" max="8" width="8.90625" customWidth="1"/>
    <col min="9" max="9" width="13.6328125" customWidth="1"/>
    <col min="14" max="14" width="14.7265625" customWidth="1"/>
    <col min="15" max="15" width="18.26953125" customWidth="1"/>
    <col min="16" max="16" width="22.1796875" customWidth="1"/>
    <col min="17" max="17" width="16.453125" customWidth="1"/>
    <col min="19" max="19" width="14" customWidth="1"/>
    <col min="20" max="20" width="17.54296875" customWidth="1"/>
    <col min="21" max="21" width="21.453125" customWidth="1"/>
    <col min="22" max="22" width="15.7265625" customWidth="1"/>
    <col min="23" max="23" width="11.453125" customWidth="1"/>
    <col min="24" max="24" width="9.54296875" customWidth="1"/>
    <col min="25" max="25" width="9.453125" customWidth="1"/>
  </cols>
  <sheetData>
    <row r="1" spans="1:2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2626</v>
      </c>
      <c r="AA1" t="s">
        <v>2627</v>
      </c>
      <c r="AB1" t="s">
        <v>2628</v>
      </c>
      <c r="AC1" t="s">
        <v>2625</v>
      </c>
    </row>
    <row r="2" spans="1:29" x14ac:dyDescent="0.35">
      <c r="A2" t="s">
        <v>124</v>
      </c>
      <c r="B2">
        <v>61</v>
      </c>
      <c r="C2">
        <v>168</v>
      </c>
      <c r="D2" t="s">
        <v>82</v>
      </c>
      <c r="E2">
        <v>30</v>
      </c>
      <c r="F2" t="s">
        <v>125</v>
      </c>
      <c r="G2" t="s">
        <v>40</v>
      </c>
      <c r="H2" t="s">
        <v>29</v>
      </c>
      <c r="I2" t="s">
        <v>58</v>
      </c>
      <c r="J2">
        <v>9</v>
      </c>
      <c r="K2">
        <v>4</v>
      </c>
      <c r="L2">
        <v>0</v>
      </c>
      <c r="M2">
        <v>2</v>
      </c>
      <c r="N2">
        <v>0</v>
      </c>
      <c r="O2">
        <v>0</v>
      </c>
      <c r="P2">
        <v>5</v>
      </c>
      <c r="Q2">
        <v>0</v>
      </c>
      <c r="R2">
        <v>1</v>
      </c>
      <c r="S2">
        <v>2</v>
      </c>
      <c r="T2">
        <v>0</v>
      </c>
      <c r="U2">
        <v>1</v>
      </c>
      <c r="V2">
        <v>0</v>
      </c>
      <c r="W2">
        <v>13</v>
      </c>
      <c r="X2">
        <v>1511.54</v>
      </c>
      <c r="Y2">
        <v>1511.54</v>
      </c>
      <c r="Z2">
        <f>AVERAGEIFS(Table1[FinalElo], Table1[Country], Table1[[#This Row],[Country]])</f>
        <v>1012.5275373134326</v>
      </c>
      <c r="AA2" cm="1">
        <f t="array" ref="AA2">IF(COUNTIFS(Table1[Country],Table1[[#This Row],[Country]])=1,0, _xlfn.STDEV.S(IF(Table1[Country]=Table1[[#This Row],[Country]],Table1[FinalElo])))</f>
        <v>135.61062237674741</v>
      </c>
      <c r="AB2">
        <f>IF(Table1[[#This Row],[CStd]]=0,0, (Table1[[#This Row],[FinalElo]]-Table1[[#This Row],[CAvg]]) / Table1[[#This Row],[CStd]])</f>
        <v>3.6797446537796503</v>
      </c>
      <c r="AC2" t="str">
        <f>IF(Table1[[#This Row],[CStd]]=0,"Normal", IF(ABS(Table1[[#This Row],[CZscore]])&gt;2,"Outlier","Normal"))</f>
        <v>Outlier</v>
      </c>
    </row>
    <row r="3" spans="1:29" hidden="1" x14ac:dyDescent="0.35">
      <c r="A3" t="s">
        <v>31</v>
      </c>
      <c r="B3">
        <v>52.2</v>
      </c>
      <c r="C3">
        <v>161</v>
      </c>
      <c r="D3" t="s">
        <v>32</v>
      </c>
      <c r="E3">
        <v>27</v>
      </c>
      <c r="F3" t="s">
        <v>33</v>
      </c>
      <c r="G3" t="s">
        <v>34</v>
      </c>
      <c r="H3" t="s">
        <v>35</v>
      </c>
      <c r="I3" t="s">
        <v>36</v>
      </c>
      <c r="J3">
        <v>5</v>
      </c>
      <c r="K3">
        <v>1</v>
      </c>
      <c r="L3">
        <v>0</v>
      </c>
      <c r="M3">
        <v>1</v>
      </c>
      <c r="N3">
        <v>0</v>
      </c>
      <c r="O3">
        <v>0</v>
      </c>
      <c r="P3">
        <v>2</v>
      </c>
      <c r="Q3">
        <v>0</v>
      </c>
      <c r="R3">
        <v>1</v>
      </c>
      <c r="S3">
        <v>0</v>
      </c>
      <c r="T3">
        <v>0</v>
      </c>
      <c r="U3">
        <v>0</v>
      </c>
      <c r="V3">
        <v>0</v>
      </c>
      <c r="W3">
        <v>6</v>
      </c>
      <c r="X3">
        <v>1322.46</v>
      </c>
      <c r="Y3">
        <v>1322.46</v>
      </c>
      <c r="Z3">
        <f>AVERAGEIFS(Table1[FinalElo], Table1[Country], Table1[[#This Row],[Country]])</f>
        <v>1025.3786885245902</v>
      </c>
      <c r="AA3" cm="1">
        <f t="array" ref="AA3">IF(COUNTIFS(Table1[Country],Table1[[#This Row],[Country]])=1,0, _xlfn.STDEV.S(IF(Table1[Country]=Table1[[#This Row],[Country]],Table1[FinalElo])))</f>
        <v>144.71595558743479</v>
      </c>
      <c r="AB3">
        <f>IF(Table1[[#This Row],[CStd]]=0,0, (Table1[[#This Row],[FinalElo]]-Table1[[#This Row],[CAvg]]) / Table1[[#This Row],[CStd]])</f>
        <v>2.0528580298522692</v>
      </c>
      <c r="AC3" t="str">
        <f>IF(Table1[[#This Row],[CStd]]=0,"Normal", IF(ABS(Table1[[#This Row],[CZscore]])&gt;2,"Outlier","Normal"))</f>
        <v>Outlier</v>
      </c>
    </row>
    <row r="4" spans="1:29" x14ac:dyDescent="0.35">
      <c r="A4" t="s">
        <v>2623</v>
      </c>
      <c r="B4">
        <v>58.059775999999999</v>
      </c>
      <c r="C4">
        <v>162</v>
      </c>
      <c r="D4" t="s">
        <v>132</v>
      </c>
      <c r="E4">
        <v>23</v>
      </c>
      <c r="F4" t="s">
        <v>2624</v>
      </c>
      <c r="G4" t="s">
        <v>34</v>
      </c>
      <c r="H4" t="s">
        <v>29</v>
      </c>
      <c r="I4" t="s">
        <v>58</v>
      </c>
      <c r="J4">
        <v>0</v>
      </c>
      <c r="K4">
        <v>1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1</v>
      </c>
      <c r="V4">
        <v>0</v>
      </c>
      <c r="W4">
        <v>1</v>
      </c>
      <c r="X4">
        <v>887.33</v>
      </c>
      <c r="Y4">
        <v>1000</v>
      </c>
      <c r="Z4">
        <f>AVERAGEIFS(Table1[FinalElo], Table1[Country], Table1[[#This Row],[Country]])</f>
        <v>1177.8375000000001</v>
      </c>
      <c r="AA4" cm="1">
        <f t="array" ref="AA4">IF(COUNTIFS(Table1[Country],Table1[[#This Row],[Country]])=1,0, _xlfn.STDEV.S(IF(Table1[Country]=Table1[[#This Row],[Country]],Table1[FinalElo])))</f>
        <v>270.87013535087192</v>
      </c>
      <c r="AB4">
        <f>IF(Table1[[#This Row],[CStd]]=0,0, (Table1[[#This Row],[FinalElo]]-Table1[[#This Row],[CAvg]]) / Table1[[#This Row],[CStd]])</f>
        <v>-1.0724973412949008</v>
      </c>
      <c r="AC4" t="str">
        <f>IF(Table1[[#This Row],[CStd]]=0,"Normal", IF(ABS(Table1[[#This Row],[CZscore]])&gt;2,"Outlier","Normal"))</f>
        <v>Normal</v>
      </c>
    </row>
    <row r="5" spans="1:29" hidden="1" x14ac:dyDescent="0.35">
      <c r="A5" t="s">
        <v>42</v>
      </c>
      <c r="B5">
        <v>56.1</v>
      </c>
      <c r="C5">
        <v>164</v>
      </c>
      <c r="D5" t="s">
        <v>43</v>
      </c>
      <c r="E5">
        <v>29</v>
      </c>
      <c r="F5" t="s">
        <v>44</v>
      </c>
      <c r="G5" t="s">
        <v>40</v>
      </c>
      <c r="H5" t="s">
        <v>35</v>
      </c>
      <c r="I5" t="s">
        <v>36</v>
      </c>
      <c r="J5">
        <v>11</v>
      </c>
      <c r="K5">
        <v>3</v>
      </c>
      <c r="L5">
        <v>0</v>
      </c>
      <c r="M5">
        <v>1</v>
      </c>
      <c r="N5">
        <v>8</v>
      </c>
      <c r="O5">
        <v>0</v>
      </c>
      <c r="P5">
        <v>2</v>
      </c>
      <c r="Q5">
        <v>0</v>
      </c>
      <c r="R5">
        <v>0</v>
      </c>
      <c r="S5">
        <v>0</v>
      </c>
      <c r="T5">
        <v>0</v>
      </c>
      <c r="U5">
        <v>2</v>
      </c>
      <c r="V5">
        <v>0</v>
      </c>
      <c r="W5">
        <v>14</v>
      </c>
      <c r="X5">
        <v>1343.12</v>
      </c>
      <c r="Y5">
        <v>1429.72</v>
      </c>
      <c r="Z5">
        <f>AVERAGEIFS(Table1[FinalElo], Table1[Country], Table1[[#This Row],[Country]])</f>
        <v>1334.6424999999999</v>
      </c>
      <c r="AA5" cm="1">
        <f t="array" ref="AA5">IF(COUNTIFS(Table1[Country],Table1[[#This Row],[Country]])=1,0, _xlfn.STDEV.S(IF(Table1[Country]=Table1[[#This Row],[Country]],Table1[FinalElo])))</f>
        <v>145.00121410411251</v>
      </c>
      <c r="AB5">
        <f>IF(Table1[[#This Row],[CStd]]=0,0, (Table1[[#This Row],[FinalElo]]-Table1[[#This Row],[CAvg]]) / Table1[[#This Row],[CStd]])</f>
        <v>5.8465027705995778E-2</v>
      </c>
      <c r="AC5" t="str">
        <f>IF(Table1[[#This Row],[CStd]]=0,"Normal", IF(ABS(Table1[[#This Row],[CZscore]])&gt;2,"Outlier","Normal"))</f>
        <v>Normal</v>
      </c>
    </row>
    <row r="6" spans="1:29" x14ac:dyDescent="0.35">
      <c r="A6" t="s">
        <v>2622</v>
      </c>
      <c r="B6">
        <v>55.791815999999997</v>
      </c>
      <c r="C6">
        <v>165</v>
      </c>
      <c r="D6" t="s">
        <v>89</v>
      </c>
      <c r="E6">
        <v>25</v>
      </c>
      <c r="F6" t="s">
        <v>104</v>
      </c>
      <c r="G6" t="s">
        <v>34</v>
      </c>
      <c r="H6" t="s">
        <v>29</v>
      </c>
      <c r="I6" t="s">
        <v>36</v>
      </c>
      <c r="J6">
        <v>1</v>
      </c>
      <c r="K6">
        <v>5</v>
      </c>
      <c r="L6">
        <v>0</v>
      </c>
      <c r="M6">
        <v>0</v>
      </c>
      <c r="N6">
        <v>0</v>
      </c>
      <c r="O6">
        <v>0</v>
      </c>
      <c r="P6">
        <v>1</v>
      </c>
      <c r="Q6">
        <v>0</v>
      </c>
      <c r="R6">
        <v>0</v>
      </c>
      <c r="S6">
        <v>0</v>
      </c>
      <c r="T6">
        <v>0</v>
      </c>
      <c r="U6">
        <v>2</v>
      </c>
      <c r="V6">
        <v>1</v>
      </c>
      <c r="W6">
        <v>6</v>
      </c>
      <c r="X6">
        <v>894.38</v>
      </c>
      <c r="Y6">
        <v>1000</v>
      </c>
      <c r="Z6">
        <f>AVERAGEIFS(Table1[FinalElo], Table1[Country], Table1[[#This Row],[Country]])</f>
        <v>1012.0629025423733</v>
      </c>
      <c r="AA6" cm="1">
        <f t="array" ref="AA6">IF(COUNTIFS(Table1[Country],Table1[[#This Row],[Country]])=1,0, _xlfn.STDEV.S(IF(Table1[Country]=Table1[[#This Row],[Country]],Table1[FinalElo])))</f>
        <v>148.42180446198614</v>
      </c>
      <c r="AB6">
        <f>IF(Table1[[#This Row],[CStd]]=0,0, (Table1[[#This Row],[FinalElo]]-Table1[[#This Row],[CAvg]]) / Table1[[#This Row],[CStd]])</f>
        <v>-0.79289497233214346</v>
      </c>
      <c r="AC6" t="str">
        <f>IF(Table1[[#This Row],[CStd]]=0,"Normal", IF(ABS(Table1[[#This Row],[CZscore]])&gt;2,"Outlier","Normal"))</f>
        <v>Normal</v>
      </c>
    </row>
    <row r="7" spans="1:29" x14ac:dyDescent="0.35">
      <c r="A7" t="s">
        <v>2621</v>
      </c>
      <c r="B7">
        <v>56.7</v>
      </c>
      <c r="C7">
        <v>165</v>
      </c>
      <c r="D7" t="s">
        <v>116</v>
      </c>
      <c r="E7">
        <v>24</v>
      </c>
      <c r="F7" t="s">
        <v>1486</v>
      </c>
      <c r="G7" t="s">
        <v>40</v>
      </c>
      <c r="H7" t="s">
        <v>29</v>
      </c>
      <c r="I7" t="s">
        <v>58</v>
      </c>
      <c r="J7">
        <v>0</v>
      </c>
      <c r="K7">
        <v>3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1</v>
      </c>
      <c r="T7">
        <v>0</v>
      </c>
      <c r="U7">
        <v>2</v>
      </c>
      <c r="V7">
        <v>0</v>
      </c>
      <c r="W7">
        <v>3</v>
      </c>
      <c r="X7">
        <v>794.4</v>
      </c>
      <c r="Y7">
        <v>1000</v>
      </c>
      <c r="Z7">
        <f>AVERAGEIFS(Table1[FinalElo], Table1[Country], Table1[[#This Row],[Country]])</f>
        <v>980.88090909090931</v>
      </c>
      <c r="AA7" cm="1">
        <f t="array" ref="AA7">IF(COUNTIFS(Table1[Country],Table1[[#This Row],[Country]])=1,0, _xlfn.STDEV.S(IF(Table1[Country]=Table1[[#This Row],[Country]],Table1[FinalElo])))</f>
        <v>133.41794796376408</v>
      </c>
      <c r="AB7">
        <f>IF(Table1[[#This Row],[CStd]]=0,0, (Table1[[#This Row],[FinalElo]]-Table1[[#This Row],[CAvg]]) / Table1[[#This Row],[CStd]])</f>
        <v>-1.3977198115920431</v>
      </c>
      <c r="AC7" t="str">
        <f>IF(Table1[[#This Row],[CStd]]=0,"Normal", IF(ABS(Table1[[#This Row],[CZscore]])&gt;2,"Outlier","Normal"))</f>
        <v>Normal</v>
      </c>
    </row>
    <row r="8" spans="1:29" x14ac:dyDescent="0.35">
      <c r="A8" t="s">
        <v>2620</v>
      </c>
      <c r="B8">
        <v>65.8</v>
      </c>
      <c r="C8">
        <v>177</v>
      </c>
      <c r="D8" t="s">
        <v>116</v>
      </c>
      <c r="E8">
        <v>27</v>
      </c>
      <c r="F8" t="s">
        <v>1164</v>
      </c>
      <c r="G8" t="s">
        <v>28</v>
      </c>
      <c r="H8" t="s">
        <v>29</v>
      </c>
      <c r="I8" t="s">
        <v>48</v>
      </c>
      <c r="J8">
        <v>1</v>
      </c>
      <c r="K8">
        <v>1</v>
      </c>
      <c r="L8">
        <v>0</v>
      </c>
      <c r="M8">
        <v>0</v>
      </c>
      <c r="N8">
        <v>0</v>
      </c>
      <c r="O8">
        <v>0</v>
      </c>
      <c r="P8">
        <v>1</v>
      </c>
      <c r="Q8">
        <v>0</v>
      </c>
      <c r="R8">
        <v>0</v>
      </c>
      <c r="S8">
        <v>0</v>
      </c>
      <c r="T8">
        <v>0</v>
      </c>
      <c r="U8">
        <v>1</v>
      </c>
      <c r="V8">
        <v>0</v>
      </c>
      <c r="W8">
        <v>2</v>
      </c>
      <c r="X8">
        <v>991.96</v>
      </c>
      <c r="Y8">
        <v>1100</v>
      </c>
      <c r="Z8">
        <f>AVERAGEIFS(Table1[FinalElo], Table1[Country], Table1[[#This Row],[Country]])</f>
        <v>980.88090909090931</v>
      </c>
      <c r="AA8" cm="1">
        <f t="array" ref="AA8">IF(COUNTIFS(Table1[Country],Table1[[#This Row],[Country]])=1,0, _xlfn.STDEV.S(IF(Table1[Country]=Table1[[#This Row],[Country]],Table1[FinalElo])))</f>
        <v>133.41794796376408</v>
      </c>
      <c r="AB8">
        <f>IF(Table1[[#This Row],[CStd]]=0,0, (Table1[[#This Row],[FinalElo]]-Table1[[#This Row],[CAvg]]) / Table1[[#This Row],[CStd]])</f>
        <v>8.3040483519501981E-2</v>
      </c>
      <c r="AC8" t="str">
        <f>IF(Table1[[#This Row],[CStd]]=0,"Normal", IF(ABS(Table1[[#This Row],[CZscore]])&gt;2,"Outlier","Normal"))</f>
        <v>Normal</v>
      </c>
    </row>
    <row r="9" spans="1:29" x14ac:dyDescent="0.35">
      <c r="A9" t="s">
        <v>2618</v>
      </c>
      <c r="B9">
        <v>56.7</v>
      </c>
      <c r="C9">
        <v>167</v>
      </c>
      <c r="D9" t="s">
        <v>116</v>
      </c>
      <c r="E9">
        <v>32</v>
      </c>
      <c r="F9" t="s">
        <v>2619</v>
      </c>
      <c r="G9" t="s">
        <v>40</v>
      </c>
      <c r="H9" t="s">
        <v>29</v>
      </c>
      <c r="I9" t="s">
        <v>58</v>
      </c>
      <c r="J9">
        <v>1</v>
      </c>
      <c r="K9">
        <v>0</v>
      </c>
      <c r="L9">
        <v>0</v>
      </c>
      <c r="M9">
        <v>0</v>
      </c>
      <c r="N9">
        <v>0</v>
      </c>
      <c r="O9">
        <v>0</v>
      </c>
      <c r="P9">
        <v>1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1</v>
      </c>
      <c r="X9">
        <v>1071.99</v>
      </c>
      <c r="Y9">
        <v>1071.99</v>
      </c>
      <c r="Z9">
        <f>AVERAGEIFS(Table1[FinalElo], Table1[Country], Table1[[#This Row],[Country]])</f>
        <v>980.88090909090931</v>
      </c>
      <c r="AA9" cm="1">
        <f t="array" ref="AA9">IF(COUNTIFS(Table1[Country],Table1[[#This Row],[Country]])=1,0, _xlfn.STDEV.S(IF(Table1[Country]=Table1[[#This Row],[Country]],Table1[FinalElo])))</f>
        <v>133.41794796376408</v>
      </c>
      <c r="AB9">
        <f>IF(Table1[[#This Row],[CStd]]=0,0, (Table1[[#This Row],[FinalElo]]-Table1[[#This Row],[CAvg]]) / Table1[[#This Row],[CStd]])</f>
        <v>0.68288481647038712</v>
      </c>
      <c r="AC9" t="str">
        <f>IF(Table1[[#This Row],[CStd]]=0,"Normal", IF(ABS(Table1[[#This Row],[CZscore]])&gt;2,"Outlier","Normal"))</f>
        <v>Normal</v>
      </c>
    </row>
    <row r="10" spans="1:29" hidden="1" x14ac:dyDescent="0.35">
      <c r="A10" t="s">
        <v>59</v>
      </c>
      <c r="B10">
        <v>51.8</v>
      </c>
      <c r="C10">
        <v>158</v>
      </c>
      <c r="D10" t="s">
        <v>60</v>
      </c>
      <c r="E10">
        <v>28</v>
      </c>
      <c r="F10">
        <v>1</v>
      </c>
      <c r="G10" t="s">
        <v>40</v>
      </c>
      <c r="H10" t="s">
        <v>35</v>
      </c>
      <c r="I10" t="s">
        <v>55</v>
      </c>
      <c r="J10">
        <v>7</v>
      </c>
      <c r="K10">
        <v>2</v>
      </c>
      <c r="L10">
        <v>0</v>
      </c>
      <c r="M10">
        <v>1</v>
      </c>
      <c r="N10">
        <v>1</v>
      </c>
      <c r="O10">
        <v>0</v>
      </c>
      <c r="P10">
        <v>4</v>
      </c>
      <c r="Q10">
        <v>1</v>
      </c>
      <c r="R10">
        <v>0</v>
      </c>
      <c r="S10">
        <v>0</v>
      </c>
      <c r="T10">
        <v>0</v>
      </c>
      <c r="U10">
        <v>1</v>
      </c>
      <c r="V10">
        <v>1</v>
      </c>
      <c r="W10">
        <v>9</v>
      </c>
      <c r="X10">
        <v>1286.0899999999999</v>
      </c>
      <c r="Y10">
        <v>1297.8800000000001</v>
      </c>
      <c r="Z10">
        <f>AVERAGEIFS(Table1[FinalElo], Table1[Country], Table1[[#This Row],[Country]])</f>
        <v>1034.681315789474</v>
      </c>
      <c r="AA10" cm="1">
        <f t="array" ref="AA10">IF(COUNTIFS(Table1[Country],Table1[[#This Row],[Country]])=1,0, _xlfn.STDEV.S(IF(Table1[Country]=Table1[[#This Row],[Country]],Table1[FinalElo])))</f>
        <v>152.902810204692</v>
      </c>
      <c r="AB10">
        <f>IF(Table1[[#This Row],[CStd]]=0,0, (Table1[[#This Row],[FinalElo]]-Table1[[#This Row],[CAvg]]) / Table1[[#This Row],[CStd]])</f>
        <v>1.6442384798157961</v>
      </c>
      <c r="AC10" t="str">
        <f>IF(Table1[[#This Row],[CStd]]=0,"Normal", IF(ABS(Table1[[#This Row],[CZscore]])&gt;2,"Outlier","Normal"))</f>
        <v>Normal</v>
      </c>
    </row>
    <row r="11" spans="1:29" x14ac:dyDescent="0.35">
      <c r="A11" t="s">
        <v>2617</v>
      </c>
      <c r="B11">
        <v>61.2</v>
      </c>
      <c r="C11">
        <v>173</v>
      </c>
      <c r="D11" t="s">
        <v>116</v>
      </c>
      <c r="E11">
        <v>27</v>
      </c>
      <c r="F11" t="s">
        <v>1164</v>
      </c>
      <c r="G11" t="s">
        <v>28</v>
      </c>
      <c r="H11" t="s">
        <v>29</v>
      </c>
      <c r="I11" t="s">
        <v>58</v>
      </c>
      <c r="J11">
        <v>2</v>
      </c>
      <c r="K11">
        <v>2</v>
      </c>
      <c r="L11">
        <v>0</v>
      </c>
      <c r="M11">
        <v>0</v>
      </c>
      <c r="N11">
        <v>0</v>
      </c>
      <c r="O11">
        <v>0</v>
      </c>
      <c r="P11">
        <v>1</v>
      </c>
      <c r="Q11">
        <v>1</v>
      </c>
      <c r="R11">
        <v>0</v>
      </c>
      <c r="S11">
        <v>0</v>
      </c>
      <c r="T11">
        <v>0</v>
      </c>
      <c r="U11">
        <v>1</v>
      </c>
      <c r="V11">
        <v>1</v>
      </c>
      <c r="W11">
        <v>4</v>
      </c>
      <c r="X11">
        <v>1041.78</v>
      </c>
      <c r="Y11">
        <v>1100</v>
      </c>
      <c r="Z11">
        <f>AVERAGEIFS(Table1[FinalElo], Table1[Country], Table1[[#This Row],[Country]])</f>
        <v>980.88090909090931</v>
      </c>
      <c r="AA11" cm="1">
        <f t="array" ref="AA11">IF(COUNTIFS(Table1[Country],Table1[[#This Row],[Country]])=1,0, _xlfn.STDEV.S(IF(Table1[Country]=Table1[[#This Row],[Country]],Table1[FinalElo])))</f>
        <v>133.41794796376408</v>
      </c>
      <c r="AB11">
        <f>IF(Table1[[#This Row],[CStd]]=0,0, (Table1[[#This Row],[FinalElo]]-Table1[[#This Row],[CAvg]]) / Table1[[#This Row],[CStd]])</f>
        <v>0.45645351197899309</v>
      </c>
      <c r="AC11" t="str">
        <f>IF(Table1[[#This Row],[CStd]]=0,"Normal", IF(ABS(Table1[[#This Row],[CZscore]])&gt;2,"Outlier","Normal"))</f>
        <v>Normal</v>
      </c>
    </row>
    <row r="12" spans="1:29" hidden="1" x14ac:dyDescent="0.35">
      <c r="A12" t="s">
        <v>63</v>
      </c>
      <c r="B12">
        <v>59.4</v>
      </c>
      <c r="C12">
        <v>162</v>
      </c>
      <c r="D12" t="s">
        <v>52</v>
      </c>
      <c r="E12">
        <v>28</v>
      </c>
      <c r="F12" t="s">
        <v>64</v>
      </c>
      <c r="G12" t="s">
        <v>28</v>
      </c>
      <c r="H12" t="s">
        <v>35</v>
      </c>
      <c r="I12" t="s">
        <v>58</v>
      </c>
      <c r="J12">
        <v>7</v>
      </c>
      <c r="K12">
        <v>1</v>
      </c>
      <c r="L12">
        <v>0</v>
      </c>
      <c r="M12">
        <v>1</v>
      </c>
      <c r="N12">
        <v>0</v>
      </c>
      <c r="O12">
        <v>0</v>
      </c>
      <c r="P12">
        <v>5</v>
      </c>
      <c r="Q12">
        <v>0</v>
      </c>
      <c r="R12">
        <v>0</v>
      </c>
      <c r="S12">
        <v>0</v>
      </c>
      <c r="T12">
        <v>0</v>
      </c>
      <c r="U12">
        <v>1</v>
      </c>
      <c r="V12">
        <v>0</v>
      </c>
      <c r="W12">
        <v>8</v>
      </c>
      <c r="X12">
        <v>1319.08</v>
      </c>
      <c r="Y12">
        <v>1319.08</v>
      </c>
      <c r="Z12">
        <f>AVERAGEIFS(Table1[FinalElo], Table1[Country], Table1[[#This Row],[Country]])</f>
        <v>1039.8985714285714</v>
      </c>
      <c r="AA12" cm="1">
        <f t="array" ref="AA12">IF(COUNTIFS(Table1[Country],Table1[[#This Row],[Country]])=1,0, _xlfn.STDEV.S(IF(Table1[Country]=Table1[[#This Row],[Country]],Table1[FinalElo])))</f>
        <v>194.01778111336392</v>
      </c>
      <c r="AB12">
        <f>IF(Table1[[#This Row],[CStd]]=0,0, (Table1[[#This Row],[FinalElo]]-Table1[[#This Row],[CAvg]]) / Table1[[#This Row],[CStd]])</f>
        <v>1.4389476416509672</v>
      </c>
      <c r="AC12" t="str">
        <f>IF(Table1[[#This Row],[CStd]]=0,"Normal", IF(ABS(Table1[[#This Row],[CZscore]])&gt;2,"Outlier","Normal"))</f>
        <v>Normal</v>
      </c>
    </row>
    <row r="13" spans="1:29" x14ac:dyDescent="0.35">
      <c r="A13" t="s">
        <v>2615</v>
      </c>
      <c r="B13">
        <v>62.6</v>
      </c>
      <c r="C13">
        <v>178</v>
      </c>
      <c r="D13" t="s">
        <v>116</v>
      </c>
      <c r="E13">
        <v>30</v>
      </c>
      <c r="F13" t="s">
        <v>2616</v>
      </c>
      <c r="G13" t="s">
        <v>40</v>
      </c>
      <c r="H13" t="s">
        <v>29</v>
      </c>
      <c r="I13" t="s">
        <v>73</v>
      </c>
      <c r="J13">
        <v>2</v>
      </c>
      <c r="K13">
        <v>3</v>
      </c>
      <c r="L13">
        <v>0</v>
      </c>
      <c r="M13">
        <v>1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2</v>
      </c>
      <c r="V13">
        <v>0</v>
      </c>
      <c r="W13">
        <v>5</v>
      </c>
      <c r="X13">
        <v>977.52</v>
      </c>
      <c r="Y13">
        <v>1000</v>
      </c>
      <c r="Z13">
        <f>AVERAGEIFS(Table1[FinalElo], Table1[Country], Table1[[#This Row],[Country]])</f>
        <v>980.88090909090931</v>
      </c>
      <c r="AA13" cm="1">
        <f t="array" ref="AA13">IF(COUNTIFS(Table1[Country],Table1[[#This Row],[Country]])=1,0, _xlfn.STDEV.S(IF(Table1[Country]=Table1[[#This Row],[Country]],Table1[FinalElo])))</f>
        <v>133.41794796376408</v>
      </c>
      <c r="AB13">
        <f>IF(Table1[[#This Row],[CStd]]=0,0, (Table1[[#This Row],[FinalElo]]-Table1[[#This Row],[CAvg]]) / Table1[[#This Row],[CStd]])</f>
        <v>-2.519083183487535E-2</v>
      </c>
      <c r="AC13" t="str">
        <f>IF(Table1[[#This Row],[CStd]]=0,"Normal", IF(ABS(Table1[[#This Row],[CZscore]])&gt;2,"Outlier","Normal"))</f>
        <v>Normal</v>
      </c>
    </row>
    <row r="14" spans="1:29" x14ac:dyDescent="0.35">
      <c r="A14" t="s">
        <v>2614</v>
      </c>
      <c r="B14">
        <v>68</v>
      </c>
      <c r="C14">
        <v>170</v>
      </c>
      <c r="D14" t="s">
        <v>116</v>
      </c>
      <c r="E14">
        <v>32</v>
      </c>
      <c r="F14" t="s">
        <v>1511</v>
      </c>
      <c r="G14" t="s">
        <v>40</v>
      </c>
      <c r="H14" t="s">
        <v>29</v>
      </c>
      <c r="I14" t="s">
        <v>48</v>
      </c>
      <c r="J14">
        <v>0</v>
      </c>
      <c r="K14">
        <v>1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1</v>
      </c>
      <c r="V14">
        <v>0</v>
      </c>
      <c r="W14">
        <v>1</v>
      </c>
      <c r="X14">
        <v>883.83</v>
      </c>
      <c r="Y14">
        <v>1000</v>
      </c>
      <c r="Z14">
        <f>AVERAGEIFS(Table1[FinalElo], Table1[Country], Table1[[#This Row],[Country]])</f>
        <v>980.88090909090931</v>
      </c>
      <c r="AA14" cm="1">
        <f t="array" ref="AA14">IF(COUNTIFS(Table1[Country],Table1[[#This Row],[Country]])=1,0, _xlfn.STDEV.S(IF(Table1[Country]=Table1[[#This Row],[Country]],Table1[FinalElo])))</f>
        <v>133.41794796376408</v>
      </c>
      <c r="AB14">
        <f>IF(Table1[[#This Row],[CStd]]=0,0, (Table1[[#This Row],[FinalElo]]-Table1[[#This Row],[CAvg]]) / Table1[[#This Row],[CStd]])</f>
        <v>-0.72742019025257387</v>
      </c>
      <c r="AC14" t="str">
        <f>IF(Table1[[#This Row],[CStd]]=0,"Normal", IF(ABS(Table1[[#This Row],[CZscore]])&gt;2,"Outlier","Normal"))</f>
        <v>Normal</v>
      </c>
    </row>
    <row r="15" spans="1:29" x14ac:dyDescent="0.35">
      <c r="A15" t="s">
        <v>2613</v>
      </c>
      <c r="B15">
        <v>58</v>
      </c>
      <c r="C15">
        <v>163</v>
      </c>
      <c r="D15" t="s">
        <v>116</v>
      </c>
      <c r="E15">
        <v>33</v>
      </c>
      <c r="F15" t="s">
        <v>411</v>
      </c>
      <c r="G15" t="s">
        <v>40</v>
      </c>
      <c r="H15" t="s">
        <v>29</v>
      </c>
      <c r="I15" t="s">
        <v>58</v>
      </c>
      <c r="J15">
        <v>3</v>
      </c>
      <c r="K15">
        <v>2</v>
      </c>
      <c r="L15">
        <v>0</v>
      </c>
      <c r="M15">
        <v>0</v>
      </c>
      <c r="N15">
        <v>1</v>
      </c>
      <c r="O15">
        <v>0</v>
      </c>
      <c r="P15">
        <v>2</v>
      </c>
      <c r="Q15">
        <v>0</v>
      </c>
      <c r="R15">
        <v>0</v>
      </c>
      <c r="S15">
        <v>0</v>
      </c>
      <c r="T15">
        <v>0</v>
      </c>
      <c r="U15">
        <v>2</v>
      </c>
      <c r="V15">
        <v>0</v>
      </c>
      <c r="W15">
        <v>5</v>
      </c>
      <c r="X15">
        <v>1143.44</v>
      </c>
      <c r="Y15">
        <v>1143.44</v>
      </c>
      <c r="Z15">
        <f>AVERAGEIFS(Table1[FinalElo], Table1[Country], Table1[[#This Row],[Country]])</f>
        <v>980.88090909090931</v>
      </c>
      <c r="AA15" cm="1">
        <f t="array" ref="AA15">IF(COUNTIFS(Table1[Country],Table1[[#This Row],[Country]])=1,0, _xlfn.STDEV.S(IF(Table1[Country]=Table1[[#This Row],[Country]],Table1[FinalElo])))</f>
        <v>133.41794796376408</v>
      </c>
      <c r="AB15">
        <f>IF(Table1[[#This Row],[CStd]]=0,0, (Table1[[#This Row],[FinalElo]]-Table1[[#This Row],[CAvg]]) / Table1[[#This Row],[CStd]])</f>
        <v>1.2184199606580766</v>
      </c>
      <c r="AC15" t="str">
        <f>IF(Table1[[#This Row],[CStd]]=0,"Normal", IF(ABS(Table1[[#This Row],[CZscore]])&gt;2,"Outlier","Normal"))</f>
        <v>Normal</v>
      </c>
    </row>
    <row r="16" spans="1:29" x14ac:dyDescent="0.35">
      <c r="A16" t="s">
        <v>2612</v>
      </c>
      <c r="B16">
        <v>61.1</v>
      </c>
      <c r="C16">
        <v>180</v>
      </c>
      <c r="D16" t="s">
        <v>89</v>
      </c>
      <c r="E16">
        <v>29</v>
      </c>
      <c r="F16" t="s">
        <v>99</v>
      </c>
      <c r="G16" t="s">
        <v>34</v>
      </c>
      <c r="H16" t="s">
        <v>29</v>
      </c>
      <c r="I16" t="s">
        <v>58</v>
      </c>
      <c r="J16">
        <v>2</v>
      </c>
      <c r="K16">
        <v>1</v>
      </c>
      <c r="L16">
        <v>0</v>
      </c>
      <c r="M16">
        <v>1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3</v>
      </c>
      <c r="X16">
        <v>1052.55</v>
      </c>
      <c r="Y16">
        <v>1205.68</v>
      </c>
      <c r="Z16">
        <f>AVERAGEIFS(Table1[FinalElo], Table1[Country], Table1[[#This Row],[Country]])</f>
        <v>1012.0629025423733</v>
      </c>
      <c r="AA16" cm="1">
        <f t="array" ref="AA16">IF(COUNTIFS(Table1[Country],Table1[[#This Row],[Country]])=1,0, _xlfn.STDEV.S(IF(Table1[Country]=Table1[[#This Row],[Country]],Table1[FinalElo])))</f>
        <v>148.42180446198614</v>
      </c>
      <c r="AB16">
        <f>IF(Table1[[#This Row],[CStd]]=0,0, (Table1[[#This Row],[FinalElo]]-Table1[[#This Row],[CAvg]]) / Table1[[#This Row],[CStd]])</f>
        <v>0.27278402660840995</v>
      </c>
      <c r="AC16" t="str">
        <f>IF(Table1[[#This Row],[CStd]]=0,"Normal", IF(ABS(Table1[[#This Row],[CZscore]])&gt;2,"Outlier","Normal"))</f>
        <v>Normal</v>
      </c>
    </row>
    <row r="17" spans="1:29" x14ac:dyDescent="0.35">
      <c r="A17" t="s">
        <v>2611</v>
      </c>
      <c r="B17">
        <v>65.8</v>
      </c>
      <c r="C17">
        <v>175</v>
      </c>
      <c r="D17" t="s">
        <v>116</v>
      </c>
      <c r="E17">
        <v>26</v>
      </c>
      <c r="F17" t="s">
        <v>117</v>
      </c>
      <c r="G17" t="s">
        <v>40</v>
      </c>
      <c r="H17" t="s">
        <v>29</v>
      </c>
      <c r="I17" t="s">
        <v>48</v>
      </c>
      <c r="J17">
        <v>1</v>
      </c>
      <c r="K17">
        <v>1</v>
      </c>
      <c r="L17">
        <v>0</v>
      </c>
      <c r="M17">
        <v>1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1</v>
      </c>
      <c r="V17">
        <v>0</v>
      </c>
      <c r="W17">
        <v>2</v>
      </c>
      <c r="X17">
        <v>1010.91</v>
      </c>
      <c r="Y17">
        <v>1010.91</v>
      </c>
      <c r="Z17">
        <f>AVERAGEIFS(Table1[FinalElo], Table1[Country], Table1[[#This Row],[Country]])</f>
        <v>980.88090909090931</v>
      </c>
      <c r="AA17" cm="1">
        <f t="array" ref="AA17">IF(COUNTIFS(Table1[Country],Table1[[#This Row],[Country]])=1,0, _xlfn.STDEV.S(IF(Table1[Country]=Table1[[#This Row],[Country]],Table1[FinalElo])))</f>
        <v>133.41794796376408</v>
      </c>
      <c r="AB17">
        <f>IF(Table1[[#This Row],[CStd]]=0,0, (Table1[[#This Row],[FinalElo]]-Table1[[#This Row],[CAvg]]) / Table1[[#This Row],[CStd]])</f>
        <v>0.22507534681350719</v>
      </c>
      <c r="AC17" t="str">
        <f>IF(Table1[[#This Row],[CStd]]=0,"Normal", IF(ABS(Table1[[#This Row],[CZscore]])&gt;2,"Outlier","Normal"))</f>
        <v>Normal</v>
      </c>
    </row>
    <row r="18" spans="1:29" x14ac:dyDescent="0.35">
      <c r="A18" t="s">
        <v>2609</v>
      </c>
      <c r="B18">
        <v>68.099999999999994</v>
      </c>
      <c r="C18">
        <v>173</v>
      </c>
      <c r="D18" t="s">
        <v>116</v>
      </c>
      <c r="E18">
        <v>25</v>
      </c>
      <c r="F18" t="s">
        <v>2610</v>
      </c>
      <c r="G18" t="s">
        <v>40</v>
      </c>
      <c r="H18" t="s">
        <v>29</v>
      </c>
      <c r="I18" t="s">
        <v>48</v>
      </c>
      <c r="J18">
        <v>0</v>
      </c>
      <c r="K18">
        <v>1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1</v>
      </c>
      <c r="V18">
        <v>0</v>
      </c>
      <c r="W18">
        <v>1</v>
      </c>
      <c r="X18">
        <v>900</v>
      </c>
      <c r="Y18">
        <v>1000</v>
      </c>
      <c r="Z18">
        <f>AVERAGEIFS(Table1[FinalElo], Table1[Country], Table1[[#This Row],[Country]])</f>
        <v>980.88090909090931</v>
      </c>
      <c r="AA18" cm="1">
        <f t="array" ref="AA18">IF(COUNTIFS(Table1[Country],Table1[[#This Row],[Country]])=1,0, _xlfn.STDEV.S(IF(Table1[Country]=Table1[[#This Row],[Country]],Table1[FinalElo])))</f>
        <v>133.41794796376408</v>
      </c>
      <c r="AB18">
        <f>IF(Table1[[#This Row],[CStd]]=0,0, (Table1[[#This Row],[FinalElo]]-Table1[[#This Row],[CAvg]]) / Table1[[#This Row],[CStd]])</f>
        <v>-0.60622210373731977</v>
      </c>
      <c r="AC18" t="str">
        <f>IF(Table1[[#This Row],[CStd]]=0,"Normal", IF(ABS(Table1[[#This Row],[CZscore]])&gt;2,"Outlier","Normal"))</f>
        <v>Normal</v>
      </c>
    </row>
    <row r="19" spans="1:29" x14ac:dyDescent="0.35">
      <c r="A19" t="s">
        <v>2608</v>
      </c>
      <c r="B19">
        <v>61.2</v>
      </c>
      <c r="C19">
        <v>170</v>
      </c>
      <c r="D19" t="s">
        <v>116</v>
      </c>
      <c r="E19">
        <v>30</v>
      </c>
      <c r="F19" t="s">
        <v>117</v>
      </c>
      <c r="G19" t="s">
        <v>40</v>
      </c>
      <c r="H19" t="s">
        <v>29</v>
      </c>
      <c r="I19" t="s">
        <v>58</v>
      </c>
      <c r="J19">
        <v>1</v>
      </c>
      <c r="K19">
        <v>0</v>
      </c>
      <c r="L19">
        <v>0</v>
      </c>
      <c r="M19">
        <v>0</v>
      </c>
      <c r="N19">
        <v>0</v>
      </c>
      <c r="O19">
        <v>0</v>
      </c>
      <c r="P19">
        <v>1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1</v>
      </c>
      <c r="X19">
        <v>1140.21</v>
      </c>
      <c r="Y19">
        <v>1140.21</v>
      </c>
      <c r="Z19">
        <f>AVERAGEIFS(Table1[FinalElo], Table1[Country], Table1[[#This Row],[Country]])</f>
        <v>980.88090909090931</v>
      </c>
      <c r="AA19" cm="1">
        <f t="array" ref="AA19">IF(COUNTIFS(Table1[Country],Table1[[#This Row],[Country]])=1,0, _xlfn.STDEV.S(IF(Table1[Country]=Table1[[#This Row],[Country]],Table1[FinalElo])))</f>
        <v>133.41794796376408</v>
      </c>
      <c r="AB19">
        <f>IF(Table1[[#This Row],[CStd]]=0,0, (Table1[[#This Row],[FinalElo]]-Table1[[#This Row],[CAvg]]) / Table1[[#This Row],[CStd]])</f>
        <v>1.194210324328808</v>
      </c>
      <c r="AC19" t="str">
        <f>IF(Table1[[#This Row],[CStd]]=0,"Normal", IF(ABS(Table1[[#This Row],[CZscore]])&gt;2,"Outlier","Normal"))</f>
        <v>Normal</v>
      </c>
    </row>
    <row r="20" spans="1:29" hidden="1" x14ac:dyDescent="0.35">
      <c r="A20" t="s">
        <v>83</v>
      </c>
      <c r="B20">
        <v>47.63</v>
      </c>
      <c r="C20">
        <v>152</v>
      </c>
      <c r="D20" t="s">
        <v>32</v>
      </c>
      <c r="E20">
        <v>27</v>
      </c>
      <c r="F20" t="s">
        <v>84</v>
      </c>
      <c r="G20" t="s">
        <v>54</v>
      </c>
      <c r="H20" t="s">
        <v>35</v>
      </c>
      <c r="I20" t="s">
        <v>55</v>
      </c>
      <c r="J20">
        <v>3</v>
      </c>
      <c r="K20">
        <v>0</v>
      </c>
      <c r="L20">
        <v>0</v>
      </c>
      <c r="M20">
        <v>0</v>
      </c>
      <c r="N20">
        <v>0</v>
      </c>
      <c r="O20">
        <v>0</v>
      </c>
      <c r="P20">
        <v>3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3</v>
      </c>
      <c r="X20">
        <v>1298.31</v>
      </c>
      <c r="Y20">
        <v>1298.31</v>
      </c>
      <c r="Z20">
        <f>AVERAGEIFS(Table1[FinalElo], Table1[Country], Table1[[#This Row],[Country]])</f>
        <v>1025.3786885245902</v>
      </c>
      <c r="AA20" cm="1">
        <f t="array" ref="AA20">IF(COUNTIFS(Table1[Country],Table1[[#This Row],[Country]])=1,0, _xlfn.STDEV.S(IF(Table1[Country]=Table1[[#This Row],[Country]],Table1[FinalElo])))</f>
        <v>144.71595558743479</v>
      </c>
      <c r="AB20">
        <f>IF(Table1[[#This Row],[CStd]]=0,0, (Table1[[#This Row],[FinalElo]]-Table1[[#This Row],[CAvg]]) / Table1[[#This Row],[CStd]])</f>
        <v>1.8859794026686265</v>
      </c>
      <c r="AC20" t="str">
        <f>IF(Table1[[#This Row],[CStd]]=0,"Normal", IF(ABS(Table1[[#This Row],[CZscore]])&gt;2,"Outlier","Normal"))</f>
        <v>Normal</v>
      </c>
    </row>
    <row r="21" spans="1:29" x14ac:dyDescent="0.35">
      <c r="A21" t="s">
        <v>2607</v>
      </c>
      <c r="B21">
        <v>65.3</v>
      </c>
      <c r="C21">
        <v>170</v>
      </c>
      <c r="D21" t="s">
        <v>116</v>
      </c>
      <c r="E21">
        <v>29</v>
      </c>
      <c r="F21" t="s">
        <v>117</v>
      </c>
      <c r="G21" t="s">
        <v>40</v>
      </c>
      <c r="H21" t="s">
        <v>29</v>
      </c>
      <c r="I21" t="s">
        <v>73</v>
      </c>
      <c r="J21">
        <v>0</v>
      </c>
      <c r="K21">
        <v>1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1</v>
      </c>
      <c r="T21">
        <v>0</v>
      </c>
      <c r="U21">
        <v>0</v>
      </c>
      <c r="V21">
        <v>0</v>
      </c>
      <c r="W21">
        <v>1</v>
      </c>
      <c r="X21">
        <v>957.23</v>
      </c>
      <c r="Y21">
        <v>1000</v>
      </c>
      <c r="Z21">
        <f>AVERAGEIFS(Table1[FinalElo], Table1[Country], Table1[[#This Row],[Country]])</f>
        <v>980.88090909090931</v>
      </c>
      <c r="AA21" cm="1">
        <f t="array" ref="AA21">IF(COUNTIFS(Table1[Country],Table1[[#This Row],[Country]])=1,0, _xlfn.STDEV.S(IF(Table1[Country]=Table1[[#This Row],[Country]],Table1[FinalElo])))</f>
        <v>133.41794796376408</v>
      </c>
      <c r="AB21">
        <f>IF(Table1[[#This Row],[CStd]]=0,0, (Table1[[#This Row],[FinalElo]]-Table1[[#This Row],[CAvg]]) / Table1[[#This Row],[CStd]])</f>
        <v>-0.17726932134597673</v>
      </c>
      <c r="AC21" t="str">
        <f>IF(Table1[[#This Row],[CStd]]=0,"Normal", IF(ABS(Table1[[#This Row],[CZscore]])&gt;2,"Outlier","Normal"))</f>
        <v>Normal</v>
      </c>
    </row>
    <row r="22" spans="1:29" x14ac:dyDescent="0.35">
      <c r="A22" t="s">
        <v>2606</v>
      </c>
      <c r="B22">
        <v>65.8</v>
      </c>
      <c r="C22">
        <v>173</v>
      </c>
      <c r="D22" t="s">
        <v>116</v>
      </c>
      <c r="E22">
        <v>32</v>
      </c>
      <c r="F22" t="s">
        <v>1662</v>
      </c>
      <c r="G22" t="s">
        <v>28</v>
      </c>
      <c r="H22" t="s">
        <v>29</v>
      </c>
      <c r="I22" t="s">
        <v>48</v>
      </c>
      <c r="J22">
        <v>0</v>
      </c>
      <c r="K22">
        <v>1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1</v>
      </c>
      <c r="V22">
        <v>0</v>
      </c>
      <c r="W22">
        <v>1</v>
      </c>
      <c r="X22">
        <v>928.01</v>
      </c>
      <c r="Y22">
        <v>1000</v>
      </c>
      <c r="Z22">
        <f>AVERAGEIFS(Table1[FinalElo], Table1[Country], Table1[[#This Row],[Country]])</f>
        <v>980.88090909090931</v>
      </c>
      <c r="AA22" cm="1">
        <f t="array" ref="AA22">IF(COUNTIFS(Table1[Country],Table1[[#This Row],[Country]])=1,0, _xlfn.STDEV.S(IF(Table1[Country]=Table1[[#This Row],[Country]],Table1[FinalElo])))</f>
        <v>133.41794796376408</v>
      </c>
      <c r="AB22">
        <f>IF(Table1[[#This Row],[CStd]]=0,0, (Table1[[#This Row],[FinalElo]]-Table1[[#This Row],[CAvg]]) / Table1[[#This Row],[CStd]])</f>
        <v>-0.39628033482623271</v>
      </c>
      <c r="AC22" t="str">
        <f>IF(Table1[[#This Row],[CStd]]=0,"Normal", IF(ABS(Table1[[#This Row],[CZscore]])&gt;2,"Outlier","Normal"))</f>
        <v>Normal</v>
      </c>
    </row>
    <row r="23" spans="1:29" x14ac:dyDescent="0.35">
      <c r="A23" t="s">
        <v>2605</v>
      </c>
      <c r="B23">
        <v>65.8</v>
      </c>
      <c r="C23">
        <v>172</v>
      </c>
      <c r="D23" t="s">
        <v>116</v>
      </c>
      <c r="E23">
        <v>34</v>
      </c>
      <c r="F23" t="s">
        <v>1009</v>
      </c>
      <c r="G23" t="s">
        <v>40</v>
      </c>
      <c r="H23" t="s">
        <v>29</v>
      </c>
      <c r="I23" t="s">
        <v>48</v>
      </c>
      <c r="J23">
        <v>1</v>
      </c>
      <c r="K23">
        <v>2</v>
      </c>
      <c r="L23">
        <v>0</v>
      </c>
      <c r="M23">
        <v>0</v>
      </c>
      <c r="N23">
        <v>0</v>
      </c>
      <c r="O23">
        <v>0</v>
      </c>
      <c r="P23">
        <v>1</v>
      </c>
      <c r="Q23">
        <v>0</v>
      </c>
      <c r="R23">
        <v>1</v>
      </c>
      <c r="S23">
        <v>1</v>
      </c>
      <c r="T23">
        <v>0</v>
      </c>
      <c r="U23">
        <v>0</v>
      </c>
      <c r="V23">
        <v>0</v>
      </c>
      <c r="W23">
        <v>3</v>
      </c>
      <c r="X23">
        <v>887.87</v>
      </c>
      <c r="Y23">
        <v>1032.25</v>
      </c>
      <c r="Z23">
        <f>AVERAGEIFS(Table1[FinalElo], Table1[Country], Table1[[#This Row],[Country]])</f>
        <v>980.88090909090931</v>
      </c>
      <c r="AA23" cm="1">
        <f t="array" ref="AA23">IF(COUNTIFS(Table1[Country],Table1[[#This Row],[Country]])=1,0, _xlfn.STDEV.S(IF(Table1[Country]=Table1[[#This Row],[Country]],Table1[FinalElo])))</f>
        <v>133.41794796376408</v>
      </c>
      <c r="AB23">
        <f>IF(Table1[[#This Row],[CStd]]=0,0, (Table1[[#This Row],[FinalElo]]-Table1[[#This Row],[CAvg]]) / Table1[[#This Row],[CStd]])</f>
        <v>-0.69713940673237451</v>
      </c>
      <c r="AC23" t="str">
        <f>IF(Table1[[#This Row],[CStd]]=0,"Normal", IF(ABS(Table1[[#This Row],[CZscore]])&gt;2,"Outlier","Normal"))</f>
        <v>Normal</v>
      </c>
    </row>
    <row r="24" spans="1:29" x14ac:dyDescent="0.35">
      <c r="A24" t="s">
        <v>2604</v>
      </c>
      <c r="B24">
        <v>61</v>
      </c>
      <c r="C24">
        <v>170</v>
      </c>
      <c r="D24" t="s">
        <v>116</v>
      </c>
      <c r="E24">
        <v>28</v>
      </c>
      <c r="F24" t="s">
        <v>117</v>
      </c>
      <c r="G24" t="s">
        <v>40</v>
      </c>
      <c r="H24" t="s">
        <v>29</v>
      </c>
      <c r="I24" t="s">
        <v>58</v>
      </c>
      <c r="J24">
        <v>7</v>
      </c>
      <c r="K24">
        <v>4</v>
      </c>
      <c r="L24">
        <v>0</v>
      </c>
      <c r="M24">
        <v>6</v>
      </c>
      <c r="N24">
        <v>0</v>
      </c>
      <c r="O24">
        <v>0</v>
      </c>
      <c r="P24">
        <v>0</v>
      </c>
      <c r="Q24">
        <v>0</v>
      </c>
      <c r="R24">
        <v>1</v>
      </c>
      <c r="S24">
        <v>1</v>
      </c>
      <c r="T24">
        <v>0</v>
      </c>
      <c r="U24">
        <v>2</v>
      </c>
      <c r="V24">
        <v>0</v>
      </c>
      <c r="W24">
        <v>11</v>
      </c>
      <c r="X24">
        <v>996.6</v>
      </c>
      <c r="Y24">
        <v>1324.98</v>
      </c>
      <c r="Z24">
        <f>AVERAGEIFS(Table1[FinalElo], Table1[Country], Table1[[#This Row],[Country]])</f>
        <v>980.88090909090931</v>
      </c>
      <c r="AA24" cm="1">
        <f t="array" ref="AA24">IF(COUNTIFS(Table1[Country],Table1[[#This Row],[Country]])=1,0, _xlfn.STDEV.S(IF(Table1[Country]=Table1[[#This Row],[Country]],Table1[FinalElo])))</f>
        <v>133.41794796376408</v>
      </c>
      <c r="AB24">
        <f>IF(Table1[[#This Row],[CStd]]=0,0, (Table1[[#This Row],[FinalElo]]-Table1[[#This Row],[CAvg]]) / Table1[[#This Row],[CStd]])</f>
        <v>0.1178184131070579</v>
      </c>
      <c r="AC24" t="str">
        <f>IF(Table1[[#This Row],[CStd]]=0,"Normal", IF(ABS(Table1[[#This Row],[CZscore]])&gt;2,"Outlier","Normal"))</f>
        <v>Normal</v>
      </c>
    </row>
    <row r="25" spans="1:29" hidden="1" x14ac:dyDescent="0.35">
      <c r="A25" t="s">
        <v>97</v>
      </c>
      <c r="B25">
        <v>51.9</v>
      </c>
      <c r="C25">
        <v>160</v>
      </c>
      <c r="D25" t="s">
        <v>89</v>
      </c>
      <c r="E25">
        <v>23</v>
      </c>
      <c r="F25" t="s">
        <v>87</v>
      </c>
      <c r="G25" t="s">
        <v>28</v>
      </c>
      <c r="H25" t="s">
        <v>35</v>
      </c>
      <c r="I25" t="s">
        <v>55</v>
      </c>
      <c r="J25">
        <v>7</v>
      </c>
      <c r="K25">
        <v>0</v>
      </c>
      <c r="L25">
        <v>0</v>
      </c>
      <c r="M25">
        <v>4</v>
      </c>
      <c r="N25">
        <v>0</v>
      </c>
      <c r="O25">
        <v>0</v>
      </c>
      <c r="P25">
        <v>3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7</v>
      </c>
      <c r="X25">
        <v>1434.42</v>
      </c>
      <c r="Y25">
        <v>1434.42</v>
      </c>
      <c r="Z25">
        <f>AVERAGEIFS(Table1[FinalElo], Table1[Country], Table1[[#This Row],[Country]])</f>
        <v>1012.0629025423733</v>
      </c>
      <c r="AA25" cm="1">
        <f t="array" ref="AA25">IF(COUNTIFS(Table1[Country],Table1[[#This Row],[Country]])=1,0, _xlfn.STDEV.S(IF(Table1[Country]=Table1[[#This Row],[Country]],Table1[FinalElo])))</f>
        <v>148.42180446198614</v>
      </c>
      <c r="AB25">
        <f>IF(Table1[[#This Row],[CStd]]=0,0, (Table1[[#This Row],[FinalElo]]-Table1[[#This Row],[CAvg]]) / Table1[[#This Row],[CStd]])</f>
        <v>2.845653972397304</v>
      </c>
      <c r="AC25" t="str">
        <f>IF(Table1[[#This Row],[CStd]]=0,"Normal", IF(ABS(Table1[[#This Row],[CZscore]])&gt;2,"Outlier","Normal"))</f>
        <v>Outlier</v>
      </c>
    </row>
    <row r="26" spans="1:29" x14ac:dyDescent="0.35">
      <c r="A26" t="s">
        <v>2603</v>
      </c>
      <c r="B26">
        <v>56.7</v>
      </c>
      <c r="C26">
        <v>170</v>
      </c>
      <c r="D26" t="s">
        <v>116</v>
      </c>
      <c r="E26">
        <v>27</v>
      </c>
      <c r="F26" t="s">
        <v>1429</v>
      </c>
      <c r="G26" t="s">
        <v>40</v>
      </c>
      <c r="H26" t="s">
        <v>29</v>
      </c>
      <c r="I26" t="s">
        <v>58</v>
      </c>
      <c r="J26">
        <v>0</v>
      </c>
      <c r="K26">
        <v>1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1</v>
      </c>
      <c r="T26">
        <v>0</v>
      </c>
      <c r="U26">
        <v>0</v>
      </c>
      <c r="V26">
        <v>0</v>
      </c>
      <c r="W26">
        <v>1</v>
      </c>
      <c r="X26">
        <v>928.01</v>
      </c>
      <c r="Y26">
        <v>1000</v>
      </c>
      <c r="Z26">
        <f>AVERAGEIFS(Table1[FinalElo], Table1[Country], Table1[[#This Row],[Country]])</f>
        <v>980.88090909090931</v>
      </c>
      <c r="AA26" cm="1">
        <f t="array" ref="AA26">IF(COUNTIFS(Table1[Country],Table1[[#This Row],[Country]])=1,0, _xlfn.STDEV.S(IF(Table1[Country]=Table1[[#This Row],[Country]],Table1[FinalElo])))</f>
        <v>133.41794796376408</v>
      </c>
      <c r="AB26">
        <f>IF(Table1[[#This Row],[CStd]]=0,0, (Table1[[#This Row],[FinalElo]]-Table1[[#This Row],[CAvg]]) / Table1[[#This Row],[CStd]])</f>
        <v>-0.39628033482623271</v>
      </c>
      <c r="AC26" t="str">
        <f>IF(Table1[[#This Row],[CStd]]=0,"Normal", IF(ABS(Table1[[#This Row],[CZscore]])&gt;2,"Outlier","Normal"))</f>
        <v>Normal</v>
      </c>
    </row>
    <row r="27" spans="1:29" x14ac:dyDescent="0.35">
      <c r="A27" t="s">
        <v>2602</v>
      </c>
      <c r="B27">
        <v>63</v>
      </c>
      <c r="C27">
        <v>177</v>
      </c>
      <c r="D27" t="s">
        <v>116</v>
      </c>
      <c r="E27">
        <v>27</v>
      </c>
      <c r="F27" t="s">
        <v>927</v>
      </c>
      <c r="G27" t="s">
        <v>40</v>
      </c>
      <c r="H27" t="s">
        <v>29</v>
      </c>
      <c r="I27" t="s">
        <v>73</v>
      </c>
      <c r="J27">
        <v>0</v>
      </c>
      <c r="K27">
        <v>1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1</v>
      </c>
      <c r="T27">
        <v>0</v>
      </c>
      <c r="U27">
        <v>0</v>
      </c>
      <c r="V27">
        <v>0</v>
      </c>
      <c r="W27">
        <v>1</v>
      </c>
      <c r="X27">
        <v>900</v>
      </c>
      <c r="Y27">
        <v>1000</v>
      </c>
      <c r="Z27">
        <f>AVERAGEIFS(Table1[FinalElo], Table1[Country], Table1[[#This Row],[Country]])</f>
        <v>980.88090909090931</v>
      </c>
      <c r="AA27" cm="1">
        <f t="array" ref="AA27">IF(COUNTIFS(Table1[Country],Table1[[#This Row],[Country]])=1,0, _xlfn.STDEV.S(IF(Table1[Country]=Table1[[#This Row],[Country]],Table1[FinalElo])))</f>
        <v>133.41794796376408</v>
      </c>
      <c r="AB27">
        <f>IF(Table1[[#This Row],[CStd]]=0,0, (Table1[[#This Row],[FinalElo]]-Table1[[#This Row],[CAvg]]) / Table1[[#This Row],[CStd]])</f>
        <v>-0.60622210373731977</v>
      </c>
      <c r="AC27" t="str">
        <f>IF(Table1[[#This Row],[CStd]]=0,"Normal", IF(ABS(Table1[[#This Row],[CZscore]])&gt;2,"Outlier","Normal"))</f>
        <v>Normal</v>
      </c>
    </row>
    <row r="28" spans="1:29" x14ac:dyDescent="0.35">
      <c r="A28" t="s">
        <v>2601</v>
      </c>
      <c r="B28">
        <v>63</v>
      </c>
      <c r="C28">
        <v>173</v>
      </c>
      <c r="D28" t="s">
        <v>116</v>
      </c>
      <c r="E28">
        <v>24</v>
      </c>
      <c r="F28" t="s">
        <v>196</v>
      </c>
      <c r="G28" t="s">
        <v>40</v>
      </c>
      <c r="H28" t="s">
        <v>29</v>
      </c>
      <c r="I28" t="s">
        <v>73</v>
      </c>
      <c r="J28">
        <v>1</v>
      </c>
      <c r="K28">
        <v>2</v>
      </c>
      <c r="L28">
        <v>0</v>
      </c>
      <c r="M28">
        <v>0</v>
      </c>
      <c r="N28">
        <v>1</v>
      </c>
      <c r="O28">
        <v>0</v>
      </c>
      <c r="P28">
        <v>0</v>
      </c>
      <c r="Q28">
        <v>0</v>
      </c>
      <c r="R28">
        <v>1</v>
      </c>
      <c r="S28">
        <v>0</v>
      </c>
      <c r="T28">
        <v>0</v>
      </c>
      <c r="U28">
        <v>1</v>
      </c>
      <c r="V28">
        <v>0</v>
      </c>
      <c r="W28">
        <v>3</v>
      </c>
      <c r="X28">
        <v>922.97</v>
      </c>
      <c r="Y28">
        <v>1032.22</v>
      </c>
      <c r="Z28">
        <f>AVERAGEIFS(Table1[FinalElo], Table1[Country], Table1[[#This Row],[Country]])</f>
        <v>980.88090909090931</v>
      </c>
      <c r="AA28" cm="1">
        <f t="array" ref="AA28">IF(COUNTIFS(Table1[Country],Table1[[#This Row],[Country]])=1,0, _xlfn.STDEV.S(IF(Table1[Country]=Table1[[#This Row],[Country]],Table1[FinalElo])))</f>
        <v>133.41794796376408</v>
      </c>
      <c r="AB28">
        <f>IF(Table1[[#This Row],[CStd]]=0,0, (Table1[[#This Row],[FinalElo]]-Table1[[#This Row],[CAvg]]) / Table1[[#This Row],[CStd]])</f>
        <v>-0.43405636179202606</v>
      </c>
      <c r="AC28" t="str">
        <f>IF(Table1[[#This Row],[CStd]]=0,"Normal", IF(ABS(Table1[[#This Row],[CZscore]])&gt;2,"Outlier","Normal"))</f>
        <v>Normal</v>
      </c>
    </row>
    <row r="29" spans="1:29" x14ac:dyDescent="0.35">
      <c r="A29" t="s">
        <v>2599</v>
      </c>
      <c r="B29">
        <v>63</v>
      </c>
      <c r="C29">
        <v>170</v>
      </c>
      <c r="D29" t="s">
        <v>116</v>
      </c>
      <c r="E29">
        <v>29</v>
      </c>
      <c r="F29" t="s">
        <v>2600</v>
      </c>
      <c r="G29" t="s">
        <v>40</v>
      </c>
      <c r="H29" t="s">
        <v>29</v>
      </c>
      <c r="I29" t="s">
        <v>73</v>
      </c>
      <c r="J29">
        <v>1</v>
      </c>
      <c r="K29">
        <v>0</v>
      </c>
      <c r="L29">
        <v>0</v>
      </c>
      <c r="M29">
        <v>0</v>
      </c>
      <c r="N29">
        <v>0</v>
      </c>
      <c r="O29">
        <v>0</v>
      </c>
      <c r="P29">
        <v>1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1</v>
      </c>
      <c r="X29">
        <v>1109.25</v>
      </c>
      <c r="Y29">
        <v>1109.25</v>
      </c>
      <c r="Z29">
        <f>AVERAGEIFS(Table1[FinalElo], Table1[Country], Table1[[#This Row],[Country]])</f>
        <v>980.88090909090931</v>
      </c>
      <c r="AA29" cm="1">
        <f t="array" ref="AA29">IF(COUNTIFS(Table1[Country],Table1[[#This Row],[Country]])=1,0, _xlfn.STDEV.S(IF(Table1[Country]=Table1[[#This Row],[Country]],Table1[FinalElo])))</f>
        <v>133.41794796376408</v>
      </c>
      <c r="AB29">
        <f>IF(Table1[[#This Row],[CStd]]=0,0, (Table1[[#This Row],[FinalElo]]-Table1[[#This Row],[CAvg]]) / Table1[[#This Row],[CStd]])</f>
        <v>0.96215758725321843</v>
      </c>
      <c r="AC29" t="str">
        <f>IF(Table1[[#This Row],[CStd]]=0,"Normal", IF(ABS(Table1[[#This Row],[CZscore]])&gt;2,"Outlier","Normal"))</f>
        <v>Normal</v>
      </c>
    </row>
    <row r="30" spans="1:29" hidden="1" x14ac:dyDescent="0.35">
      <c r="A30" t="s">
        <v>108</v>
      </c>
      <c r="B30">
        <v>57.4</v>
      </c>
      <c r="C30">
        <v>178</v>
      </c>
      <c r="D30" t="s">
        <v>109</v>
      </c>
      <c r="E30">
        <v>20</v>
      </c>
      <c r="F30" t="s">
        <v>110</v>
      </c>
      <c r="G30" t="s">
        <v>34</v>
      </c>
      <c r="H30" t="s">
        <v>35</v>
      </c>
      <c r="I30" t="s">
        <v>58</v>
      </c>
      <c r="J30">
        <v>5</v>
      </c>
      <c r="K30">
        <v>0</v>
      </c>
      <c r="L30">
        <v>0</v>
      </c>
      <c r="M30">
        <v>3</v>
      </c>
      <c r="N30">
        <v>0</v>
      </c>
      <c r="O30">
        <v>0</v>
      </c>
      <c r="P30">
        <v>2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5</v>
      </c>
      <c r="X30">
        <v>1456.7</v>
      </c>
      <c r="Y30">
        <v>1456.7</v>
      </c>
      <c r="Z30">
        <f>AVERAGEIFS(Table1[FinalElo], Table1[Country], Table1[[#This Row],[Country]])</f>
        <v>1017.2428571428571</v>
      </c>
      <c r="AA30" cm="1">
        <f t="array" ref="AA30">IF(COUNTIFS(Table1[Country],Table1[[#This Row],[Country]])=1,0, _xlfn.STDEV.S(IF(Table1[Country]=Table1[[#This Row],[Country]],Table1[FinalElo])))</f>
        <v>205.21100910317449</v>
      </c>
      <c r="AB30">
        <f>IF(Table1[[#This Row],[CStd]]=0,0, (Table1[[#This Row],[FinalElo]]-Table1[[#This Row],[CAvg]]) / Table1[[#This Row],[CStd]])</f>
        <v>2.1414891178484283</v>
      </c>
      <c r="AC30" t="str">
        <f>IF(Table1[[#This Row],[CStd]]=0,"Normal", IF(ABS(Table1[[#This Row],[CZscore]])&gt;2,"Outlier","Normal"))</f>
        <v>Outlier</v>
      </c>
    </row>
    <row r="31" spans="1:29" hidden="1" x14ac:dyDescent="0.35">
      <c r="A31" t="s">
        <v>111</v>
      </c>
      <c r="B31">
        <v>52.2</v>
      </c>
      <c r="C31">
        <v>157</v>
      </c>
      <c r="D31" t="s">
        <v>89</v>
      </c>
      <c r="E31">
        <v>27</v>
      </c>
      <c r="F31" t="s">
        <v>110</v>
      </c>
      <c r="G31" t="s">
        <v>40</v>
      </c>
      <c r="H31" t="s">
        <v>35</v>
      </c>
      <c r="I31" t="s">
        <v>36</v>
      </c>
      <c r="J31">
        <v>14</v>
      </c>
      <c r="K31">
        <v>4</v>
      </c>
      <c r="L31">
        <v>0</v>
      </c>
      <c r="M31">
        <v>3</v>
      </c>
      <c r="N31">
        <v>2</v>
      </c>
      <c r="O31">
        <v>0</v>
      </c>
      <c r="P31">
        <v>6</v>
      </c>
      <c r="Q31">
        <v>2</v>
      </c>
      <c r="R31">
        <v>0</v>
      </c>
      <c r="S31">
        <v>2</v>
      </c>
      <c r="T31">
        <v>0</v>
      </c>
      <c r="U31">
        <v>0</v>
      </c>
      <c r="V31">
        <v>1</v>
      </c>
      <c r="W31">
        <v>18</v>
      </c>
      <c r="X31">
        <v>1498.96</v>
      </c>
      <c r="Y31">
        <v>1498.96</v>
      </c>
      <c r="Z31">
        <f>AVERAGEIFS(Table1[FinalElo], Table1[Country], Table1[[#This Row],[Country]])</f>
        <v>1012.0629025423733</v>
      </c>
      <c r="AA31" cm="1">
        <f t="array" ref="AA31">IF(COUNTIFS(Table1[Country],Table1[[#This Row],[Country]])=1,0, _xlfn.STDEV.S(IF(Table1[Country]=Table1[[#This Row],[Country]],Table1[FinalElo])))</f>
        <v>148.42180446198614</v>
      </c>
      <c r="AB31">
        <f>IF(Table1[[#This Row],[CStd]]=0,0, (Table1[[#This Row],[FinalElo]]-Table1[[#This Row],[CAvg]]) / Table1[[#This Row],[CStd]])</f>
        <v>3.2804957413270839</v>
      </c>
      <c r="AC31" t="str">
        <f>IF(Table1[[#This Row],[CStd]]=0,"Normal", IF(ABS(Table1[[#This Row],[CZscore]])&gt;2,"Outlier","Normal"))</f>
        <v>Outlier</v>
      </c>
    </row>
    <row r="32" spans="1:29" x14ac:dyDescent="0.35">
      <c r="A32" t="s">
        <v>2598</v>
      </c>
      <c r="B32">
        <v>58.059775999999999</v>
      </c>
      <c r="C32">
        <v>171</v>
      </c>
      <c r="D32" t="s">
        <v>332</v>
      </c>
      <c r="E32">
        <v>23</v>
      </c>
      <c r="F32" t="s">
        <v>154</v>
      </c>
      <c r="G32" t="s">
        <v>34</v>
      </c>
      <c r="H32" t="s">
        <v>29</v>
      </c>
      <c r="I32" t="s">
        <v>58</v>
      </c>
      <c r="J32">
        <v>5</v>
      </c>
      <c r="K32">
        <v>5</v>
      </c>
      <c r="L32">
        <v>0</v>
      </c>
      <c r="M32">
        <v>0</v>
      </c>
      <c r="N32">
        <v>0</v>
      </c>
      <c r="O32">
        <v>0</v>
      </c>
      <c r="P32">
        <v>2</v>
      </c>
      <c r="Q32">
        <v>1</v>
      </c>
      <c r="R32">
        <v>0</v>
      </c>
      <c r="S32">
        <v>0</v>
      </c>
      <c r="T32">
        <v>0</v>
      </c>
      <c r="U32">
        <v>2</v>
      </c>
      <c r="V32">
        <v>2</v>
      </c>
      <c r="W32">
        <v>10</v>
      </c>
      <c r="X32">
        <v>929.98</v>
      </c>
      <c r="Y32">
        <v>1172.1199999999999</v>
      </c>
      <c r="Z32">
        <f>AVERAGEIFS(Table1[FinalElo], Table1[Country], Table1[[#This Row],[Country]])</f>
        <v>975.5858333333332</v>
      </c>
      <c r="AA32" cm="1">
        <f t="array" ref="AA32">IF(COUNTIFS(Table1[Country],Table1[[#This Row],[Country]])=1,0, _xlfn.STDEV.S(IF(Table1[Country]=Table1[[#This Row],[Country]],Table1[FinalElo])))</f>
        <v>72.69168633948992</v>
      </c>
      <c r="AB32">
        <f>IF(Table1[[#This Row],[CStd]]=0,0, (Table1[[#This Row],[FinalElo]]-Table1[[#This Row],[CAvg]]) / Table1[[#This Row],[CStd]])</f>
        <v>-0.62738719693943479</v>
      </c>
      <c r="AC32" t="str">
        <f>IF(Table1[[#This Row],[CStd]]=0,"Normal", IF(ABS(Table1[[#This Row],[CZscore]])&gt;2,"Outlier","Normal"))</f>
        <v>Normal</v>
      </c>
    </row>
    <row r="33" spans="1:29" x14ac:dyDescent="0.35">
      <c r="A33" t="s">
        <v>2596</v>
      </c>
      <c r="B33">
        <v>56.7</v>
      </c>
      <c r="C33">
        <v>174</v>
      </c>
      <c r="D33" t="s">
        <v>89</v>
      </c>
      <c r="E33">
        <v>24</v>
      </c>
      <c r="F33" t="s">
        <v>2597</v>
      </c>
      <c r="G33" t="s">
        <v>34</v>
      </c>
      <c r="H33" t="s">
        <v>29</v>
      </c>
      <c r="I33" t="s">
        <v>58</v>
      </c>
      <c r="J33">
        <v>3</v>
      </c>
      <c r="K33">
        <v>0</v>
      </c>
      <c r="L33">
        <v>0</v>
      </c>
      <c r="M33">
        <v>2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3</v>
      </c>
      <c r="X33">
        <v>1234.19</v>
      </c>
      <c r="Y33">
        <v>1234.19</v>
      </c>
      <c r="Z33">
        <f>AVERAGEIFS(Table1[FinalElo], Table1[Country], Table1[[#This Row],[Country]])</f>
        <v>1012.0629025423733</v>
      </c>
      <c r="AA33" cm="1">
        <f t="array" ref="AA33">IF(COUNTIFS(Table1[Country],Table1[[#This Row],[Country]])=1,0, _xlfn.STDEV.S(IF(Table1[Country]=Table1[[#This Row],[Country]],Table1[FinalElo])))</f>
        <v>148.42180446198614</v>
      </c>
      <c r="AB33">
        <f>IF(Table1[[#This Row],[CStd]]=0,0, (Table1[[#This Row],[FinalElo]]-Table1[[#This Row],[CAvg]]) / Table1[[#This Row],[CStd]])</f>
        <v>1.4965934302093602</v>
      </c>
      <c r="AC33" t="str">
        <f>IF(Table1[[#This Row],[CStd]]=0,"Normal", IF(ABS(Table1[[#This Row],[CZscore]])&gt;2,"Outlier","Normal"))</f>
        <v>Normal</v>
      </c>
    </row>
    <row r="34" spans="1:29" x14ac:dyDescent="0.35">
      <c r="A34" t="s">
        <v>2595</v>
      </c>
      <c r="B34">
        <v>64.410064000000006</v>
      </c>
      <c r="C34">
        <v>168</v>
      </c>
      <c r="D34" t="s">
        <v>89</v>
      </c>
      <c r="E34">
        <v>22</v>
      </c>
      <c r="F34" t="s">
        <v>154</v>
      </c>
      <c r="G34" t="s">
        <v>34</v>
      </c>
      <c r="H34" t="s">
        <v>29</v>
      </c>
      <c r="I34" t="s">
        <v>73</v>
      </c>
      <c r="J34">
        <v>5</v>
      </c>
      <c r="K34">
        <v>4</v>
      </c>
      <c r="L34">
        <v>0</v>
      </c>
      <c r="M34">
        <v>0</v>
      </c>
      <c r="N34">
        <v>0</v>
      </c>
      <c r="O34">
        <v>0</v>
      </c>
      <c r="P34">
        <v>4</v>
      </c>
      <c r="Q34">
        <v>0</v>
      </c>
      <c r="R34">
        <v>0</v>
      </c>
      <c r="S34">
        <v>0</v>
      </c>
      <c r="T34">
        <v>0</v>
      </c>
      <c r="U34">
        <v>2</v>
      </c>
      <c r="V34">
        <v>2</v>
      </c>
      <c r="W34">
        <v>9</v>
      </c>
      <c r="X34">
        <v>1246.6400000000001</v>
      </c>
      <c r="Y34">
        <v>1246.6400000000001</v>
      </c>
      <c r="Z34">
        <f>AVERAGEIFS(Table1[FinalElo], Table1[Country], Table1[[#This Row],[Country]])</f>
        <v>1012.0629025423733</v>
      </c>
      <c r="AA34" cm="1">
        <f t="array" ref="AA34">IF(COUNTIFS(Table1[Country],Table1[[#This Row],[Country]])=1,0, _xlfn.STDEV.S(IF(Table1[Country]=Table1[[#This Row],[Country]],Table1[FinalElo])))</f>
        <v>148.42180446198614</v>
      </c>
      <c r="AB34">
        <f>IF(Table1[[#This Row],[CStd]]=0,0, (Table1[[#This Row],[FinalElo]]-Table1[[#This Row],[CAvg]]) / Table1[[#This Row],[CStd]])</f>
        <v>1.5804759840236735</v>
      </c>
      <c r="AC34" t="str">
        <f>IF(Table1[[#This Row],[CStd]]=0,"Normal", IF(ABS(Table1[[#This Row],[CZscore]])&gt;2,"Outlier","Normal"))</f>
        <v>Normal</v>
      </c>
    </row>
    <row r="35" spans="1:29" x14ac:dyDescent="0.35">
      <c r="A35" t="s">
        <v>2594</v>
      </c>
      <c r="B35">
        <v>60.9</v>
      </c>
      <c r="C35">
        <v>165</v>
      </c>
      <c r="D35" t="s">
        <v>513</v>
      </c>
      <c r="E35">
        <v>33</v>
      </c>
      <c r="F35" t="s">
        <v>1323</v>
      </c>
      <c r="G35" t="s">
        <v>40</v>
      </c>
      <c r="H35" t="s">
        <v>29</v>
      </c>
      <c r="I35" t="s">
        <v>58</v>
      </c>
      <c r="J35">
        <v>2</v>
      </c>
      <c r="K35">
        <v>2</v>
      </c>
      <c r="L35">
        <v>0</v>
      </c>
      <c r="M35">
        <v>1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1</v>
      </c>
      <c r="V35">
        <v>1</v>
      </c>
      <c r="W35">
        <v>4</v>
      </c>
      <c r="X35">
        <v>1105.48</v>
      </c>
      <c r="Y35">
        <v>1162.07</v>
      </c>
      <c r="Z35">
        <f>AVERAGEIFS(Table1[FinalElo], Table1[Country], Table1[[#This Row],[Country]])</f>
        <v>991.92857142857144</v>
      </c>
      <c r="AA35" cm="1">
        <f t="array" ref="AA35">IF(COUNTIFS(Table1[Country],Table1[[#This Row],[Country]])=1,0, _xlfn.STDEV.S(IF(Table1[Country]=Table1[[#This Row],[Country]],Table1[FinalElo])))</f>
        <v>154.84924955929111</v>
      </c>
      <c r="AB35">
        <f>IF(Table1[[#This Row],[CStd]]=0,0, (Table1[[#This Row],[FinalElo]]-Table1[[#This Row],[CAvg]]) / Table1[[#This Row],[CStd]])</f>
        <v>0.73330306019952796</v>
      </c>
      <c r="AC35" t="str">
        <f>IF(Table1[[#This Row],[CStd]]=0,"Normal", IF(ABS(Table1[[#This Row],[CZscore]])&gt;2,"Outlier","Normal"))</f>
        <v>Normal</v>
      </c>
    </row>
    <row r="36" spans="1:29" x14ac:dyDescent="0.35">
      <c r="A36" t="s">
        <v>2593</v>
      </c>
      <c r="B36">
        <v>60.9</v>
      </c>
      <c r="C36">
        <v>168</v>
      </c>
      <c r="D36" t="s">
        <v>32</v>
      </c>
      <c r="E36">
        <v>33</v>
      </c>
      <c r="F36" t="s">
        <v>148</v>
      </c>
      <c r="G36" t="s">
        <v>40</v>
      </c>
      <c r="H36" t="s">
        <v>29</v>
      </c>
      <c r="I36" t="s">
        <v>58</v>
      </c>
      <c r="J36">
        <v>1</v>
      </c>
      <c r="K36">
        <v>1</v>
      </c>
      <c r="L36">
        <v>0</v>
      </c>
      <c r="M36">
        <v>0</v>
      </c>
      <c r="N36">
        <v>0</v>
      </c>
      <c r="O36">
        <v>0</v>
      </c>
      <c r="P36">
        <v>1</v>
      </c>
      <c r="Q36">
        <v>0</v>
      </c>
      <c r="R36">
        <v>1</v>
      </c>
      <c r="S36">
        <v>0</v>
      </c>
      <c r="T36">
        <v>0</v>
      </c>
      <c r="U36">
        <v>0</v>
      </c>
      <c r="V36">
        <v>0</v>
      </c>
      <c r="W36">
        <v>2</v>
      </c>
      <c r="X36">
        <v>1078.48</v>
      </c>
      <c r="Y36">
        <v>1132.94</v>
      </c>
      <c r="Z36">
        <f>AVERAGEIFS(Table1[FinalElo], Table1[Country], Table1[[#This Row],[Country]])</f>
        <v>1025.3786885245902</v>
      </c>
      <c r="AA36" cm="1">
        <f t="array" ref="AA36">IF(COUNTIFS(Table1[Country],Table1[[#This Row],[Country]])=1,0, _xlfn.STDEV.S(IF(Table1[Country]=Table1[[#This Row],[Country]],Table1[FinalElo])))</f>
        <v>144.71595558743479</v>
      </c>
      <c r="AB36">
        <f>IF(Table1[[#This Row],[CStd]]=0,0, (Table1[[#This Row],[FinalElo]]-Table1[[#This Row],[CAvg]]) / Table1[[#This Row],[CStd]])</f>
        <v>0.36693473957214734</v>
      </c>
      <c r="AC36" t="str">
        <f>IF(Table1[[#This Row],[CStd]]=0,"Normal", IF(ABS(Table1[[#This Row],[CZscore]])&gt;2,"Outlier","Normal"))</f>
        <v>Normal</v>
      </c>
    </row>
    <row r="37" spans="1:29" x14ac:dyDescent="0.35">
      <c r="A37" t="s">
        <v>2591</v>
      </c>
      <c r="B37">
        <v>57.3</v>
      </c>
      <c r="C37">
        <v>168</v>
      </c>
      <c r="D37" t="s">
        <v>89</v>
      </c>
      <c r="E37">
        <v>24</v>
      </c>
      <c r="F37" t="s">
        <v>2592</v>
      </c>
      <c r="G37" t="s">
        <v>34</v>
      </c>
      <c r="H37" t="s">
        <v>29</v>
      </c>
      <c r="I37" t="s">
        <v>58</v>
      </c>
      <c r="J37">
        <v>1</v>
      </c>
      <c r="K37">
        <v>3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1</v>
      </c>
      <c r="V37">
        <v>1</v>
      </c>
      <c r="W37">
        <v>4</v>
      </c>
      <c r="X37">
        <v>877.57</v>
      </c>
      <c r="Y37">
        <v>1028.01</v>
      </c>
      <c r="Z37">
        <f>AVERAGEIFS(Table1[FinalElo], Table1[Country], Table1[[#This Row],[Country]])</f>
        <v>1012.0629025423733</v>
      </c>
      <c r="AA37" cm="1">
        <f t="array" ref="AA37">IF(COUNTIFS(Table1[Country],Table1[[#This Row],[Country]])=1,0, _xlfn.STDEV.S(IF(Table1[Country]=Table1[[#This Row],[Country]],Table1[FinalElo])))</f>
        <v>148.42180446198614</v>
      </c>
      <c r="AB37">
        <f>IF(Table1[[#This Row],[CStd]]=0,0, (Table1[[#This Row],[FinalElo]]-Table1[[#This Row],[CAvg]]) / Table1[[#This Row],[CStd]])</f>
        <v>-0.90615326386777384</v>
      </c>
      <c r="AC37" t="str">
        <f>IF(Table1[[#This Row],[CStd]]=0,"Normal", IF(ABS(Table1[[#This Row],[CZscore]])&gt;2,"Outlier","Normal"))</f>
        <v>Normal</v>
      </c>
    </row>
    <row r="38" spans="1:29" hidden="1" x14ac:dyDescent="0.35">
      <c r="A38" t="s">
        <v>123</v>
      </c>
      <c r="B38">
        <v>58.5</v>
      </c>
      <c r="C38">
        <v>165</v>
      </c>
      <c r="D38" t="s">
        <v>116</v>
      </c>
      <c r="E38">
        <v>37</v>
      </c>
      <c r="F38" t="s">
        <v>90</v>
      </c>
      <c r="G38" t="s">
        <v>40</v>
      </c>
      <c r="H38" t="s">
        <v>35</v>
      </c>
      <c r="I38" t="s">
        <v>58</v>
      </c>
      <c r="J38">
        <v>11</v>
      </c>
      <c r="K38">
        <v>1</v>
      </c>
      <c r="L38">
        <v>0</v>
      </c>
      <c r="M38">
        <v>4</v>
      </c>
      <c r="N38">
        <v>0</v>
      </c>
      <c r="O38">
        <v>0</v>
      </c>
      <c r="P38">
        <v>6</v>
      </c>
      <c r="Q38">
        <v>0</v>
      </c>
      <c r="R38">
        <v>0</v>
      </c>
      <c r="S38">
        <v>1</v>
      </c>
      <c r="T38">
        <v>0</v>
      </c>
      <c r="U38">
        <v>0</v>
      </c>
      <c r="V38">
        <v>0</v>
      </c>
      <c r="W38">
        <v>12</v>
      </c>
      <c r="X38">
        <v>1606.98</v>
      </c>
      <c r="Y38">
        <v>1606.98</v>
      </c>
      <c r="Z38">
        <f>AVERAGEIFS(Table1[FinalElo], Table1[Country], Table1[[#This Row],[Country]])</f>
        <v>980.88090909090931</v>
      </c>
      <c r="AA38" cm="1">
        <f t="array" ref="AA38">IF(COUNTIFS(Table1[Country],Table1[[#This Row],[Country]])=1,0, _xlfn.STDEV.S(IF(Table1[Country]=Table1[[#This Row],[Country]],Table1[FinalElo])))</f>
        <v>133.41794796376408</v>
      </c>
      <c r="AB38">
        <f>IF(Table1[[#This Row],[CStd]]=0,0, (Table1[[#This Row],[FinalElo]]-Table1[[#This Row],[CAvg]]) / Table1[[#This Row],[CStd]])</f>
        <v>4.6927651074287047</v>
      </c>
      <c r="AC38" t="str">
        <f>IF(Table1[[#This Row],[CStd]]=0,"Normal", IF(ABS(Table1[[#This Row],[CZscore]])&gt;2,"Outlier","Normal"))</f>
        <v>Outlier</v>
      </c>
    </row>
    <row r="39" spans="1:29" x14ac:dyDescent="0.35">
      <c r="A39" t="s">
        <v>2589</v>
      </c>
      <c r="B39">
        <v>76.599999999999994</v>
      </c>
      <c r="C39">
        <v>185</v>
      </c>
      <c r="D39" t="s">
        <v>71</v>
      </c>
      <c r="E39">
        <v>25</v>
      </c>
      <c r="F39" t="s">
        <v>2590</v>
      </c>
      <c r="G39" t="s">
        <v>40</v>
      </c>
      <c r="H39" t="s">
        <v>29</v>
      </c>
      <c r="I39" t="s">
        <v>30</v>
      </c>
      <c r="J39">
        <v>0</v>
      </c>
      <c r="K39">
        <v>1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1</v>
      </c>
      <c r="W39">
        <v>1</v>
      </c>
      <c r="X39">
        <v>871.99</v>
      </c>
      <c r="Y39">
        <v>1000</v>
      </c>
      <c r="Z39">
        <f>AVERAGEIFS(Table1[FinalElo], Table1[Country], Table1[[#This Row],[Country]])</f>
        <v>991.47826086956536</v>
      </c>
      <c r="AA39" cm="1">
        <f t="array" ref="AA39">IF(COUNTIFS(Table1[Country],Table1[[#This Row],[Country]])=1,0, _xlfn.STDEV.S(IF(Table1[Country]=Table1[[#This Row],[Country]],Table1[FinalElo])))</f>
        <v>164.61500422203164</v>
      </c>
      <c r="AB39">
        <f>IF(Table1[[#This Row],[CStd]]=0,0, (Table1[[#This Row],[FinalElo]]-Table1[[#This Row],[CAvg]]) / Table1[[#This Row],[CStd]])</f>
        <v>-0.72586494429390147</v>
      </c>
      <c r="AC39" t="str">
        <f>IF(Table1[[#This Row],[CStd]]=0,"Normal", IF(ABS(Table1[[#This Row],[CZscore]])&gt;2,"Outlier","Normal"))</f>
        <v>Normal</v>
      </c>
    </row>
    <row r="40" spans="1:29" x14ac:dyDescent="0.35">
      <c r="A40" t="s">
        <v>2587</v>
      </c>
      <c r="B40">
        <v>70.31</v>
      </c>
      <c r="C40">
        <v>-1</v>
      </c>
      <c r="D40" t="s">
        <v>468</v>
      </c>
      <c r="E40">
        <v>28</v>
      </c>
      <c r="F40" t="s">
        <v>2588</v>
      </c>
      <c r="G40" t="s">
        <v>40</v>
      </c>
      <c r="H40" t="s">
        <v>29</v>
      </c>
      <c r="I40" t="s">
        <v>30</v>
      </c>
      <c r="J40">
        <v>0</v>
      </c>
      <c r="K40">
        <v>1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1</v>
      </c>
      <c r="S40">
        <v>0</v>
      </c>
      <c r="T40">
        <v>0</v>
      </c>
      <c r="U40">
        <v>0</v>
      </c>
      <c r="V40">
        <v>0</v>
      </c>
      <c r="W40">
        <v>1</v>
      </c>
      <c r="X40">
        <v>900</v>
      </c>
      <c r="Y40">
        <v>1000</v>
      </c>
      <c r="Z40">
        <f>AVERAGEIFS(Table1[FinalElo], Table1[Country], Table1[[#This Row],[Country]])</f>
        <v>1128.0050000000001</v>
      </c>
      <c r="AA40" cm="1">
        <f t="array" ref="AA40">IF(COUNTIFS(Table1[Country],Table1[[#This Row],[Country]])=1,0, _xlfn.STDEV.S(IF(Table1[Country]=Table1[[#This Row],[Country]],Table1[FinalElo])))</f>
        <v>322.44776328887679</v>
      </c>
      <c r="AB40">
        <f>IF(Table1[[#This Row],[CStd]]=0,0, (Table1[[#This Row],[FinalElo]]-Table1[[#This Row],[CAvg]]) / Table1[[#This Row],[CStd]])</f>
        <v>-0.70710678118654946</v>
      </c>
      <c r="AC40" t="str">
        <f>IF(Table1[[#This Row],[CStd]]=0,"Normal", IF(ABS(Table1[[#This Row],[CZscore]])&gt;2,"Outlier","Normal"))</f>
        <v>Normal</v>
      </c>
    </row>
    <row r="41" spans="1:29" x14ac:dyDescent="0.35">
      <c r="A41" t="s">
        <v>2586</v>
      </c>
      <c r="B41">
        <v>67.8</v>
      </c>
      <c r="C41">
        <v>180</v>
      </c>
      <c r="D41" t="s">
        <v>1366</v>
      </c>
      <c r="E41">
        <v>25</v>
      </c>
      <c r="F41" t="s">
        <v>99</v>
      </c>
      <c r="G41" t="s">
        <v>34</v>
      </c>
      <c r="H41" t="s">
        <v>29</v>
      </c>
      <c r="I41" t="s">
        <v>48</v>
      </c>
      <c r="J41">
        <v>0</v>
      </c>
      <c r="K41">
        <v>1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1</v>
      </c>
      <c r="S41">
        <v>0</v>
      </c>
      <c r="T41">
        <v>0</v>
      </c>
      <c r="U41">
        <v>0</v>
      </c>
      <c r="V41">
        <v>0</v>
      </c>
      <c r="W41">
        <v>1</v>
      </c>
      <c r="X41">
        <v>871.99</v>
      </c>
      <c r="Y41">
        <v>1000</v>
      </c>
      <c r="Z41">
        <f>AVERAGEIFS(Table1[FinalElo], Table1[Country], Table1[[#This Row],[Country]])</f>
        <v>956.19333333333327</v>
      </c>
      <c r="AA41" cm="1">
        <f t="array" ref="AA41">IF(COUNTIFS(Table1[Country],Table1[[#This Row],[Country]])=1,0, _xlfn.STDEV.S(IF(Table1[Country]=Table1[[#This Row],[Country]],Table1[FinalElo])))</f>
        <v>95.923712266571499</v>
      </c>
      <c r="AB41">
        <f>IF(Table1[[#This Row],[CStd]]=0,0, (Table1[[#This Row],[FinalElo]]-Table1[[#This Row],[CAvg]]) / Table1[[#This Row],[CStd]])</f>
        <v>-0.87781562393386769</v>
      </c>
      <c r="AC41" t="str">
        <f>IF(Table1[[#This Row],[CStd]]=0,"Normal", IF(ABS(Table1[[#This Row],[CZscore]])&gt;2,"Outlier","Normal"))</f>
        <v>Normal</v>
      </c>
    </row>
    <row r="42" spans="1:29" x14ac:dyDescent="0.35">
      <c r="A42" t="s">
        <v>2585</v>
      </c>
      <c r="B42">
        <v>61.2</v>
      </c>
      <c r="C42">
        <v>170</v>
      </c>
      <c r="D42" t="s">
        <v>116</v>
      </c>
      <c r="E42">
        <v>30</v>
      </c>
      <c r="F42" t="s">
        <v>580</v>
      </c>
      <c r="G42" t="s">
        <v>40</v>
      </c>
      <c r="H42" t="s">
        <v>29</v>
      </c>
      <c r="I42" t="s">
        <v>58</v>
      </c>
      <c r="J42">
        <v>0</v>
      </c>
      <c r="K42">
        <v>1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1</v>
      </c>
      <c r="V42">
        <v>0</v>
      </c>
      <c r="W42">
        <v>1</v>
      </c>
      <c r="X42">
        <v>884.32</v>
      </c>
      <c r="Y42">
        <v>1000</v>
      </c>
      <c r="Z42">
        <f>AVERAGEIFS(Table1[FinalElo], Table1[Country], Table1[[#This Row],[Country]])</f>
        <v>980.88090909090931</v>
      </c>
      <c r="AA42" cm="1">
        <f t="array" ref="AA42">IF(COUNTIFS(Table1[Country],Table1[[#This Row],[Country]])=1,0, _xlfn.STDEV.S(IF(Table1[Country]=Table1[[#This Row],[Country]],Table1[FinalElo])))</f>
        <v>133.41794796376408</v>
      </c>
      <c r="AB42">
        <f>IF(Table1[[#This Row],[CStd]]=0,0, (Table1[[#This Row],[FinalElo]]-Table1[[#This Row],[CAvg]]) / Table1[[#This Row],[CStd]])</f>
        <v>-0.72374752096423278</v>
      </c>
      <c r="AC42" t="str">
        <f>IF(Table1[[#This Row],[CStd]]=0,"Normal", IF(ABS(Table1[[#This Row],[CZscore]])&gt;2,"Outlier","Normal"))</f>
        <v>Normal</v>
      </c>
    </row>
    <row r="43" spans="1:29" x14ac:dyDescent="0.35">
      <c r="A43" t="s">
        <v>2584</v>
      </c>
      <c r="B43">
        <v>61.2</v>
      </c>
      <c r="C43">
        <v>175</v>
      </c>
      <c r="D43" t="s">
        <v>116</v>
      </c>
      <c r="E43">
        <v>26</v>
      </c>
      <c r="F43" t="s">
        <v>1011</v>
      </c>
      <c r="G43" t="s">
        <v>34</v>
      </c>
      <c r="H43" t="s">
        <v>29</v>
      </c>
      <c r="I43" t="s">
        <v>58</v>
      </c>
      <c r="J43">
        <v>5</v>
      </c>
      <c r="K43">
        <v>2</v>
      </c>
      <c r="L43">
        <v>0</v>
      </c>
      <c r="M43">
        <v>3</v>
      </c>
      <c r="N43">
        <v>0</v>
      </c>
      <c r="O43">
        <v>0</v>
      </c>
      <c r="P43">
        <v>2</v>
      </c>
      <c r="Q43">
        <v>0</v>
      </c>
      <c r="R43">
        <v>0</v>
      </c>
      <c r="S43">
        <v>0</v>
      </c>
      <c r="T43">
        <v>0</v>
      </c>
      <c r="U43">
        <v>1</v>
      </c>
      <c r="V43">
        <v>1</v>
      </c>
      <c r="W43">
        <v>7</v>
      </c>
      <c r="X43">
        <v>1042.0899999999999</v>
      </c>
      <c r="Y43">
        <v>1201.31</v>
      </c>
      <c r="Z43">
        <f>AVERAGEIFS(Table1[FinalElo], Table1[Country], Table1[[#This Row],[Country]])</f>
        <v>980.88090909090931</v>
      </c>
      <c r="AA43" cm="1">
        <f t="array" ref="AA43">IF(COUNTIFS(Table1[Country],Table1[[#This Row],[Country]])=1,0, _xlfn.STDEV.S(IF(Table1[Country]=Table1[[#This Row],[Country]],Table1[FinalElo])))</f>
        <v>133.41794796376408</v>
      </c>
      <c r="AB43">
        <f>IF(Table1[[#This Row],[CStd]]=0,0, (Table1[[#This Row],[FinalElo]]-Table1[[#This Row],[CAvg]]) / Table1[[#This Row],[CStd]])</f>
        <v>0.45877703744712678</v>
      </c>
      <c r="AC43" t="str">
        <f>IF(Table1[[#This Row],[CStd]]=0,"Normal", IF(ABS(Table1[[#This Row],[CZscore]])&gt;2,"Outlier","Normal"))</f>
        <v>Normal</v>
      </c>
    </row>
    <row r="44" spans="1:29" x14ac:dyDescent="0.35">
      <c r="A44" t="s">
        <v>2583</v>
      </c>
      <c r="B44">
        <v>65.400000000000006</v>
      </c>
      <c r="C44">
        <v>175</v>
      </c>
      <c r="D44" t="s">
        <v>116</v>
      </c>
      <c r="E44">
        <v>34</v>
      </c>
      <c r="F44">
        <v>1</v>
      </c>
      <c r="G44" t="s">
        <v>28</v>
      </c>
      <c r="H44" t="s">
        <v>29</v>
      </c>
      <c r="I44" t="s">
        <v>73</v>
      </c>
      <c r="J44">
        <v>1</v>
      </c>
      <c r="K44">
        <v>1</v>
      </c>
      <c r="L44">
        <v>0</v>
      </c>
      <c r="M44">
        <v>0</v>
      </c>
      <c r="N44">
        <v>0</v>
      </c>
      <c r="O44">
        <v>0</v>
      </c>
      <c r="P44">
        <v>1</v>
      </c>
      <c r="Q44">
        <v>0</v>
      </c>
      <c r="R44">
        <v>0</v>
      </c>
      <c r="S44">
        <v>0</v>
      </c>
      <c r="T44">
        <v>0</v>
      </c>
      <c r="U44">
        <v>1</v>
      </c>
      <c r="V44">
        <v>0</v>
      </c>
      <c r="W44">
        <v>2</v>
      </c>
      <c r="X44">
        <v>1120.21</v>
      </c>
      <c r="Y44">
        <v>1138.24</v>
      </c>
      <c r="Z44">
        <f>AVERAGEIFS(Table1[FinalElo], Table1[Country], Table1[[#This Row],[Country]])</f>
        <v>980.88090909090931</v>
      </c>
      <c r="AA44" cm="1">
        <f t="array" ref="AA44">IF(COUNTIFS(Table1[Country],Table1[[#This Row],[Country]])=1,0, _xlfn.STDEV.S(IF(Table1[Country]=Table1[[#This Row],[Country]],Table1[FinalElo])))</f>
        <v>133.41794796376408</v>
      </c>
      <c r="AB44">
        <f>IF(Table1[[#This Row],[CStd]]=0,0, (Table1[[#This Row],[FinalElo]]-Table1[[#This Row],[CAvg]]) / Table1[[#This Row],[CStd]])</f>
        <v>1.0443054554169287</v>
      </c>
      <c r="AC44" t="str">
        <f>IF(Table1[[#This Row],[CStd]]=0,"Normal", IF(ABS(Table1[[#This Row],[CZscore]])&gt;2,"Outlier","Normal"))</f>
        <v>Normal</v>
      </c>
    </row>
    <row r="45" spans="1:29" x14ac:dyDescent="0.35">
      <c r="A45" t="s">
        <v>2582</v>
      </c>
      <c r="B45">
        <v>58.96696</v>
      </c>
      <c r="C45">
        <v>180</v>
      </c>
      <c r="D45" t="s">
        <v>89</v>
      </c>
      <c r="E45">
        <v>22</v>
      </c>
      <c r="F45" t="s">
        <v>674</v>
      </c>
      <c r="G45" t="s">
        <v>34</v>
      </c>
      <c r="H45" t="s">
        <v>29</v>
      </c>
      <c r="I45" t="s">
        <v>58</v>
      </c>
      <c r="J45">
        <v>3</v>
      </c>
      <c r="K45">
        <v>4</v>
      </c>
      <c r="L45">
        <v>0</v>
      </c>
      <c r="M45">
        <v>0</v>
      </c>
      <c r="N45">
        <v>0</v>
      </c>
      <c r="O45">
        <v>0</v>
      </c>
      <c r="P45">
        <v>2</v>
      </c>
      <c r="Q45">
        <v>0</v>
      </c>
      <c r="R45">
        <v>0</v>
      </c>
      <c r="S45">
        <v>0</v>
      </c>
      <c r="T45">
        <v>0</v>
      </c>
      <c r="U45">
        <v>2</v>
      </c>
      <c r="V45">
        <v>0</v>
      </c>
      <c r="W45">
        <v>7</v>
      </c>
      <c r="X45">
        <v>955.26</v>
      </c>
      <c r="Y45">
        <v>1157.47</v>
      </c>
      <c r="Z45">
        <f>AVERAGEIFS(Table1[FinalElo], Table1[Country], Table1[[#This Row],[Country]])</f>
        <v>1012.0629025423733</v>
      </c>
      <c r="AA45" cm="1">
        <f t="array" ref="AA45">IF(COUNTIFS(Table1[Country],Table1[[#This Row],[Country]])=1,0, _xlfn.STDEV.S(IF(Table1[Country]=Table1[[#This Row],[Country]],Table1[FinalElo])))</f>
        <v>148.42180446198614</v>
      </c>
      <c r="AB45">
        <f>IF(Table1[[#This Row],[CStd]]=0,0, (Table1[[#This Row],[FinalElo]]-Table1[[#This Row],[CAvg]]) / Table1[[#This Row],[CStd]])</f>
        <v>-0.38271265295741436</v>
      </c>
      <c r="AC45" t="str">
        <f>IF(Table1[[#This Row],[CStd]]=0,"Normal", IF(ABS(Table1[[#This Row],[CZscore]])&gt;2,"Outlier","Normal"))</f>
        <v>Normal</v>
      </c>
    </row>
    <row r="46" spans="1:29" x14ac:dyDescent="0.35">
      <c r="A46" t="s">
        <v>2581</v>
      </c>
      <c r="B46">
        <v>53.977448000000003</v>
      </c>
      <c r="C46">
        <v>163</v>
      </c>
      <c r="D46" t="s">
        <v>89</v>
      </c>
      <c r="E46">
        <v>32</v>
      </c>
      <c r="F46" t="s">
        <v>99</v>
      </c>
      <c r="G46" t="s">
        <v>34</v>
      </c>
      <c r="H46" t="s">
        <v>29</v>
      </c>
      <c r="I46" t="s">
        <v>36</v>
      </c>
      <c r="J46">
        <v>4</v>
      </c>
      <c r="K46">
        <v>0</v>
      </c>
      <c r="L46">
        <v>0</v>
      </c>
      <c r="M46">
        <v>1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4</v>
      </c>
      <c r="X46">
        <v>1350.53</v>
      </c>
      <c r="Y46">
        <v>1350.53</v>
      </c>
      <c r="Z46">
        <f>AVERAGEIFS(Table1[FinalElo], Table1[Country], Table1[[#This Row],[Country]])</f>
        <v>1012.0629025423733</v>
      </c>
      <c r="AA46" cm="1">
        <f t="array" ref="AA46">IF(COUNTIFS(Table1[Country],Table1[[#This Row],[Country]])=1,0, _xlfn.STDEV.S(IF(Table1[Country]=Table1[[#This Row],[Country]],Table1[FinalElo])))</f>
        <v>148.42180446198614</v>
      </c>
      <c r="AB46">
        <f>IF(Table1[[#This Row],[CStd]]=0,0, (Table1[[#This Row],[FinalElo]]-Table1[[#This Row],[CAvg]]) / Table1[[#This Row],[CStd]])</f>
        <v>2.2804405234428677</v>
      </c>
      <c r="AC46" t="str">
        <f>IF(Table1[[#This Row],[CStd]]=0,"Normal", IF(ABS(Table1[[#This Row],[CZscore]])&gt;2,"Outlier","Normal"))</f>
        <v>Outlier</v>
      </c>
    </row>
    <row r="47" spans="1:29" x14ac:dyDescent="0.35">
      <c r="A47" t="s">
        <v>2580</v>
      </c>
      <c r="B47">
        <v>58.059775999999999</v>
      </c>
      <c r="C47">
        <v>172</v>
      </c>
      <c r="D47" t="s">
        <v>89</v>
      </c>
      <c r="E47">
        <v>22</v>
      </c>
      <c r="F47" t="s">
        <v>709</v>
      </c>
      <c r="G47" t="s">
        <v>34</v>
      </c>
      <c r="H47" t="s">
        <v>29</v>
      </c>
      <c r="I47" t="s">
        <v>58</v>
      </c>
      <c r="J47">
        <v>2</v>
      </c>
      <c r="K47">
        <v>1</v>
      </c>
      <c r="L47">
        <v>0</v>
      </c>
      <c r="M47">
        <v>0</v>
      </c>
      <c r="N47">
        <v>0</v>
      </c>
      <c r="O47">
        <v>0</v>
      </c>
      <c r="P47">
        <v>1</v>
      </c>
      <c r="Q47">
        <v>0</v>
      </c>
      <c r="R47">
        <v>1</v>
      </c>
      <c r="S47">
        <v>0</v>
      </c>
      <c r="T47">
        <v>0</v>
      </c>
      <c r="U47">
        <v>0</v>
      </c>
      <c r="V47">
        <v>0</v>
      </c>
      <c r="W47">
        <v>3</v>
      </c>
      <c r="X47">
        <v>1062.8900000000001</v>
      </c>
      <c r="Y47">
        <v>1100</v>
      </c>
      <c r="Z47">
        <f>AVERAGEIFS(Table1[FinalElo], Table1[Country], Table1[[#This Row],[Country]])</f>
        <v>1012.0629025423733</v>
      </c>
      <c r="AA47" cm="1">
        <f t="array" ref="AA47">IF(COUNTIFS(Table1[Country],Table1[[#This Row],[Country]])=1,0, _xlfn.STDEV.S(IF(Table1[Country]=Table1[[#This Row],[Country]],Table1[FinalElo])))</f>
        <v>148.42180446198614</v>
      </c>
      <c r="AB47">
        <f>IF(Table1[[#This Row],[CStd]]=0,0, (Table1[[#This Row],[FinalElo]]-Table1[[#This Row],[CAvg]]) / Table1[[#This Row],[CStd]])</f>
        <v>0.34245034037869182</v>
      </c>
      <c r="AC47" t="str">
        <f>IF(Table1[[#This Row],[CStd]]=0,"Normal", IF(ABS(Table1[[#This Row],[CZscore]])&gt;2,"Outlier","Normal"))</f>
        <v>Normal</v>
      </c>
    </row>
    <row r="48" spans="1:29" x14ac:dyDescent="0.35">
      <c r="A48" t="s">
        <v>2579</v>
      </c>
      <c r="B48">
        <v>65.8</v>
      </c>
      <c r="C48">
        <v>177</v>
      </c>
      <c r="D48" t="s">
        <v>116</v>
      </c>
      <c r="E48">
        <v>29</v>
      </c>
      <c r="F48" t="s">
        <v>1164</v>
      </c>
      <c r="G48" t="s">
        <v>28</v>
      </c>
      <c r="H48" t="s">
        <v>29</v>
      </c>
      <c r="I48" t="s">
        <v>48</v>
      </c>
      <c r="J48">
        <v>0</v>
      </c>
      <c r="K48">
        <v>1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1</v>
      </c>
      <c r="X48">
        <v>900</v>
      </c>
      <c r="Y48">
        <v>1000</v>
      </c>
      <c r="Z48">
        <f>AVERAGEIFS(Table1[FinalElo], Table1[Country], Table1[[#This Row],[Country]])</f>
        <v>980.88090909090931</v>
      </c>
      <c r="AA48" cm="1">
        <f t="array" ref="AA48">IF(COUNTIFS(Table1[Country],Table1[[#This Row],[Country]])=1,0, _xlfn.STDEV.S(IF(Table1[Country]=Table1[[#This Row],[Country]],Table1[FinalElo])))</f>
        <v>133.41794796376408</v>
      </c>
      <c r="AB48">
        <f>IF(Table1[[#This Row],[CStd]]=0,0, (Table1[[#This Row],[FinalElo]]-Table1[[#This Row],[CAvg]]) / Table1[[#This Row],[CStd]])</f>
        <v>-0.60622210373731977</v>
      </c>
      <c r="AC48" t="str">
        <f>IF(Table1[[#This Row],[CStd]]=0,"Normal", IF(ABS(Table1[[#This Row],[CZscore]])&gt;2,"Outlier","Normal"))</f>
        <v>Normal</v>
      </c>
    </row>
    <row r="49" spans="1:29" x14ac:dyDescent="0.35">
      <c r="A49" t="s">
        <v>2578</v>
      </c>
      <c r="B49">
        <v>61.2</v>
      </c>
      <c r="C49">
        <v>165</v>
      </c>
      <c r="D49" t="s">
        <v>116</v>
      </c>
      <c r="E49">
        <v>27</v>
      </c>
      <c r="F49" t="s">
        <v>2566</v>
      </c>
      <c r="G49" t="s">
        <v>40</v>
      </c>
      <c r="H49" t="s">
        <v>29</v>
      </c>
      <c r="I49" t="s">
        <v>58</v>
      </c>
      <c r="J49">
        <v>3</v>
      </c>
      <c r="K49">
        <v>2</v>
      </c>
      <c r="L49">
        <v>0</v>
      </c>
      <c r="M49">
        <v>1</v>
      </c>
      <c r="N49">
        <v>0</v>
      </c>
      <c r="O49">
        <v>0</v>
      </c>
      <c r="P49">
        <v>1</v>
      </c>
      <c r="Q49">
        <v>1</v>
      </c>
      <c r="R49">
        <v>0</v>
      </c>
      <c r="S49">
        <v>0</v>
      </c>
      <c r="T49">
        <v>0</v>
      </c>
      <c r="U49">
        <v>2</v>
      </c>
      <c r="V49">
        <v>0</v>
      </c>
      <c r="W49">
        <v>5</v>
      </c>
      <c r="X49">
        <v>1031.83</v>
      </c>
      <c r="Y49">
        <v>1148.05</v>
      </c>
      <c r="Z49">
        <f>AVERAGEIFS(Table1[FinalElo], Table1[Country], Table1[[#This Row],[Country]])</f>
        <v>980.88090909090931</v>
      </c>
      <c r="AA49" cm="1">
        <f t="array" ref="AA49">IF(COUNTIFS(Table1[Country],Table1[[#This Row],[Country]])=1,0, _xlfn.STDEV.S(IF(Table1[Country]=Table1[[#This Row],[Country]],Table1[FinalElo])))</f>
        <v>133.41794796376408</v>
      </c>
      <c r="AB49">
        <f>IF(Table1[[#This Row],[CStd]]=0,0, (Table1[[#This Row],[FinalElo]]-Table1[[#This Row],[CAvg]]) / Table1[[#This Row],[CStd]])</f>
        <v>0.38187583969533273</v>
      </c>
      <c r="AC49" t="str">
        <f>IF(Table1[[#This Row],[CStd]]=0,"Normal", IF(ABS(Table1[[#This Row],[CZscore]])&gt;2,"Outlier","Normal"))</f>
        <v>Normal</v>
      </c>
    </row>
    <row r="50" spans="1:29" x14ac:dyDescent="0.35">
      <c r="A50" t="s">
        <v>2577</v>
      </c>
      <c r="B50">
        <v>55.1</v>
      </c>
      <c r="C50">
        <v>168</v>
      </c>
      <c r="D50" t="s">
        <v>116</v>
      </c>
      <c r="E50">
        <v>17</v>
      </c>
      <c r="F50" t="s">
        <v>1455</v>
      </c>
      <c r="G50" t="s">
        <v>28</v>
      </c>
      <c r="H50" t="s">
        <v>29</v>
      </c>
      <c r="I50" t="s">
        <v>36</v>
      </c>
      <c r="J50">
        <v>0</v>
      </c>
      <c r="K50">
        <v>1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1</v>
      </c>
      <c r="V50">
        <v>0</v>
      </c>
      <c r="W50">
        <v>1</v>
      </c>
      <c r="X50">
        <v>900</v>
      </c>
      <c r="Y50">
        <v>1000</v>
      </c>
      <c r="Z50">
        <f>AVERAGEIFS(Table1[FinalElo], Table1[Country], Table1[[#This Row],[Country]])</f>
        <v>980.88090909090931</v>
      </c>
      <c r="AA50" cm="1">
        <f t="array" ref="AA50">IF(COUNTIFS(Table1[Country],Table1[[#This Row],[Country]])=1,0, _xlfn.STDEV.S(IF(Table1[Country]=Table1[[#This Row],[Country]],Table1[FinalElo])))</f>
        <v>133.41794796376408</v>
      </c>
      <c r="AB50">
        <f>IF(Table1[[#This Row],[CStd]]=0,0, (Table1[[#This Row],[FinalElo]]-Table1[[#This Row],[CAvg]]) / Table1[[#This Row],[CStd]])</f>
        <v>-0.60622210373731977</v>
      </c>
      <c r="AC50" t="str">
        <f>IF(Table1[[#This Row],[CStd]]=0,"Normal", IF(ABS(Table1[[#This Row],[CZscore]])&gt;2,"Outlier","Normal"))</f>
        <v>Normal</v>
      </c>
    </row>
    <row r="51" spans="1:29" x14ac:dyDescent="0.35">
      <c r="A51" t="s">
        <v>2575</v>
      </c>
      <c r="B51">
        <v>61.2</v>
      </c>
      <c r="C51">
        <v>176</v>
      </c>
      <c r="D51" t="s">
        <v>116</v>
      </c>
      <c r="E51">
        <v>32</v>
      </c>
      <c r="F51" t="s">
        <v>2576</v>
      </c>
      <c r="G51" t="s">
        <v>28</v>
      </c>
      <c r="H51" t="s">
        <v>29</v>
      </c>
      <c r="I51" t="s">
        <v>58</v>
      </c>
      <c r="J51">
        <v>1</v>
      </c>
      <c r="K51">
        <v>2</v>
      </c>
      <c r="L51">
        <v>0</v>
      </c>
      <c r="M51">
        <v>0</v>
      </c>
      <c r="N51">
        <v>0</v>
      </c>
      <c r="O51">
        <v>0</v>
      </c>
      <c r="P51">
        <v>1</v>
      </c>
      <c r="Q51">
        <v>0</v>
      </c>
      <c r="R51">
        <v>0</v>
      </c>
      <c r="S51">
        <v>0</v>
      </c>
      <c r="T51">
        <v>0</v>
      </c>
      <c r="U51">
        <v>1</v>
      </c>
      <c r="V51">
        <v>1</v>
      </c>
      <c r="W51">
        <v>3</v>
      </c>
      <c r="X51">
        <v>929.78</v>
      </c>
      <c r="Y51">
        <v>1018.87</v>
      </c>
      <c r="Z51">
        <f>AVERAGEIFS(Table1[FinalElo], Table1[Country], Table1[[#This Row],[Country]])</f>
        <v>980.88090909090931</v>
      </c>
      <c r="AA51" cm="1">
        <f t="array" ref="AA51">IF(COUNTIFS(Table1[Country],Table1[[#This Row],[Country]])=1,0, _xlfn.STDEV.S(IF(Table1[Country]=Table1[[#This Row],[Country]],Table1[FinalElo])))</f>
        <v>133.41794796376408</v>
      </c>
      <c r="AB51">
        <f>IF(Table1[[#This Row],[CStd]]=0,0, (Table1[[#This Row],[FinalElo]]-Table1[[#This Row],[CAvg]]) / Table1[[#This Row],[CStd]])</f>
        <v>-0.38301375392753151</v>
      </c>
      <c r="AC51" t="str">
        <f>IF(Table1[[#This Row],[CStd]]=0,"Normal", IF(ABS(Table1[[#This Row],[CZscore]])&gt;2,"Outlier","Normal"))</f>
        <v>Normal</v>
      </c>
    </row>
    <row r="52" spans="1:29" x14ac:dyDescent="0.35">
      <c r="A52" t="s">
        <v>2574</v>
      </c>
      <c r="B52">
        <v>70.3</v>
      </c>
      <c r="C52">
        <v>175</v>
      </c>
      <c r="D52" t="s">
        <v>116</v>
      </c>
      <c r="E52">
        <v>31</v>
      </c>
      <c r="F52" t="s">
        <v>1511</v>
      </c>
      <c r="G52" t="s">
        <v>40</v>
      </c>
      <c r="H52" t="s">
        <v>29</v>
      </c>
      <c r="I52" t="s">
        <v>48</v>
      </c>
      <c r="J52">
        <v>0</v>
      </c>
      <c r="K52">
        <v>1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1</v>
      </c>
      <c r="S52">
        <v>0</v>
      </c>
      <c r="T52">
        <v>0</v>
      </c>
      <c r="U52">
        <v>0</v>
      </c>
      <c r="V52">
        <v>0</v>
      </c>
      <c r="W52">
        <v>1</v>
      </c>
      <c r="X52">
        <v>900</v>
      </c>
      <c r="Y52">
        <v>1000</v>
      </c>
      <c r="Z52">
        <f>AVERAGEIFS(Table1[FinalElo], Table1[Country], Table1[[#This Row],[Country]])</f>
        <v>980.88090909090931</v>
      </c>
      <c r="AA52" cm="1">
        <f t="array" ref="AA52">IF(COUNTIFS(Table1[Country],Table1[[#This Row],[Country]])=1,0, _xlfn.STDEV.S(IF(Table1[Country]=Table1[[#This Row],[Country]],Table1[FinalElo])))</f>
        <v>133.41794796376408</v>
      </c>
      <c r="AB52">
        <f>IF(Table1[[#This Row],[CStd]]=0,0, (Table1[[#This Row],[FinalElo]]-Table1[[#This Row],[CAvg]]) / Table1[[#This Row],[CStd]])</f>
        <v>-0.60622210373731977</v>
      </c>
      <c r="AC52" t="str">
        <f>IF(Table1[[#This Row],[CStd]]=0,"Normal", IF(ABS(Table1[[#This Row],[CZscore]])&gt;2,"Outlier","Normal"))</f>
        <v>Normal</v>
      </c>
    </row>
    <row r="53" spans="1:29" x14ac:dyDescent="0.35">
      <c r="A53" t="s">
        <v>2573</v>
      </c>
      <c r="B53">
        <v>61.2</v>
      </c>
      <c r="C53">
        <v>169</v>
      </c>
      <c r="D53" t="s">
        <v>116</v>
      </c>
      <c r="E53">
        <v>30</v>
      </c>
      <c r="F53" t="s">
        <v>117</v>
      </c>
      <c r="G53" t="s">
        <v>40</v>
      </c>
      <c r="H53" t="s">
        <v>29</v>
      </c>
      <c r="I53" t="s">
        <v>58</v>
      </c>
      <c r="J53">
        <v>1</v>
      </c>
      <c r="K53">
        <v>2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1</v>
      </c>
      <c r="T53">
        <v>0</v>
      </c>
      <c r="U53">
        <v>1</v>
      </c>
      <c r="V53">
        <v>0</v>
      </c>
      <c r="W53">
        <v>3</v>
      </c>
      <c r="X53">
        <v>909.28</v>
      </c>
      <c r="Y53">
        <v>1089.57</v>
      </c>
      <c r="Z53">
        <f>AVERAGEIFS(Table1[FinalElo], Table1[Country], Table1[[#This Row],[Country]])</f>
        <v>980.88090909090931</v>
      </c>
      <c r="AA53" cm="1">
        <f t="array" ref="AA53">IF(COUNTIFS(Table1[Country],Table1[[#This Row],[Country]])=1,0, _xlfn.STDEV.S(IF(Table1[Country]=Table1[[#This Row],[Country]],Table1[FinalElo])))</f>
        <v>133.41794796376408</v>
      </c>
      <c r="AB53">
        <f>IF(Table1[[#This Row],[CStd]]=0,0, (Table1[[#This Row],[FinalElo]]-Table1[[#This Row],[CAvg]]) / Table1[[#This Row],[CStd]])</f>
        <v>-0.53666624456220791</v>
      </c>
      <c r="AC53" t="str">
        <f>IF(Table1[[#This Row],[CStd]]=0,"Normal", IF(ABS(Table1[[#This Row],[CZscore]])&gt;2,"Outlier","Normal"))</f>
        <v>Normal</v>
      </c>
    </row>
    <row r="54" spans="1:29" x14ac:dyDescent="0.35">
      <c r="A54" t="s">
        <v>2572</v>
      </c>
      <c r="B54">
        <v>61.2</v>
      </c>
      <c r="C54">
        <v>170</v>
      </c>
      <c r="D54" t="s">
        <v>116</v>
      </c>
      <c r="E54">
        <v>30</v>
      </c>
      <c r="F54" t="s">
        <v>1511</v>
      </c>
      <c r="G54" t="s">
        <v>40</v>
      </c>
      <c r="H54" t="s">
        <v>29</v>
      </c>
      <c r="I54" t="s">
        <v>58</v>
      </c>
      <c r="J54">
        <v>0</v>
      </c>
      <c r="K54">
        <v>1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1</v>
      </c>
      <c r="S54">
        <v>0</v>
      </c>
      <c r="T54">
        <v>0</v>
      </c>
      <c r="U54">
        <v>0</v>
      </c>
      <c r="V54">
        <v>0</v>
      </c>
      <c r="W54">
        <v>1</v>
      </c>
      <c r="X54">
        <v>900</v>
      </c>
      <c r="Y54">
        <v>1000</v>
      </c>
      <c r="Z54">
        <f>AVERAGEIFS(Table1[FinalElo], Table1[Country], Table1[[#This Row],[Country]])</f>
        <v>980.88090909090931</v>
      </c>
      <c r="AA54" cm="1">
        <f t="array" ref="AA54">IF(COUNTIFS(Table1[Country],Table1[[#This Row],[Country]])=1,0, _xlfn.STDEV.S(IF(Table1[Country]=Table1[[#This Row],[Country]],Table1[FinalElo])))</f>
        <v>133.41794796376408</v>
      </c>
      <c r="AB54">
        <f>IF(Table1[[#This Row],[CStd]]=0,0, (Table1[[#This Row],[FinalElo]]-Table1[[#This Row],[CAvg]]) / Table1[[#This Row],[CStd]])</f>
        <v>-0.60622210373731977</v>
      </c>
      <c r="AC54" t="str">
        <f>IF(Table1[[#This Row],[CStd]]=0,"Normal", IF(ABS(Table1[[#This Row],[CZscore]])&gt;2,"Outlier","Normal"))</f>
        <v>Normal</v>
      </c>
    </row>
    <row r="55" spans="1:29" x14ac:dyDescent="0.35">
      <c r="A55" t="s">
        <v>2570</v>
      </c>
      <c r="B55">
        <v>72</v>
      </c>
      <c r="C55">
        <v>175</v>
      </c>
      <c r="D55" t="s">
        <v>116</v>
      </c>
      <c r="E55">
        <v>34</v>
      </c>
      <c r="F55" t="s">
        <v>2571</v>
      </c>
      <c r="G55" t="s">
        <v>40</v>
      </c>
      <c r="H55" t="s">
        <v>29</v>
      </c>
      <c r="I55" t="s">
        <v>30</v>
      </c>
      <c r="J55">
        <v>0</v>
      </c>
      <c r="K55">
        <v>1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1</v>
      </c>
      <c r="S55">
        <v>0</v>
      </c>
      <c r="T55">
        <v>0</v>
      </c>
      <c r="U55">
        <v>0</v>
      </c>
      <c r="V55">
        <v>0</v>
      </c>
      <c r="W55">
        <v>1</v>
      </c>
      <c r="X55">
        <v>871.99</v>
      </c>
      <c r="Y55">
        <v>1000</v>
      </c>
      <c r="Z55">
        <f>AVERAGEIFS(Table1[FinalElo], Table1[Country], Table1[[#This Row],[Country]])</f>
        <v>980.88090909090931</v>
      </c>
      <c r="AA55" cm="1">
        <f t="array" ref="AA55">IF(COUNTIFS(Table1[Country],Table1[[#This Row],[Country]])=1,0, _xlfn.STDEV.S(IF(Table1[Country]=Table1[[#This Row],[Country]],Table1[FinalElo])))</f>
        <v>133.41794796376408</v>
      </c>
      <c r="AB55">
        <f>IF(Table1[[#This Row],[CStd]]=0,0, (Table1[[#This Row],[FinalElo]]-Table1[[#This Row],[CAvg]]) / Table1[[#This Row],[CStd]])</f>
        <v>-0.81616387264840673</v>
      </c>
      <c r="AC55" t="str">
        <f>IF(Table1[[#This Row],[CStd]]=0,"Normal", IF(ABS(Table1[[#This Row],[CZscore]])&gt;2,"Outlier","Normal"))</f>
        <v>Normal</v>
      </c>
    </row>
    <row r="56" spans="1:29" x14ac:dyDescent="0.35">
      <c r="A56" t="s">
        <v>2569</v>
      </c>
      <c r="B56">
        <v>56.7</v>
      </c>
      <c r="C56">
        <v>170</v>
      </c>
      <c r="D56" t="s">
        <v>116</v>
      </c>
      <c r="E56">
        <v>28</v>
      </c>
      <c r="F56" t="s">
        <v>951</v>
      </c>
      <c r="G56" t="s">
        <v>40</v>
      </c>
      <c r="H56" t="s">
        <v>29</v>
      </c>
      <c r="I56" t="s">
        <v>58</v>
      </c>
      <c r="J56">
        <v>1</v>
      </c>
      <c r="K56">
        <v>2</v>
      </c>
      <c r="L56">
        <v>0</v>
      </c>
      <c r="M56">
        <v>1</v>
      </c>
      <c r="N56">
        <v>0</v>
      </c>
      <c r="O56">
        <v>0</v>
      </c>
      <c r="P56">
        <v>0</v>
      </c>
      <c r="Q56">
        <v>0</v>
      </c>
      <c r="R56">
        <v>1</v>
      </c>
      <c r="S56">
        <v>1</v>
      </c>
      <c r="T56">
        <v>0</v>
      </c>
      <c r="U56">
        <v>0</v>
      </c>
      <c r="V56">
        <v>0</v>
      </c>
      <c r="W56">
        <v>3</v>
      </c>
      <c r="X56">
        <v>914.56</v>
      </c>
      <c r="Y56">
        <v>1100</v>
      </c>
      <c r="Z56">
        <f>AVERAGEIFS(Table1[FinalElo], Table1[Country], Table1[[#This Row],[Country]])</f>
        <v>980.88090909090931</v>
      </c>
      <c r="AA56" cm="1">
        <f t="array" ref="AA56">IF(COUNTIFS(Table1[Country],Table1[[#This Row],[Country]])=1,0, _xlfn.STDEV.S(IF(Table1[Country]=Table1[[#This Row],[Country]],Table1[FinalElo])))</f>
        <v>133.41794796376408</v>
      </c>
      <c r="AB56">
        <f>IF(Table1[[#This Row],[CStd]]=0,0, (Table1[[#This Row],[FinalElo]]-Table1[[#This Row],[CAvg]]) / Table1[[#This Row],[CStd]])</f>
        <v>-0.49709135916947195</v>
      </c>
      <c r="AC56" t="str">
        <f>IF(Table1[[#This Row],[CStd]]=0,"Normal", IF(ABS(Table1[[#This Row],[CZscore]])&gt;2,"Outlier","Normal"))</f>
        <v>Normal</v>
      </c>
    </row>
    <row r="57" spans="1:29" x14ac:dyDescent="0.35">
      <c r="A57" t="s">
        <v>2568</v>
      </c>
      <c r="B57">
        <v>61.23</v>
      </c>
      <c r="C57">
        <v>175</v>
      </c>
      <c r="D57" t="s">
        <v>116</v>
      </c>
      <c r="E57">
        <v>23</v>
      </c>
      <c r="F57" t="s">
        <v>1431</v>
      </c>
      <c r="G57" t="s">
        <v>34</v>
      </c>
      <c r="H57" t="s">
        <v>29</v>
      </c>
      <c r="I57" t="s">
        <v>73</v>
      </c>
      <c r="J57">
        <v>0</v>
      </c>
      <c r="K57">
        <v>1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1</v>
      </c>
      <c r="V57">
        <v>0</v>
      </c>
      <c r="W57">
        <v>1</v>
      </c>
      <c r="X57">
        <v>932.57</v>
      </c>
      <c r="Y57">
        <v>1000</v>
      </c>
      <c r="Z57">
        <f>AVERAGEIFS(Table1[FinalElo], Table1[Country], Table1[[#This Row],[Country]])</f>
        <v>980.88090909090931</v>
      </c>
      <c r="AA57" cm="1">
        <f t="array" ref="AA57">IF(COUNTIFS(Table1[Country],Table1[[#This Row],[Country]])=1,0, _xlfn.STDEV.S(IF(Table1[Country]=Table1[[#This Row],[Country]],Table1[FinalElo])))</f>
        <v>133.41794796376408</v>
      </c>
      <c r="AB57">
        <f>IF(Table1[[#This Row],[CStd]]=0,0, (Table1[[#This Row],[FinalElo]]-Table1[[#This Row],[CAvg]]) / Table1[[#This Row],[CStd]])</f>
        <v>-0.36210202471432379</v>
      </c>
      <c r="AC57" t="str">
        <f>IF(Table1[[#This Row],[CStd]]=0,"Normal", IF(ABS(Table1[[#This Row],[CZscore]])&gt;2,"Outlier","Normal"))</f>
        <v>Normal</v>
      </c>
    </row>
    <row r="58" spans="1:29" x14ac:dyDescent="0.35">
      <c r="A58" t="s">
        <v>2567</v>
      </c>
      <c r="B58">
        <v>65.8</v>
      </c>
      <c r="C58">
        <v>170</v>
      </c>
      <c r="D58" t="s">
        <v>116</v>
      </c>
      <c r="E58">
        <v>33</v>
      </c>
      <c r="F58" t="s">
        <v>117</v>
      </c>
      <c r="G58" t="s">
        <v>40</v>
      </c>
      <c r="H58" t="s">
        <v>29</v>
      </c>
      <c r="I58" t="s">
        <v>48</v>
      </c>
      <c r="J58">
        <v>2</v>
      </c>
      <c r="K58">
        <v>2</v>
      </c>
      <c r="L58">
        <v>0</v>
      </c>
      <c r="M58">
        <v>0</v>
      </c>
      <c r="N58">
        <v>1</v>
      </c>
      <c r="O58">
        <v>0</v>
      </c>
      <c r="P58">
        <v>0</v>
      </c>
      <c r="Q58">
        <v>1</v>
      </c>
      <c r="R58">
        <v>1</v>
      </c>
      <c r="S58">
        <v>0</v>
      </c>
      <c r="T58">
        <v>0</v>
      </c>
      <c r="U58">
        <v>1</v>
      </c>
      <c r="V58">
        <v>0</v>
      </c>
      <c r="W58">
        <v>4</v>
      </c>
      <c r="X58">
        <v>950.33</v>
      </c>
      <c r="Y58">
        <v>1089.47</v>
      </c>
      <c r="Z58">
        <f>AVERAGEIFS(Table1[FinalElo], Table1[Country], Table1[[#This Row],[Country]])</f>
        <v>980.88090909090931</v>
      </c>
      <c r="AA58" cm="1">
        <f t="array" ref="AA58">IF(COUNTIFS(Table1[Country],Table1[[#This Row],[Country]])=1,0, _xlfn.STDEV.S(IF(Table1[Country]=Table1[[#This Row],[Country]],Table1[FinalElo])))</f>
        <v>133.41794796376408</v>
      </c>
      <c r="AB58">
        <f>IF(Table1[[#This Row],[CStd]]=0,0, (Table1[[#This Row],[FinalElo]]-Table1[[#This Row],[CAvg]]) / Table1[[#This Row],[CStd]])</f>
        <v>-0.22898650112057495</v>
      </c>
      <c r="AC58" t="str">
        <f>IF(Table1[[#This Row],[CStd]]=0,"Normal", IF(ABS(Table1[[#This Row],[CZscore]])&gt;2,"Outlier","Normal"))</f>
        <v>Normal</v>
      </c>
    </row>
    <row r="59" spans="1:29" x14ac:dyDescent="0.35">
      <c r="A59" t="s">
        <v>2565</v>
      </c>
      <c r="B59">
        <v>56.7</v>
      </c>
      <c r="C59">
        <v>168</v>
      </c>
      <c r="D59" t="s">
        <v>116</v>
      </c>
      <c r="E59">
        <v>33</v>
      </c>
      <c r="F59" t="s">
        <v>2566</v>
      </c>
      <c r="G59" t="s">
        <v>40</v>
      </c>
      <c r="H59" t="s">
        <v>29</v>
      </c>
      <c r="I59" t="s">
        <v>58</v>
      </c>
      <c r="J59">
        <v>1</v>
      </c>
      <c r="K59">
        <v>0</v>
      </c>
      <c r="L59">
        <v>0</v>
      </c>
      <c r="M59">
        <v>0</v>
      </c>
      <c r="N59">
        <v>1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1</v>
      </c>
      <c r="X59">
        <v>1071.43</v>
      </c>
      <c r="Y59">
        <v>1071.43</v>
      </c>
      <c r="Z59">
        <f>AVERAGEIFS(Table1[FinalElo], Table1[Country], Table1[[#This Row],[Country]])</f>
        <v>980.88090909090931</v>
      </c>
      <c r="AA59" cm="1">
        <f t="array" ref="AA59">IF(COUNTIFS(Table1[Country],Table1[[#This Row],[Country]])=1,0, _xlfn.STDEV.S(IF(Table1[Country]=Table1[[#This Row],[Country]],Table1[FinalElo])))</f>
        <v>133.41794796376408</v>
      </c>
      <c r="AB59">
        <f>IF(Table1[[#This Row],[CStd]]=0,0, (Table1[[#This Row],[FinalElo]]-Table1[[#This Row],[CAvg]]) / Table1[[#This Row],[CStd]])</f>
        <v>0.67868748014085489</v>
      </c>
      <c r="AC59" t="str">
        <f>IF(Table1[[#This Row],[CStd]]=0,"Normal", IF(ABS(Table1[[#This Row],[CZscore]])&gt;2,"Outlier","Normal"))</f>
        <v>Normal</v>
      </c>
    </row>
    <row r="60" spans="1:29" x14ac:dyDescent="0.35">
      <c r="A60" t="s">
        <v>2563</v>
      </c>
      <c r="B60">
        <v>61.2</v>
      </c>
      <c r="C60">
        <v>172</v>
      </c>
      <c r="D60" t="s">
        <v>116</v>
      </c>
      <c r="E60">
        <v>27</v>
      </c>
      <c r="F60" t="s">
        <v>2564</v>
      </c>
      <c r="G60" t="s">
        <v>34</v>
      </c>
      <c r="H60" t="s">
        <v>29</v>
      </c>
      <c r="I60" t="s">
        <v>58</v>
      </c>
      <c r="J60">
        <v>1</v>
      </c>
      <c r="K60">
        <v>2</v>
      </c>
      <c r="L60">
        <v>0</v>
      </c>
      <c r="M60">
        <v>1</v>
      </c>
      <c r="N60">
        <v>0</v>
      </c>
      <c r="O60">
        <v>0</v>
      </c>
      <c r="P60">
        <v>0</v>
      </c>
      <c r="Q60">
        <v>0</v>
      </c>
      <c r="R60">
        <v>1</v>
      </c>
      <c r="S60">
        <v>0</v>
      </c>
      <c r="T60">
        <v>0</v>
      </c>
      <c r="U60">
        <v>1</v>
      </c>
      <c r="V60">
        <v>0</v>
      </c>
      <c r="W60">
        <v>3</v>
      </c>
      <c r="X60">
        <v>918.73</v>
      </c>
      <c r="Y60">
        <v>1100</v>
      </c>
      <c r="Z60">
        <f>AVERAGEIFS(Table1[FinalElo], Table1[Country], Table1[[#This Row],[Country]])</f>
        <v>980.88090909090931</v>
      </c>
      <c r="AA60" cm="1">
        <f t="array" ref="AA60">IF(COUNTIFS(Table1[Country],Table1[[#This Row],[Country]])=1,0, _xlfn.STDEV.S(IF(Table1[Country]=Table1[[#This Row],[Country]],Table1[FinalElo])))</f>
        <v>133.41794796376408</v>
      </c>
      <c r="AB60">
        <f>IF(Table1[[#This Row],[CStd]]=0,0, (Table1[[#This Row],[FinalElo]]-Table1[[#This Row],[CAvg]]) / Table1[[#This Row],[CStd]])</f>
        <v>-0.46583619400134457</v>
      </c>
      <c r="AC60" t="str">
        <f>IF(Table1[[#This Row],[CStd]]=0,"Normal", IF(ABS(Table1[[#This Row],[CZscore]])&gt;2,"Outlier","Normal"))</f>
        <v>Normal</v>
      </c>
    </row>
    <row r="61" spans="1:29" x14ac:dyDescent="0.35">
      <c r="A61" t="s">
        <v>2562</v>
      </c>
      <c r="B61">
        <v>70.3</v>
      </c>
      <c r="C61">
        <v>175</v>
      </c>
      <c r="D61" t="s">
        <v>116</v>
      </c>
      <c r="E61">
        <v>26</v>
      </c>
      <c r="F61" t="s">
        <v>1466</v>
      </c>
      <c r="G61" t="s">
        <v>40</v>
      </c>
      <c r="H61" t="s">
        <v>29</v>
      </c>
      <c r="I61" t="s">
        <v>48</v>
      </c>
      <c r="J61">
        <v>1</v>
      </c>
      <c r="K61">
        <v>2</v>
      </c>
      <c r="L61">
        <v>0</v>
      </c>
      <c r="M61">
        <v>0</v>
      </c>
      <c r="N61">
        <v>0</v>
      </c>
      <c r="O61">
        <v>0</v>
      </c>
      <c r="P61">
        <v>1</v>
      </c>
      <c r="Q61">
        <v>0</v>
      </c>
      <c r="R61">
        <v>0</v>
      </c>
      <c r="S61">
        <v>2</v>
      </c>
      <c r="T61">
        <v>0</v>
      </c>
      <c r="U61">
        <v>0</v>
      </c>
      <c r="V61">
        <v>0</v>
      </c>
      <c r="W61">
        <v>3</v>
      </c>
      <c r="X61">
        <v>944.45</v>
      </c>
      <c r="Y61">
        <v>1022.51</v>
      </c>
      <c r="Z61">
        <f>AVERAGEIFS(Table1[FinalElo], Table1[Country], Table1[[#This Row],[Country]])</f>
        <v>980.88090909090931</v>
      </c>
      <c r="AA61" cm="1">
        <f t="array" ref="AA61">IF(COUNTIFS(Table1[Country],Table1[[#This Row],[Country]])=1,0, _xlfn.STDEV.S(IF(Table1[Country]=Table1[[#This Row],[Country]],Table1[FinalElo])))</f>
        <v>133.41794796376408</v>
      </c>
      <c r="AB61">
        <f>IF(Table1[[#This Row],[CStd]]=0,0, (Table1[[#This Row],[FinalElo]]-Table1[[#This Row],[CAvg]]) / Table1[[#This Row],[CStd]])</f>
        <v>-0.27305853258066742</v>
      </c>
      <c r="AC61" t="str">
        <f>IF(Table1[[#This Row],[CStd]]=0,"Normal", IF(ABS(Table1[[#This Row],[CZscore]])&gt;2,"Outlier","Normal"))</f>
        <v>Normal</v>
      </c>
    </row>
    <row r="62" spans="1:29" x14ac:dyDescent="0.35">
      <c r="A62" t="s">
        <v>2560</v>
      </c>
      <c r="B62">
        <v>61.2</v>
      </c>
      <c r="C62">
        <v>170</v>
      </c>
      <c r="D62" t="s">
        <v>116</v>
      </c>
      <c r="E62">
        <v>30</v>
      </c>
      <c r="F62" t="s">
        <v>2561</v>
      </c>
      <c r="G62" t="s">
        <v>28</v>
      </c>
      <c r="H62" t="s">
        <v>29</v>
      </c>
      <c r="I62" t="s">
        <v>58</v>
      </c>
      <c r="J62">
        <v>0</v>
      </c>
      <c r="K62">
        <v>1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1</v>
      </c>
      <c r="S62">
        <v>0</v>
      </c>
      <c r="T62">
        <v>0</v>
      </c>
      <c r="U62">
        <v>0</v>
      </c>
      <c r="V62">
        <v>0</v>
      </c>
      <c r="W62">
        <v>1</v>
      </c>
      <c r="X62">
        <v>945.82</v>
      </c>
      <c r="Y62">
        <v>1000</v>
      </c>
      <c r="Z62">
        <f>AVERAGEIFS(Table1[FinalElo], Table1[Country], Table1[[#This Row],[Country]])</f>
        <v>980.88090909090931</v>
      </c>
      <c r="AA62" cm="1">
        <f t="array" ref="AA62">IF(COUNTIFS(Table1[Country],Table1[[#This Row],[Country]])=1,0, _xlfn.STDEV.S(IF(Table1[Country]=Table1[[#This Row],[Country]],Table1[FinalElo])))</f>
        <v>133.41794796376408</v>
      </c>
      <c r="AB62">
        <f>IF(Table1[[#This Row],[CStd]]=0,0, (Table1[[#This Row],[FinalElo]]-Table1[[#This Row],[CAvg]]) / Table1[[#This Row],[CStd]])</f>
        <v>-0.2627900490602037</v>
      </c>
      <c r="AC62" t="str">
        <f>IF(Table1[[#This Row],[CStd]]=0,"Normal", IF(ABS(Table1[[#This Row],[CZscore]])&gt;2,"Outlier","Normal"))</f>
        <v>Normal</v>
      </c>
    </row>
    <row r="63" spans="1:29" x14ac:dyDescent="0.35">
      <c r="A63" t="s">
        <v>2559</v>
      </c>
      <c r="B63">
        <v>57.2</v>
      </c>
      <c r="C63">
        <v>166</v>
      </c>
      <c r="D63" t="s">
        <v>89</v>
      </c>
      <c r="E63">
        <v>29</v>
      </c>
      <c r="F63" t="s">
        <v>2085</v>
      </c>
      <c r="G63" t="s">
        <v>34</v>
      </c>
      <c r="H63" t="s">
        <v>29</v>
      </c>
      <c r="I63" t="s">
        <v>58</v>
      </c>
      <c r="J63">
        <v>0</v>
      </c>
      <c r="K63">
        <v>1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1</v>
      </c>
      <c r="V63">
        <v>0</v>
      </c>
      <c r="W63">
        <v>1</v>
      </c>
      <c r="X63">
        <v>936.24</v>
      </c>
      <c r="Y63">
        <v>1000</v>
      </c>
      <c r="Z63">
        <f>AVERAGEIFS(Table1[FinalElo], Table1[Country], Table1[[#This Row],[Country]])</f>
        <v>1012.0629025423733</v>
      </c>
      <c r="AA63" cm="1">
        <f t="array" ref="AA63">IF(COUNTIFS(Table1[Country],Table1[[#This Row],[Country]])=1,0, _xlfn.STDEV.S(IF(Table1[Country]=Table1[[#This Row],[Country]],Table1[FinalElo])))</f>
        <v>148.42180446198614</v>
      </c>
      <c r="AB63">
        <f>IF(Table1[[#This Row],[CStd]]=0,0, (Table1[[#This Row],[FinalElo]]-Table1[[#This Row],[CAvg]]) / Table1[[#This Row],[CStd]])</f>
        <v>-0.51086093998940096</v>
      </c>
      <c r="AC63" t="str">
        <f>IF(Table1[[#This Row],[CStd]]=0,"Normal", IF(ABS(Table1[[#This Row],[CZscore]])&gt;2,"Outlier","Normal"))</f>
        <v>Normal</v>
      </c>
    </row>
    <row r="64" spans="1:29" x14ac:dyDescent="0.35">
      <c r="A64" t="s">
        <v>2557</v>
      </c>
      <c r="B64">
        <v>61.6</v>
      </c>
      <c r="C64">
        <v>161</v>
      </c>
      <c r="D64" t="s">
        <v>32</v>
      </c>
      <c r="E64">
        <v>27</v>
      </c>
      <c r="F64" t="s">
        <v>2558</v>
      </c>
      <c r="G64" t="s">
        <v>34</v>
      </c>
      <c r="H64" t="s">
        <v>29</v>
      </c>
      <c r="I64" t="s">
        <v>73</v>
      </c>
      <c r="J64">
        <v>2</v>
      </c>
      <c r="K64">
        <v>6</v>
      </c>
      <c r="L64">
        <v>0</v>
      </c>
      <c r="M64">
        <v>0</v>
      </c>
      <c r="N64">
        <v>0</v>
      </c>
      <c r="O64">
        <v>0</v>
      </c>
      <c r="P64">
        <v>1</v>
      </c>
      <c r="Q64">
        <v>0</v>
      </c>
      <c r="R64">
        <v>1</v>
      </c>
      <c r="S64">
        <v>0</v>
      </c>
      <c r="T64">
        <v>0</v>
      </c>
      <c r="U64">
        <v>2</v>
      </c>
      <c r="V64">
        <v>1</v>
      </c>
      <c r="W64">
        <v>8</v>
      </c>
      <c r="X64">
        <v>927.77</v>
      </c>
      <c r="Y64">
        <v>1001.77</v>
      </c>
      <c r="Z64">
        <f>AVERAGEIFS(Table1[FinalElo], Table1[Country], Table1[[#This Row],[Country]])</f>
        <v>1025.3786885245902</v>
      </c>
      <c r="AA64" cm="1">
        <f t="array" ref="AA64">IF(COUNTIFS(Table1[Country],Table1[[#This Row],[Country]])=1,0, _xlfn.STDEV.S(IF(Table1[Country]=Table1[[#This Row],[Country]],Table1[FinalElo])))</f>
        <v>144.71595558743479</v>
      </c>
      <c r="AB64">
        <f>IF(Table1[[#This Row],[CStd]]=0,0, (Table1[[#This Row],[FinalElo]]-Table1[[#This Row],[CAvg]]) / Table1[[#This Row],[CStd]])</f>
        <v>-0.67448463528692781</v>
      </c>
      <c r="AC64" t="str">
        <f>IF(Table1[[#This Row],[CStd]]=0,"Normal", IF(ABS(Table1[[#This Row],[CZscore]])&gt;2,"Outlier","Normal"))</f>
        <v>Normal</v>
      </c>
    </row>
    <row r="65" spans="1:29" x14ac:dyDescent="0.35">
      <c r="A65" t="s">
        <v>2555</v>
      </c>
      <c r="B65">
        <v>65.77</v>
      </c>
      <c r="C65">
        <v>177</v>
      </c>
      <c r="D65" t="s">
        <v>226</v>
      </c>
      <c r="E65">
        <v>33</v>
      </c>
      <c r="F65" t="s">
        <v>2556</v>
      </c>
      <c r="G65" t="s">
        <v>40</v>
      </c>
      <c r="H65" t="s">
        <v>29</v>
      </c>
      <c r="I65" t="s">
        <v>48</v>
      </c>
      <c r="J65">
        <v>0</v>
      </c>
      <c r="K65">
        <v>1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1</v>
      </c>
      <c r="X65">
        <v>900</v>
      </c>
      <c r="Y65">
        <v>1000</v>
      </c>
      <c r="Z65">
        <f>AVERAGEIFS(Table1[FinalElo], Table1[Country], Table1[[#This Row],[Country]])</f>
        <v>961.00176470588235</v>
      </c>
      <c r="AA65" cm="1">
        <f t="array" ref="AA65">IF(COUNTIFS(Table1[Country],Table1[[#This Row],[Country]])=1,0, _xlfn.STDEV.S(IF(Table1[Country]=Table1[[#This Row],[Country]],Table1[FinalElo])))</f>
        <v>117.15877454523515</v>
      </c>
      <c r="AB65">
        <f>IF(Table1[[#This Row],[CStd]]=0,0, (Table1[[#This Row],[FinalElo]]-Table1[[#This Row],[CAvg]]) / Table1[[#This Row],[CStd]])</f>
        <v>-0.52067602228401166</v>
      </c>
      <c r="AC65" t="str">
        <f>IF(Table1[[#This Row],[CStd]]=0,"Normal", IF(ABS(Table1[[#This Row],[CZscore]])&gt;2,"Outlier","Normal"))</f>
        <v>Normal</v>
      </c>
    </row>
    <row r="66" spans="1:29" hidden="1" x14ac:dyDescent="0.35">
      <c r="A66" t="s">
        <v>187</v>
      </c>
      <c r="B66">
        <v>77.099999999999994</v>
      </c>
      <c r="C66">
        <v>171</v>
      </c>
      <c r="D66" t="s">
        <v>156</v>
      </c>
      <c r="E66">
        <v>40</v>
      </c>
      <c r="F66" t="s">
        <v>188</v>
      </c>
      <c r="G66" t="s">
        <v>40</v>
      </c>
      <c r="I66" t="s">
        <v>30</v>
      </c>
      <c r="J66">
        <v>2</v>
      </c>
      <c r="K66">
        <v>0</v>
      </c>
      <c r="L66">
        <v>0</v>
      </c>
      <c r="M66">
        <v>0</v>
      </c>
      <c r="N66">
        <v>2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2</v>
      </c>
      <c r="X66">
        <v>1171.99</v>
      </c>
      <c r="Y66">
        <v>1171.99</v>
      </c>
      <c r="Z66">
        <f>AVERAGEIFS(Table1[FinalElo], Table1[Country], Table1[[#This Row],[Country]])</f>
        <v>1071.99</v>
      </c>
      <c r="AA66" cm="1">
        <f t="array" ref="AA66">IF(COUNTIFS(Table1[Country],Table1[[#This Row],[Country]])=1,0, _xlfn.STDEV.S(IF(Table1[Country]=Table1[[#This Row],[Country]],Table1[FinalElo])))</f>
        <v>100</v>
      </c>
      <c r="AB66">
        <f>IF(Table1[[#This Row],[CStd]]=0,0, (Table1[[#This Row],[FinalElo]]-Table1[[#This Row],[CAvg]]) / Table1[[#This Row],[CStd]])</f>
        <v>1</v>
      </c>
      <c r="AC66" t="str">
        <f>IF(Table1[[#This Row],[CStd]]=0,"Normal", IF(ABS(Table1[[#This Row],[CZscore]])&gt;2,"Outlier","Normal"))</f>
        <v>Normal</v>
      </c>
    </row>
    <row r="67" spans="1:29" x14ac:dyDescent="0.35">
      <c r="A67" t="s">
        <v>2554</v>
      </c>
      <c r="B67">
        <v>61.1</v>
      </c>
      <c r="C67">
        <v>176</v>
      </c>
      <c r="D67" t="s">
        <v>135</v>
      </c>
      <c r="E67">
        <v>24</v>
      </c>
      <c r="F67" t="s">
        <v>87</v>
      </c>
      <c r="G67" t="s">
        <v>34</v>
      </c>
      <c r="H67" t="s">
        <v>29</v>
      </c>
      <c r="I67" t="s">
        <v>58</v>
      </c>
      <c r="J67">
        <v>0</v>
      </c>
      <c r="K67">
        <v>1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1</v>
      </c>
      <c r="V67">
        <v>0</v>
      </c>
      <c r="W67">
        <v>1</v>
      </c>
      <c r="X67">
        <v>973.45</v>
      </c>
      <c r="Y67">
        <v>1000</v>
      </c>
      <c r="Z67">
        <f>AVERAGEIFS(Table1[FinalElo], Table1[Country], Table1[[#This Row],[Country]])</f>
        <v>1008.644</v>
      </c>
      <c r="AA67" cm="1">
        <f t="array" ref="AA67">IF(COUNTIFS(Table1[Country],Table1[[#This Row],[Country]])=1,0, _xlfn.STDEV.S(IF(Table1[Country]=Table1[[#This Row],[Country]],Table1[FinalElo])))</f>
        <v>73.31330002121031</v>
      </c>
      <c r="AB67">
        <f>IF(Table1[[#This Row],[CStd]]=0,0, (Table1[[#This Row],[FinalElo]]-Table1[[#This Row],[CAvg]]) / Table1[[#This Row],[CStd]])</f>
        <v>-0.48004932242605319</v>
      </c>
      <c r="AC67" t="str">
        <f>IF(Table1[[#This Row],[CStd]]=0,"Normal", IF(ABS(Table1[[#This Row],[CZscore]])&gt;2,"Outlier","Normal"))</f>
        <v>Normal</v>
      </c>
    </row>
    <row r="68" spans="1:29" x14ac:dyDescent="0.35">
      <c r="A68" t="s">
        <v>2553</v>
      </c>
      <c r="B68">
        <v>61.23</v>
      </c>
      <c r="C68">
        <v>175</v>
      </c>
      <c r="D68" t="s">
        <v>1034</v>
      </c>
      <c r="E68">
        <v>31</v>
      </c>
      <c r="F68" t="s">
        <v>133</v>
      </c>
      <c r="G68" t="s">
        <v>28</v>
      </c>
      <c r="H68" t="s">
        <v>29</v>
      </c>
      <c r="I68" t="s">
        <v>73</v>
      </c>
      <c r="J68">
        <v>0</v>
      </c>
      <c r="K68">
        <v>1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1</v>
      </c>
      <c r="V68">
        <v>0</v>
      </c>
      <c r="W68">
        <v>1</v>
      </c>
      <c r="X68">
        <v>945.82</v>
      </c>
      <c r="Y68">
        <v>1000</v>
      </c>
      <c r="Z68">
        <f>AVERAGEIFS(Table1[FinalElo], Table1[Country], Table1[[#This Row],[Country]])</f>
        <v>1166.3600000000001</v>
      </c>
      <c r="AA68" cm="1">
        <f t="array" ref="AA68">IF(COUNTIFS(Table1[Country],Table1[[#This Row],[Country]])=1,0, _xlfn.STDEV.S(IF(Table1[Country]=Table1[[#This Row],[Country]],Table1[FinalElo])))</f>
        <v>311.89065904576228</v>
      </c>
      <c r="AB68">
        <f>IF(Table1[[#This Row],[CStd]]=0,0, (Table1[[#This Row],[FinalElo]]-Table1[[#This Row],[CAvg]]) / Table1[[#This Row],[CStd]])</f>
        <v>-0.70710678118654802</v>
      </c>
      <c r="AC68" t="str">
        <f>IF(Table1[[#This Row],[CStd]]=0,"Normal", IF(ABS(Table1[[#This Row],[CZscore]])&gt;2,"Outlier","Normal"))</f>
        <v>Normal</v>
      </c>
    </row>
    <row r="69" spans="1:29" x14ac:dyDescent="0.35">
      <c r="A69" t="s">
        <v>2551</v>
      </c>
      <c r="B69">
        <v>66.900000000000006</v>
      </c>
      <c r="C69">
        <v>175</v>
      </c>
      <c r="D69" t="s">
        <v>38</v>
      </c>
      <c r="E69">
        <v>28</v>
      </c>
      <c r="F69" t="s">
        <v>2552</v>
      </c>
      <c r="G69" t="s">
        <v>34</v>
      </c>
      <c r="H69" t="s">
        <v>29</v>
      </c>
      <c r="I69" t="s">
        <v>48</v>
      </c>
      <c r="J69">
        <v>4</v>
      </c>
      <c r="K69">
        <v>3</v>
      </c>
      <c r="L69">
        <v>0</v>
      </c>
      <c r="M69">
        <v>0</v>
      </c>
      <c r="N69">
        <v>0</v>
      </c>
      <c r="O69">
        <v>0</v>
      </c>
      <c r="P69">
        <v>4</v>
      </c>
      <c r="Q69">
        <v>0</v>
      </c>
      <c r="R69">
        <v>0</v>
      </c>
      <c r="S69">
        <v>0</v>
      </c>
      <c r="T69">
        <v>0</v>
      </c>
      <c r="U69">
        <v>1</v>
      </c>
      <c r="V69">
        <v>1</v>
      </c>
      <c r="W69">
        <v>7</v>
      </c>
      <c r="X69">
        <v>1182.74</v>
      </c>
      <c r="Y69">
        <v>1182.74</v>
      </c>
      <c r="Z69">
        <f>AVERAGEIFS(Table1[FinalElo], Table1[Country], Table1[[#This Row],[Country]])</f>
        <v>1057.4495402298851</v>
      </c>
      <c r="AA69" cm="1">
        <f t="array" ref="AA69">IF(COUNTIFS(Table1[Country],Table1[[#This Row],[Country]])=1,0, _xlfn.STDEV.S(IF(Table1[Country]=Table1[[#This Row],[Country]],Table1[FinalElo])))</f>
        <v>156.98667602259493</v>
      </c>
      <c r="AB69">
        <f>IF(Table1[[#This Row],[CStd]]=0,0, (Table1[[#This Row],[FinalElo]]-Table1[[#This Row],[CAvg]]) / Table1[[#This Row],[CStd]])</f>
        <v>0.79809613748418995</v>
      </c>
      <c r="AC69" t="str">
        <f>IF(Table1[[#This Row],[CStd]]=0,"Normal", IF(ABS(Table1[[#This Row],[CZscore]])&gt;2,"Outlier","Normal"))</f>
        <v>Normal</v>
      </c>
    </row>
    <row r="70" spans="1:29" x14ac:dyDescent="0.35">
      <c r="A70" t="s">
        <v>2549</v>
      </c>
      <c r="B70">
        <v>76.2</v>
      </c>
      <c r="C70">
        <v>176</v>
      </c>
      <c r="D70" t="s">
        <v>38</v>
      </c>
      <c r="E70">
        <v>35</v>
      </c>
      <c r="F70" t="s">
        <v>2550</v>
      </c>
      <c r="G70" t="s">
        <v>54</v>
      </c>
      <c r="H70" t="s">
        <v>29</v>
      </c>
      <c r="I70" t="s">
        <v>30</v>
      </c>
      <c r="J70">
        <v>1</v>
      </c>
      <c r="K70">
        <v>0</v>
      </c>
      <c r="L70">
        <v>0</v>
      </c>
      <c r="M70">
        <v>0</v>
      </c>
      <c r="N70">
        <v>0</v>
      </c>
      <c r="O70">
        <v>0</v>
      </c>
      <c r="P70">
        <v>1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1</v>
      </c>
      <c r="X70">
        <v>1128.01</v>
      </c>
      <c r="Y70">
        <v>1128.01</v>
      </c>
      <c r="Z70">
        <f>AVERAGEIFS(Table1[FinalElo], Table1[Country], Table1[[#This Row],[Country]])</f>
        <v>1057.4495402298851</v>
      </c>
      <c r="AA70" cm="1">
        <f t="array" ref="AA70">IF(COUNTIFS(Table1[Country],Table1[[#This Row],[Country]])=1,0, _xlfn.STDEV.S(IF(Table1[Country]=Table1[[#This Row],[Country]],Table1[FinalElo])))</f>
        <v>156.98667602259493</v>
      </c>
      <c r="AB70">
        <f>IF(Table1[[#This Row],[CStd]]=0,0, (Table1[[#This Row],[FinalElo]]-Table1[[#This Row],[CAvg]]) / Table1[[#This Row],[CStd]])</f>
        <v>0.4494678246449349</v>
      </c>
      <c r="AC70" t="str">
        <f>IF(Table1[[#This Row],[CStd]]=0,"Normal", IF(ABS(Table1[[#This Row],[CZscore]])&gt;2,"Outlier","Normal"))</f>
        <v>Normal</v>
      </c>
    </row>
    <row r="71" spans="1:29" x14ac:dyDescent="0.35">
      <c r="A71" t="s">
        <v>2547</v>
      </c>
      <c r="B71">
        <v>70.31</v>
      </c>
      <c r="C71">
        <v>180</v>
      </c>
      <c r="D71" t="s">
        <v>38</v>
      </c>
      <c r="E71">
        <v>32</v>
      </c>
      <c r="F71" t="s">
        <v>2548</v>
      </c>
      <c r="G71" t="s">
        <v>40</v>
      </c>
      <c r="H71" t="s">
        <v>29</v>
      </c>
      <c r="I71" t="s">
        <v>30</v>
      </c>
      <c r="J71">
        <v>1</v>
      </c>
      <c r="K71">
        <v>0</v>
      </c>
      <c r="L71">
        <v>0</v>
      </c>
      <c r="M71">
        <v>0</v>
      </c>
      <c r="N71">
        <v>0</v>
      </c>
      <c r="O71">
        <v>0</v>
      </c>
      <c r="P71">
        <v>1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1</v>
      </c>
      <c r="X71">
        <v>1100</v>
      </c>
      <c r="Y71">
        <v>1100</v>
      </c>
      <c r="Z71">
        <f>AVERAGEIFS(Table1[FinalElo], Table1[Country], Table1[[#This Row],[Country]])</f>
        <v>1057.4495402298851</v>
      </c>
      <c r="AA71" cm="1">
        <f t="array" ref="AA71">IF(COUNTIFS(Table1[Country],Table1[[#This Row],[Country]])=1,0, _xlfn.STDEV.S(IF(Table1[Country]=Table1[[#This Row],[Country]],Table1[FinalElo])))</f>
        <v>156.98667602259493</v>
      </c>
      <c r="AB71">
        <f>IF(Table1[[#This Row],[CStd]]=0,0, (Table1[[#This Row],[FinalElo]]-Table1[[#This Row],[CAvg]]) / Table1[[#This Row],[CStd]])</f>
        <v>0.27104503928722373</v>
      </c>
      <c r="AC71" t="str">
        <f>IF(Table1[[#This Row],[CStd]]=0,"Normal", IF(ABS(Table1[[#This Row],[CZscore]])&gt;2,"Outlier","Normal"))</f>
        <v>Normal</v>
      </c>
    </row>
    <row r="72" spans="1:29" x14ac:dyDescent="0.35">
      <c r="A72" t="s">
        <v>2545</v>
      </c>
      <c r="B72">
        <v>70.31</v>
      </c>
      <c r="C72">
        <v>178</v>
      </c>
      <c r="D72" t="s">
        <v>38</v>
      </c>
      <c r="E72">
        <v>27</v>
      </c>
      <c r="F72" t="s">
        <v>2546</v>
      </c>
      <c r="G72" t="s">
        <v>34</v>
      </c>
      <c r="H72" t="s">
        <v>29</v>
      </c>
      <c r="I72" t="s">
        <v>30</v>
      </c>
      <c r="J72">
        <v>0</v>
      </c>
      <c r="K72">
        <v>2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2</v>
      </c>
      <c r="V72">
        <v>0</v>
      </c>
      <c r="W72">
        <v>2</v>
      </c>
      <c r="X72">
        <v>848.44</v>
      </c>
      <c r="Y72">
        <v>1000</v>
      </c>
      <c r="Z72">
        <f>AVERAGEIFS(Table1[FinalElo], Table1[Country], Table1[[#This Row],[Country]])</f>
        <v>1057.4495402298851</v>
      </c>
      <c r="AA72" cm="1">
        <f t="array" ref="AA72">IF(COUNTIFS(Table1[Country],Table1[[#This Row],[Country]])=1,0, _xlfn.STDEV.S(IF(Table1[Country]=Table1[[#This Row],[Country]],Table1[FinalElo])))</f>
        <v>156.98667602259493</v>
      </c>
      <c r="AB72">
        <f>IF(Table1[[#This Row],[CStd]]=0,0, (Table1[[#This Row],[FinalElo]]-Table1[[#This Row],[CAvg]]) / Table1[[#This Row],[CStd]])</f>
        <v>-1.3313839462388675</v>
      </c>
      <c r="AC72" t="str">
        <f>IF(Table1[[#This Row],[CStd]]=0,"Normal", IF(ABS(Table1[[#This Row],[CZscore]])&gt;2,"Outlier","Normal"))</f>
        <v>Normal</v>
      </c>
    </row>
    <row r="73" spans="1:29" x14ac:dyDescent="0.35">
      <c r="A73" t="s">
        <v>2544</v>
      </c>
      <c r="B73">
        <v>57.152591999999999</v>
      </c>
      <c r="C73">
        <v>172</v>
      </c>
      <c r="D73" t="s">
        <v>89</v>
      </c>
      <c r="E73">
        <v>25</v>
      </c>
      <c r="F73" t="s">
        <v>341</v>
      </c>
      <c r="G73" t="s">
        <v>28</v>
      </c>
      <c r="H73" t="s">
        <v>29</v>
      </c>
      <c r="I73" t="s">
        <v>58</v>
      </c>
      <c r="J73">
        <v>1</v>
      </c>
      <c r="K73">
        <v>0</v>
      </c>
      <c r="L73">
        <v>0</v>
      </c>
      <c r="M73">
        <v>0</v>
      </c>
      <c r="N73">
        <v>0</v>
      </c>
      <c r="O73">
        <v>0</v>
      </c>
      <c r="P73">
        <v>1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1</v>
      </c>
      <c r="X73">
        <v>1086.3499999999999</v>
      </c>
      <c r="Y73">
        <v>1086.3499999999999</v>
      </c>
      <c r="Z73">
        <f>AVERAGEIFS(Table1[FinalElo], Table1[Country], Table1[[#This Row],[Country]])</f>
        <v>1012.0629025423733</v>
      </c>
      <c r="AA73" cm="1">
        <f t="array" ref="AA73">IF(COUNTIFS(Table1[Country],Table1[[#This Row],[Country]])=1,0, _xlfn.STDEV.S(IF(Table1[Country]=Table1[[#This Row],[Country]],Table1[FinalElo])))</f>
        <v>148.42180446198614</v>
      </c>
      <c r="AB73">
        <f>IF(Table1[[#This Row],[CStd]]=0,0, (Table1[[#This Row],[FinalElo]]-Table1[[#This Row],[CAvg]]) / Table1[[#This Row],[CStd]])</f>
        <v>0.50051336949385383</v>
      </c>
      <c r="AC73" t="str">
        <f>IF(Table1[[#This Row],[CStd]]=0,"Normal", IF(ABS(Table1[[#This Row],[CZscore]])&gt;2,"Outlier","Normal"))</f>
        <v>Normal</v>
      </c>
    </row>
    <row r="74" spans="1:29" x14ac:dyDescent="0.35">
      <c r="A74" t="s">
        <v>2542</v>
      </c>
      <c r="B74">
        <v>61.2</v>
      </c>
      <c r="C74">
        <v>163</v>
      </c>
      <c r="D74" t="s">
        <v>2543</v>
      </c>
      <c r="E74">
        <v>28</v>
      </c>
      <c r="F74" t="s">
        <v>817</v>
      </c>
      <c r="G74" t="s">
        <v>40</v>
      </c>
      <c r="H74" t="s">
        <v>29</v>
      </c>
      <c r="I74" t="s">
        <v>58</v>
      </c>
      <c r="J74">
        <v>2</v>
      </c>
      <c r="K74">
        <v>0</v>
      </c>
      <c r="L74">
        <v>0</v>
      </c>
      <c r="M74">
        <v>1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2</v>
      </c>
      <c r="X74">
        <v>1151.56</v>
      </c>
      <c r="Y74">
        <v>1151.56</v>
      </c>
      <c r="Z74">
        <f>AVERAGEIFS(Table1[FinalElo], Table1[Country], Table1[[#This Row],[Country]])</f>
        <v>1151.56</v>
      </c>
      <c r="AA74" cm="1">
        <f t="array" ref="AA74">IF(COUNTIFS(Table1[Country],Table1[[#This Row],[Country]])=1,0, _xlfn.STDEV.S(IF(Table1[Country]=Table1[[#This Row],[Country]],Table1[FinalElo])))</f>
        <v>0</v>
      </c>
      <c r="AB74">
        <f>IF(Table1[[#This Row],[CStd]]=0,0, (Table1[[#This Row],[FinalElo]]-Table1[[#This Row],[CAvg]]) / Table1[[#This Row],[CStd]])</f>
        <v>0</v>
      </c>
      <c r="AC74" t="str">
        <f>IF(Table1[[#This Row],[CStd]]=0,"Normal", IF(ABS(Table1[[#This Row],[CZscore]])&gt;2,"Outlier","Normal"))</f>
        <v>Normal</v>
      </c>
    </row>
    <row r="75" spans="1:29" x14ac:dyDescent="0.35">
      <c r="A75" t="s">
        <v>2538</v>
      </c>
      <c r="B75">
        <v>70.7</v>
      </c>
      <c r="C75">
        <v>181</v>
      </c>
      <c r="D75" t="s">
        <v>32</v>
      </c>
      <c r="E75">
        <v>28</v>
      </c>
      <c r="F75" t="s">
        <v>1529</v>
      </c>
      <c r="G75" t="s">
        <v>34</v>
      </c>
      <c r="H75" t="s">
        <v>29</v>
      </c>
      <c r="I75" t="s">
        <v>30</v>
      </c>
      <c r="J75">
        <v>1</v>
      </c>
      <c r="K75">
        <v>1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1</v>
      </c>
      <c r="S75">
        <v>0</v>
      </c>
      <c r="T75">
        <v>0</v>
      </c>
      <c r="U75">
        <v>0</v>
      </c>
      <c r="V75">
        <v>0</v>
      </c>
      <c r="W75">
        <v>2</v>
      </c>
      <c r="X75">
        <v>1013.36</v>
      </c>
      <c r="Y75">
        <v>1100</v>
      </c>
      <c r="Z75">
        <f>AVERAGEIFS(Table1[FinalElo], Table1[Country], Table1[[#This Row],[Country]])</f>
        <v>1025.3786885245902</v>
      </c>
      <c r="AA75" cm="1">
        <f t="array" ref="AA75">IF(COUNTIFS(Table1[Country],Table1[[#This Row],[Country]])=1,0, _xlfn.STDEV.S(IF(Table1[Country]=Table1[[#This Row],[Country]],Table1[FinalElo])))</f>
        <v>144.71595558743479</v>
      </c>
      <c r="AB75">
        <f>IF(Table1[[#This Row],[CStd]]=0,0, (Table1[[#This Row],[FinalElo]]-Table1[[#This Row],[CAvg]]) / Table1[[#This Row],[CStd]])</f>
        <v>-8.3050196336703852E-2</v>
      </c>
      <c r="AC75" t="str">
        <f>IF(Table1[[#This Row],[CStd]]=0,"Normal", IF(ABS(Table1[[#This Row],[CZscore]])&gt;2,"Outlier","Normal"))</f>
        <v>Normal</v>
      </c>
    </row>
    <row r="76" spans="1:29" x14ac:dyDescent="0.35">
      <c r="A76" t="s">
        <v>2536</v>
      </c>
      <c r="B76">
        <v>65.8</v>
      </c>
      <c r="C76">
        <v>173</v>
      </c>
      <c r="D76" t="s">
        <v>26</v>
      </c>
      <c r="E76">
        <v>32</v>
      </c>
      <c r="F76" t="s">
        <v>2537</v>
      </c>
      <c r="G76" t="s">
        <v>34</v>
      </c>
      <c r="H76" t="s">
        <v>29</v>
      </c>
      <c r="I76" t="s">
        <v>48</v>
      </c>
      <c r="J76">
        <v>0</v>
      </c>
      <c r="K76">
        <v>3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3</v>
      </c>
      <c r="V76">
        <v>0</v>
      </c>
      <c r="W76">
        <v>3</v>
      </c>
      <c r="X76">
        <v>793.84</v>
      </c>
      <c r="Y76">
        <v>1000</v>
      </c>
      <c r="Z76">
        <f>AVERAGEIFS(Table1[FinalElo], Table1[Country], Table1[[#This Row],[Country]])</f>
        <v>979.07416666666666</v>
      </c>
      <c r="AA76" cm="1">
        <f t="array" ref="AA76">IF(COUNTIFS(Table1[Country],Table1[[#This Row],[Country]])=1,0, _xlfn.STDEV.S(IF(Table1[Country]=Table1[[#This Row],[Country]],Table1[FinalElo])))</f>
        <v>130.18126931728986</v>
      </c>
      <c r="AB76">
        <f>IF(Table1[[#This Row],[CStd]]=0,0, (Table1[[#This Row],[FinalElo]]-Table1[[#This Row],[CAvg]]) / Table1[[#This Row],[CStd]])</f>
        <v>-1.4228941508873809</v>
      </c>
      <c r="AC76" t="str">
        <f>IF(Table1[[#This Row],[CStd]]=0,"Normal", IF(ABS(Table1[[#This Row],[CZscore]])&gt;2,"Outlier","Normal"))</f>
        <v>Normal</v>
      </c>
    </row>
    <row r="77" spans="1:29" x14ac:dyDescent="0.35">
      <c r="A77" t="s">
        <v>2535</v>
      </c>
      <c r="B77">
        <v>70.31</v>
      </c>
      <c r="C77">
        <v>180</v>
      </c>
      <c r="D77" t="s">
        <v>32</v>
      </c>
      <c r="E77">
        <v>28</v>
      </c>
      <c r="F77" t="s">
        <v>33</v>
      </c>
      <c r="G77" t="s">
        <v>34</v>
      </c>
      <c r="H77" t="s">
        <v>29</v>
      </c>
      <c r="I77" t="s">
        <v>30</v>
      </c>
      <c r="J77">
        <v>0</v>
      </c>
      <c r="K77">
        <v>1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1</v>
      </c>
      <c r="V77">
        <v>0</v>
      </c>
      <c r="W77">
        <v>1</v>
      </c>
      <c r="X77">
        <v>900</v>
      </c>
      <c r="Y77">
        <v>1000</v>
      </c>
      <c r="Z77">
        <f>AVERAGEIFS(Table1[FinalElo], Table1[Country], Table1[[#This Row],[Country]])</f>
        <v>1025.3786885245902</v>
      </c>
      <c r="AA77" cm="1">
        <f t="array" ref="AA77">IF(COUNTIFS(Table1[Country],Table1[[#This Row],[Country]])=1,0, _xlfn.STDEV.S(IF(Table1[Country]=Table1[[#This Row],[Country]],Table1[FinalElo])))</f>
        <v>144.71595558743479</v>
      </c>
      <c r="AB77">
        <f>IF(Table1[[#This Row],[CStd]]=0,0, (Table1[[#This Row],[FinalElo]]-Table1[[#This Row],[CAvg]]) / Table1[[#This Row],[CStd]])</f>
        <v>-0.86637778132791055</v>
      </c>
      <c r="AC77" t="str">
        <f>IF(Table1[[#This Row],[CStd]]=0,"Normal", IF(ABS(Table1[[#This Row],[CZscore]])&gt;2,"Outlier","Normal"))</f>
        <v>Normal</v>
      </c>
    </row>
    <row r="78" spans="1:29" x14ac:dyDescent="0.35">
      <c r="A78" t="s">
        <v>2534</v>
      </c>
      <c r="B78">
        <v>47.63</v>
      </c>
      <c r="C78">
        <v>164</v>
      </c>
      <c r="D78" t="s">
        <v>396</v>
      </c>
      <c r="E78">
        <v>29</v>
      </c>
      <c r="F78" t="s">
        <v>133</v>
      </c>
      <c r="G78" t="s">
        <v>34</v>
      </c>
      <c r="H78" t="s">
        <v>29</v>
      </c>
      <c r="I78" t="s">
        <v>55</v>
      </c>
      <c r="J78">
        <v>1</v>
      </c>
      <c r="K78">
        <v>1</v>
      </c>
      <c r="L78">
        <v>0</v>
      </c>
      <c r="M78">
        <v>1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1</v>
      </c>
      <c r="W78">
        <v>2</v>
      </c>
      <c r="X78">
        <v>1082.4000000000001</v>
      </c>
      <c r="Y78">
        <v>1082.4000000000001</v>
      </c>
      <c r="Z78">
        <f>AVERAGEIFS(Table1[FinalElo], Table1[Country], Table1[[#This Row],[Country]])</f>
        <v>998.29391304347814</v>
      </c>
      <c r="AA78" cm="1">
        <f t="array" ref="AA78">IF(COUNTIFS(Table1[Country],Table1[[#This Row],[Country]])=1,0, _xlfn.STDEV.S(IF(Table1[Country]=Table1[[#This Row],[Country]],Table1[FinalElo])))</f>
        <v>125.31531828802386</v>
      </c>
      <c r="AB78">
        <f>IF(Table1[[#This Row],[CStd]]=0,0, (Table1[[#This Row],[FinalElo]]-Table1[[#This Row],[CAvg]]) / Table1[[#This Row],[CStd]])</f>
        <v>0.67115567438621593</v>
      </c>
      <c r="AC78" t="str">
        <f>IF(Table1[[#This Row],[CStd]]=0,"Normal", IF(ABS(Table1[[#This Row],[CZscore]])&gt;2,"Outlier","Normal"))</f>
        <v>Normal</v>
      </c>
    </row>
    <row r="79" spans="1:29" x14ac:dyDescent="0.35">
      <c r="A79" t="s">
        <v>2531</v>
      </c>
      <c r="B79">
        <v>52.16</v>
      </c>
      <c r="C79">
        <v>165</v>
      </c>
      <c r="D79" t="s">
        <v>2532</v>
      </c>
      <c r="E79">
        <v>20</v>
      </c>
      <c r="F79" t="s">
        <v>2533</v>
      </c>
      <c r="G79" t="s">
        <v>34</v>
      </c>
      <c r="H79" t="s">
        <v>29</v>
      </c>
      <c r="I79" t="s">
        <v>36</v>
      </c>
      <c r="J79">
        <v>0</v>
      </c>
      <c r="K79">
        <v>1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1</v>
      </c>
      <c r="X79">
        <v>941.91</v>
      </c>
      <c r="Y79">
        <v>1000</v>
      </c>
      <c r="Z79">
        <f>AVERAGEIFS(Table1[FinalElo], Table1[Country], Table1[[#This Row],[Country]])</f>
        <v>941.91</v>
      </c>
      <c r="AA79" cm="1">
        <f t="array" ref="AA79">IF(COUNTIFS(Table1[Country],Table1[[#This Row],[Country]])=1,0, _xlfn.STDEV.S(IF(Table1[Country]=Table1[[#This Row],[Country]],Table1[FinalElo])))</f>
        <v>0</v>
      </c>
      <c r="AB79">
        <f>IF(Table1[[#This Row],[CStd]]=0,0, (Table1[[#This Row],[FinalElo]]-Table1[[#This Row],[CAvg]]) / Table1[[#This Row],[CStd]])</f>
        <v>0</v>
      </c>
      <c r="AC79" t="str">
        <f>IF(Table1[[#This Row],[CStd]]=0,"Normal", IF(ABS(Table1[[#This Row],[CZscore]])&gt;2,"Outlier","Normal"))</f>
        <v>Normal</v>
      </c>
    </row>
    <row r="80" spans="1:29" x14ac:dyDescent="0.35">
      <c r="A80" t="s">
        <v>2529</v>
      </c>
      <c r="B80">
        <v>60.9</v>
      </c>
      <c r="C80">
        <v>174</v>
      </c>
      <c r="D80" t="s">
        <v>38</v>
      </c>
      <c r="E80">
        <v>26</v>
      </c>
      <c r="F80" t="s">
        <v>2530</v>
      </c>
      <c r="G80" t="s">
        <v>40</v>
      </c>
      <c r="H80" t="s">
        <v>29</v>
      </c>
      <c r="I80" t="s">
        <v>58</v>
      </c>
      <c r="J80">
        <v>1</v>
      </c>
      <c r="K80">
        <v>1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1</v>
      </c>
      <c r="T80">
        <v>0</v>
      </c>
      <c r="U80">
        <v>0</v>
      </c>
      <c r="V80">
        <v>0</v>
      </c>
      <c r="W80">
        <v>2</v>
      </c>
      <c r="X80">
        <v>1006.13</v>
      </c>
      <c r="Y80">
        <v>1100</v>
      </c>
      <c r="Z80">
        <f>AVERAGEIFS(Table1[FinalElo], Table1[Country], Table1[[#This Row],[Country]])</f>
        <v>1057.4495402298851</v>
      </c>
      <c r="AA80" cm="1">
        <f t="array" ref="AA80">IF(COUNTIFS(Table1[Country],Table1[[#This Row],[Country]])=1,0, _xlfn.STDEV.S(IF(Table1[Country]=Table1[[#This Row],[Country]],Table1[FinalElo])))</f>
        <v>156.98667602259493</v>
      </c>
      <c r="AB80">
        <f>IF(Table1[[#This Row],[CStd]]=0,0, (Table1[[#This Row],[FinalElo]]-Table1[[#This Row],[CAvg]]) / Table1[[#This Row],[CStd]])</f>
        <v>-0.32690379546923282</v>
      </c>
      <c r="AC80" t="str">
        <f>IF(Table1[[#This Row],[CStd]]=0,"Normal", IF(ABS(Table1[[#This Row],[CZscore]])&gt;2,"Outlier","Normal"))</f>
        <v>Normal</v>
      </c>
    </row>
    <row r="81" spans="1:29" x14ac:dyDescent="0.35">
      <c r="A81" t="s">
        <v>2527</v>
      </c>
      <c r="B81">
        <v>82.7</v>
      </c>
      <c r="C81">
        <v>173</v>
      </c>
      <c r="D81" t="s">
        <v>32</v>
      </c>
      <c r="E81">
        <v>29</v>
      </c>
      <c r="F81" t="s">
        <v>2528</v>
      </c>
      <c r="G81" t="s">
        <v>40</v>
      </c>
      <c r="H81" t="s">
        <v>29</v>
      </c>
      <c r="I81" t="s">
        <v>50</v>
      </c>
      <c r="J81">
        <v>1</v>
      </c>
      <c r="K81">
        <v>3</v>
      </c>
      <c r="L81">
        <v>0</v>
      </c>
      <c r="M81">
        <v>0</v>
      </c>
      <c r="N81">
        <v>1</v>
      </c>
      <c r="O81">
        <v>0</v>
      </c>
      <c r="P81">
        <v>0</v>
      </c>
      <c r="Q81">
        <v>0</v>
      </c>
      <c r="R81">
        <v>0</v>
      </c>
      <c r="S81">
        <v>2</v>
      </c>
      <c r="T81">
        <v>0</v>
      </c>
      <c r="U81">
        <v>0</v>
      </c>
      <c r="V81">
        <v>0</v>
      </c>
      <c r="W81">
        <v>4</v>
      </c>
      <c r="X81">
        <v>874.02</v>
      </c>
      <c r="Y81">
        <v>1028.01</v>
      </c>
      <c r="Z81">
        <f>AVERAGEIFS(Table1[FinalElo], Table1[Country], Table1[[#This Row],[Country]])</f>
        <v>1025.3786885245902</v>
      </c>
      <c r="AA81" cm="1">
        <f t="array" ref="AA81">IF(COUNTIFS(Table1[Country],Table1[[#This Row],[Country]])=1,0, _xlfn.STDEV.S(IF(Table1[Country]=Table1[[#This Row],[Country]],Table1[FinalElo])))</f>
        <v>144.71595558743479</v>
      </c>
      <c r="AB81">
        <f>IF(Table1[[#This Row],[CStd]]=0,0, (Table1[[#This Row],[FinalElo]]-Table1[[#This Row],[CAvg]]) / Table1[[#This Row],[CStd]])</f>
        <v>-1.0459018697018656</v>
      </c>
      <c r="AC81" t="str">
        <f>IF(Table1[[#This Row],[CStd]]=0,"Normal", IF(ABS(Table1[[#This Row],[CZscore]])&gt;2,"Outlier","Normal"))</f>
        <v>Normal</v>
      </c>
    </row>
    <row r="82" spans="1:29" x14ac:dyDescent="0.35">
      <c r="A82" t="s">
        <v>2526</v>
      </c>
      <c r="B82">
        <v>61.23</v>
      </c>
      <c r="C82">
        <v>176</v>
      </c>
      <c r="D82" t="s">
        <v>38</v>
      </c>
      <c r="E82">
        <v>33</v>
      </c>
      <c r="F82" t="s">
        <v>1062</v>
      </c>
      <c r="G82" t="s">
        <v>40</v>
      </c>
      <c r="H82" t="s">
        <v>29</v>
      </c>
      <c r="I82" t="s">
        <v>73</v>
      </c>
      <c r="J82">
        <v>1</v>
      </c>
      <c r="K82">
        <v>0</v>
      </c>
      <c r="L82">
        <v>0</v>
      </c>
      <c r="M82">
        <v>0</v>
      </c>
      <c r="N82">
        <v>1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1</v>
      </c>
      <c r="X82">
        <v>1100</v>
      </c>
      <c r="Y82">
        <v>1100</v>
      </c>
      <c r="Z82">
        <f>AVERAGEIFS(Table1[FinalElo], Table1[Country], Table1[[#This Row],[Country]])</f>
        <v>1057.4495402298851</v>
      </c>
      <c r="AA82" cm="1">
        <f t="array" ref="AA82">IF(COUNTIFS(Table1[Country],Table1[[#This Row],[Country]])=1,0, _xlfn.STDEV.S(IF(Table1[Country]=Table1[[#This Row],[Country]],Table1[FinalElo])))</f>
        <v>156.98667602259493</v>
      </c>
      <c r="AB82">
        <f>IF(Table1[[#This Row],[CStd]]=0,0, (Table1[[#This Row],[FinalElo]]-Table1[[#This Row],[CAvg]]) / Table1[[#This Row],[CStd]])</f>
        <v>0.27104503928722373</v>
      </c>
      <c r="AC82" t="str">
        <f>IF(Table1[[#This Row],[CStd]]=0,"Normal", IF(ABS(Table1[[#This Row],[CZscore]])&gt;2,"Outlier","Normal"))</f>
        <v>Normal</v>
      </c>
    </row>
    <row r="83" spans="1:29" x14ac:dyDescent="0.35">
      <c r="A83" t="s">
        <v>2525</v>
      </c>
      <c r="B83">
        <v>66.599999999999994</v>
      </c>
      <c r="C83">
        <v>180</v>
      </c>
      <c r="D83" t="s">
        <v>384</v>
      </c>
      <c r="E83">
        <v>26</v>
      </c>
      <c r="F83" t="s">
        <v>87</v>
      </c>
      <c r="G83" t="s">
        <v>28</v>
      </c>
      <c r="H83" t="s">
        <v>29</v>
      </c>
      <c r="I83" t="s">
        <v>48</v>
      </c>
      <c r="J83">
        <v>2</v>
      </c>
      <c r="K83">
        <v>1</v>
      </c>
      <c r="L83">
        <v>0</v>
      </c>
      <c r="M83">
        <v>1</v>
      </c>
      <c r="N83">
        <v>0</v>
      </c>
      <c r="O83">
        <v>0</v>
      </c>
      <c r="P83">
        <v>0</v>
      </c>
      <c r="Q83">
        <v>1</v>
      </c>
      <c r="R83">
        <v>0</v>
      </c>
      <c r="S83">
        <v>0</v>
      </c>
      <c r="T83">
        <v>0</v>
      </c>
      <c r="U83">
        <v>1</v>
      </c>
      <c r="V83">
        <v>0</v>
      </c>
      <c r="W83">
        <v>3</v>
      </c>
      <c r="X83">
        <v>1119.97</v>
      </c>
      <c r="Y83">
        <v>1119.97</v>
      </c>
      <c r="Z83">
        <f>AVERAGEIFS(Table1[FinalElo], Table1[Country], Table1[[#This Row],[Country]])</f>
        <v>1054.6869565217391</v>
      </c>
      <c r="AA83" cm="1">
        <f t="array" ref="AA83">IF(COUNTIFS(Table1[Country],Table1[[#This Row],[Country]])=1,0, _xlfn.STDEV.S(IF(Table1[Country]=Table1[[#This Row],[Country]],Table1[FinalElo])))</f>
        <v>191.2923801275472</v>
      </c>
      <c r="AB83">
        <f>IF(Table1[[#This Row],[CStd]]=0,0, (Table1[[#This Row],[FinalElo]]-Table1[[#This Row],[CAvg]]) / Table1[[#This Row],[CStd]])</f>
        <v>0.34127362226729774</v>
      </c>
      <c r="AC83" t="str">
        <f>IF(Table1[[#This Row],[CStd]]=0,"Normal", IF(ABS(Table1[[#This Row],[CZscore]])&gt;2,"Outlier","Normal"))</f>
        <v>Normal</v>
      </c>
    </row>
    <row r="84" spans="1:29" x14ac:dyDescent="0.35">
      <c r="A84" t="s">
        <v>2524</v>
      </c>
      <c r="B84">
        <v>58</v>
      </c>
      <c r="C84">
        <v>169</v>
      </c>
      <c r="D84" t="s">
        <v>89</v>
      </c>
      <c r="E84">
        <v>-1</v>
      </c>
      <c r="F84" t="s">
        <v>1202</v>
      </c>
      <c r="G84" t="s">
        <v>34</v>
      </c>
      <c r="H84" t="s">
        <v>29</v>
      </c>
      <c r="I84" t="s">
        <v>58</v>
      </c>
      <c r="J84">
        <v>0</v>
      </c>
      <c r="K84">
        <v>1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1</v>
      </c>
      <c r="X84">
        <v>900</v>
      </c>
      <c r="Y84">
        <v>1000</v>
      </c>
      <c r="Z84">
        <f>AVERAGEIFS(Table1[FinalElo], Table1[Country], Table1[[#This Row],[Country]])</f>
        <v>1012.0629025423733</v>
      </c>
      <c r="AA84" cm="1">
        <f t="array" ref="AA84">IF(COUNTIFS(Table1[Country],Table1[[#This Row],[Country]])=1,0, _xlfn.STDEV.S(IF(Table1[Country]=Table1[[#This Row],[Country]],Table1[FinalElo])))</f>
        <v>148.42180446198614</v>
      </c>
      <c r="AB84">
        <f>IF(Table1[[#This Row],[CStd]]=0,0, (Table1[[#This Row],[FinalElo]]-Table1[[#This Row],[CAvg]]) / Table1[[#This Row],[CStd]])</f>
        <v>-0.75502991591154589</v>
      </c>
      <c r="AC84" t="str">
        <f>IF(Table1[[#This Row],[CStd]]=0,"Normal", IF(ABS(Table1[[#This Row],[CZscore]])&gt;2,"Outlier","Normal"))</f>
        <v>Normal</v>
      </c>
    </row>
    <row r="85" spans="1:29" x14ac:dyDescent="0.35">
      <c r="A85" t="s">
        <v>2522</v>
      </c>
      <c r="B85">
        <v>58.96696</v>
      </c>
      <c r="C85">
        <v>170</v>
      </c>
      <c r="D85" t="s">
        <v>2523</v>
      </c>
      <c r="E85">
        <v>19</v>
      </c>
      <c r="F85" t="s">
        <v>949</v>
      </c>
      <c r="G85" t="s">
        <v>34</v>
      </c>
      <c r="H85" t="s">
        <v>29</v>
      </c>
      <c r="I85" t="s">
        <v>58</v>
      </c>
      <c r="J85">
        <v>3</v>
      </c>
      <c r="K85">
        <v>0</v>
      </c>
      <c r="L85">
        <v>0</v>
      </c>
      <c r="M85">
        <v>0</v>
      </c>
      <c r="N85">
        <v>0</v>
      </c>
      <c r="O85">
        <v>0</v>
      </c>
      <c r="P85">
        <v>2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3</v>
      </c>
      <c r="X85">
        <v>1265.1099999999999</v>
      </c>
      <c r="Y85">
        <v>1265.1099999999999</v>
      </c>
      <c r="Z85">
        <f>AVERAGEIFS(Table1[FinalElo], Table1[Country], Table1[[#This Row],[Country]])</f>
        <v>1265.1099999999999</v>
      </c>
      <c r="AA85" cm="1">
        <f t="array" ref="AA85">IF(COUNTIFS(Table1[Country],Table1[[#This Row],[Country]])=1,0, _xlfn.STDEV.S(IF(Table1[Country]=Table1[[#This Row],[Country]],Table1[FinalElo])))</f>
        <v>0</v>
      </c>
      <c r="AB85">
        <f>IF(Table1[[#This Row],[CStd]]=0,0, (Table1[[#This Row],[FinalElo]]-Table1[[#This Row],[CAvg]]) / Table1[[#This Row],[CStd]])</f>
        <v>0</v>
      </c>
      <c r="AC85" t="str">
        <f>IF(Table1[[#This Row],[CStd]]=0,"Normal", IF(ABS(Table1[[#This Row],[CZscore]])&gt;2,"Outlier","Normal"))</f>
        <v>Normal</v>
      </c>
    </row>
    <row r="86" spans="1:29" x14ac:dyDescent="0.35">
      <c r="A86" t="s">
        <v>2520</v>
      </c>
      <c r="B86">
        <v>78.900000000000006</v>
      </c>
      <c r="C86">
        <v>175</v>
      </c>
      <c r="D86" t="s">
        <v>38</v>
      </c>
      <c r="E86">
        <v>41</v>
      </c>
      <c r="F86" t="s">
        <v>2521</v>
      </c>
      <c r="G86" t="s">
        <v>54</v>
      </c>
      <c r="H86" t="s">
        <v>29</v>
      </c>
      <c r="I86" t="s">
        <v>50</v>
      </c>
      <c r="J86">
        <v>0</v>
      </c>
      <c r="K86">
        <v>2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2</v>
      </c>
      <c r="T86">
        <v>0</v>
      </c>
      <c r="U86">
        <v>0</v>
      </c>
      <c r="V86">
        <v>0</v>
      </c>
      <c r="W86">
        <v>2</v>
      </c>
      <c r="X86">
        <v>885.42</v>
      </c>
      <c r="Y86">
        <v>1000</v>
      </c>
      <c r="Z86">
        <f>AVERAGEIFS(Table1[FinalElo], Table1[Country], Table1[[#This Row],[Country]])</f>
        <v>1057.4495402298851</v>
      </c>
      <c r="AA86" cm="1">
        <f t="array" ref="AA86">IF(COUNTIFS(Table1[Country],Table1[[#This Row],[Country]])=1,0, _xlfn.STDEV.S(IF(Table1[Country]=Table1[[#This Row],[Country]],Table1[FinalElo])))</f>
        <v>156.98667602259493</v>
      </c>
      <c r="AB86">
        <f>IF(Table1[[#This Row],[CStd]]=0,0, (Table1[[#This Row],[FinalElo]]-Table1[[#This Row],[CAvg]]) / Table1[[#This Row],[CStd]])</f>
        <v>-1.0958225537887374</v>
      </c>
      <c r="AC86" t="str">
        <f>IF(Table1[[#This Row],[CStd]]=0,"Normal", IF(ABS(Table1[[#This Row],[CZscore]])&gt;2,"Outlier","Normal"))</f>
        <v>Normal</v>
      </c>
    </row>
    <row r="87" spans="1:29" x14ac:dyDescent="0.35">
      <c r="A87" t="s">
        <v>2518</v>
      </c>
      <c r="B87">
        <v>61.23</v>
      </c>
      <c r="C87">
        <v>184</v>
      </c>
      <c r="D87" t="s">
        <v>174</v>
      </c>
      <c r="E87">
        <v>24</v>
      </c>
      <c r="F87" t="s">
        <v>2519</v>
      </c>
      <c r="G87" t="s">
        <v>34</v>
      </c>
      <c r="H87" t="s">
        <v>29</v>
      </c>
      <c r="I87" t="s">
        <v>73</v>
      </c>
      <c r="J87">
        <v>4</v>
      </c>
      <c r="K87">
        <v>3</v>
      </c>
      <c r="L87">
        <v>0</v>
      </c>
      <c r="M87">
        <v>1</v>
      </c>
      <c r="N87">
        <v>0</v>
      </c>
      <c r="O87">
        <v>0</v>
      </c>
      <c r="P87">
        <v>0</v>
      </c>
      <c r="Q87">
        <v>1</v>
      </c>
      <c r="R87">
        <v>1</v>
      </c>
      <c r="S87">
        <v>0</v>
      </c>
      <c r="T87">
        <v>0</v>
      </c>
      <c r="U87">
        <v>1</v>
      </c>
      <c r="V87">
        <v>1</v>
      </c>
      <c r="W87">
        <v>7</v>
      </c>
      <c r="X87">
        <v>1136.95</v>
      </c>
      <c r="Y87">
        <v>1136.95</v>
      </c>
      <c r="Z87">
        <f>AVERAGEIFS(Table1[FinalElo], Table1[Country], Table1[[#This Row],[Country]])</f>
        <v>980.52444444444427</v>
      </c>
      <c r="AA87" cm="1">
        <f t="array" ref="AA87">IF(COUNTIFS(Table1[Country],Table1[[#This Row],[Country]])=1,0, _xlfn.STDEV.S(IF(Table1[Country]=Table1[[#This Row],[Country]],Table1[FinalElo])))</f>
        <v>143.66034832022171</v>
      </c>
      <c r="AB87">
        <f>IF(Table1[[#This Row],[CStd]]=0,0, (Table1[[#This Row],[FinalElo]]-Table1[[#This Row],[CAvg]]) / Table1[[#This Row],[CStd]])</f>
        <v>1.0888568584483742</v>
      </c>
      <c r="AC87" t="str">
        <f>IF(Table1[[#This Row],[CStd]]=0,"Normal", IF(ABS(Table1[[#This Row],[CZscore]])&gt;2,"Outlier","Normal"))</f>
        <v>Normal</v>
      </c>
    </row>
    <row r="88" spans="1:29" x14ac:dyDescent="0.35">
      <c r="A88" t="s">
        <v>122</v>
      </c>
      <c r="B88">
        <v>81.599999999999994</v>
      </c>
      <c r="C88">
        <v>178</v>
      </c>
      <c r="D88" t="s">
        <v>52</v>
      </c>
      <c r="E88">
        <v>22</v>
      </c>
      <c r="F88" t="s">
        <v>80</v>
      </c>
      <c r="G88" t="s">
        <v>54</v>
      </c>
      <c r="H88" t="s">
        <v>29</v>
      </c>
      <c r="I88" t="s">
        <v>50</v>
      </c>
      <c r="J88">
        <v>8</v>
      </c>
      <c r="K88">
        <v>0</v>
      </c>
      <c r="L88">
        <v>0</v>
      </c>
      <c r="M88">
        <v>0</v>
      </c>
      <c r="N88">
        <v>4</v>
      </c>
      <c r="O88">
        <v>0</v>
      </c>
      <c r="P88">
        <v>4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8</v>
      </c>
      <c r="X88">
        <v>1538.26</v>
      </c>
      <c r="Y88">
        <v>1538.26</v>
      </c>
      <c r="Z88">
        <f>AVERAGEIFS(Table1[FinalElo], Table1[Country], Table1[[#This Row],[Country]])</f>
        <v>1039.8985714285714</v>
      </c>
      <c r="AA88" cm="1">
        <f t="array" ref="AA88">IF(COUNTIFS(Table1[Country],Table1[[#This Row],[Country]])=1,0, _xlfn.STDEV.S(IF(Table1[Country]=Table1[[#This Row],[Country]],Table1[FinalElo])))</f>
        <v>194.01778111336392</v>
      </c>
      <c r="AB88">
        <f>IF(Table1[[#This Row],[CStd]]=0,0, (Table1[[#This Row],[FinalElo]]-Table1[[#This Row],[CAvg]]) / Table1[[#This Row],[CStd]])</f>
        <v>2.5686379140695244</v>
      </c>
      <c r="AC88" t="str">
        <f>IF(Table1[[#This Row],[CStd]]=0,"Normal", IF(ABS(Table1[[#This Row],[CZscore]])&gt;2,"Outlier","Normal"))</f>
        <v>Outlier</v>
      </c>
    </row>
    <row r="89" spans="1:29" x14ac:dyDescent="0.35">
      <c r="A89" t="s">
        <v>2517</v>
      </c>
      <c r="B89">
        <v>70.099999999999994</v>
      </c>
      <c r="C89">
        <v>178</v>
      </c>
      <c r="D89" t="s">
        <v>202</v>
      </c>
      <c r="E89">
        <v>27</v>
      </c>
      <c r="F89" t="s">
        <v>843</v>
      </c>
      <c r="G89" t="s">
        <v>40</v>
      </c>
      <c r="H89" t="s">
        <v>29</v>
      </c>
      <c r="I89" t="s">
        <v>48</v>
      </c>
      <c r="J89">
        <v>0</v>
      </c>
      <c r="K89">
        <v>1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1</v>
      </c>
      <c r="T89">
        <v>0</v>
      </c>
      <c r="U89">
        <v>0</v>
      </c>
      <c r="V89">
        <v>0</v>
      </c>
      <c r="W89">
        <v>1</v>
      </c>
      <c r="X89">
        <v>942.4</v>
      </c>
      <c r="Y89">
        <v>1000</v>
      </c>
      <c r="Z89">
        <f>AVERAGEIFS(Table1[FinalElo], Table1[Country], Table1[[#This Row],[Country]])</f>
        <v>984.11142857142863</v>
      </c>
      <c r="AA89" cm="1">
        <f t="array" ref="AA89">IF(COUNTIFS(Table1[Country],Table1[[#This Row],[Country]])=1,0, _xlfn.STDEV.S(IF(Table1[Country]=Table1[[#This Row],[Country]],Table1[FinalElo])))</f>
        <v>173.54746521039206</v>
      </c>
      <c r="AB89">
        <f>IF(Table1[[#This Row],[CStd]]=0,0, (Table1[[#This Row],[FinalElo]]-Table1[[#This Row],[CAvg]]) / Table1[[#This Row],[CStd]])</f>
        <v>-0.24034593948613295</v>
      </c>
      <c r="AC89" t="str">
        <f>IF(Table1[[#This Row],[CStd]]=0,"Normal", IF(ABS(Table1[[#This Row],[CZscore]])&gt;2,"Outlier","Normal"))</f>
        <v>Normal</v>
      </c>
    </row>
    <row r="90" spans="1:29" x14ac:dyDescent="0.35">
      <c r="A90" t="s">
        <v>2515</v>
      </c>
      <c r="B90">
        <v>72.574719999999999</v>
      </c>
      <c r="C90">
        <v>182</v>
      </c>
      <c r="D90" t="s">
        <v>396</v>
      </c>
      <c r="E90">
        <v>19</v>
      </c>
      <c r="F90" t="s">
        <v>2516</v>
      </c>
      <c r="G90" t="s">
        <v>34</v>
      </c>
      <c r="H90" t="s">
        <v>29</v>
      </c>
      <c r="I90" t="s">
        <v>30</v>
      </c>
      <c r="J90">
        <v>2</v>
      </c>
      <c r="K90">
        <v>2</v>
      </c>
      <c r="L90">
        <v>0</v>
      </c>
      <c r="M90">
        <v>2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1</v>
      </c>
      <c r="V90">
        <v>0</v>
      </c>
      <c r="W90">
        <v>4</v>
      </c>
      <c r="X90">
        <v>1055.02</v>
      </c>
      <c r="Y90">
        <v>1055.02</v>
      </c>
      <c r="Z90">
        <f>AVERAGEIFS(Table1[FinalElo], Table1[Country], Table1[[#This Row],[Country]])</f>
        <v>998.29391304347814</v>
      </c>
      <c r="AA90" cm="1">
        <f t="array" ref="AA90">IF(COUNTIFS(Table1[Country],Table1[[#This Row],[Country]])=1,0, _xlfn.STDEV.S(IF(Table1[Country]=Table1[[#This Row],[Country]],Table1[FinalElo])))</f>
        <v>125.31531828802386</v>
      </c>
      <c r="AB90">
        <f>IF(Table1[[#This Row],[CStd]]=0,0, (Table1[[#This Row],[FinalElo]]-Table1[[#This Row],[CAvg]]) / Table1[[#This Row],[CStd]])</f>
        <v>0.45266682263171526</v>
      </c>
      <c r="AC90" t="str">
        <f>IF(Table1[[#This Row],[CStd]]=0,"Normal", IF(ABS(Table1[[#This Row],[CZscore]])&gt;2,"Outlier","Normal"))</f>
        <v>Normal</v>
      </c>
    </row>
    <row r="91" spans="1:29" x14ac:dyDescent="0.35">
      <c r="A91" t="s">
        <v>2514</v>
      </c>
      <c r="B91">
        <v>50.802303999999999</v>
      </c>
      <c r="C91">
        <v>161</v>
      </c>
      <c r="D91" t="s">
        <v>89</v>
      </c>
      <c r="E91">
        <v>24</v>
      </c>
      <c r="F91">
        <v>2</v>
      </c>
      <c r="G91" t="s">
        <v>34</v>
      </c>
      <c r="H91" t="s">
        <v>29</v>
      </c>
      <c r="I91" t="s">
        <v>55</v>
      </c>
      <c r="J91">
        <v>3</v>
      </c>
      <c r="K91">
        <v>2</v>
      </c>
      <c r="L91">
        <v>0</v>
      </c>
      <c r="M91">
        <v>0</v>
      </c>
      <c r="N91">
        <v>0</v>
      </c>
      <c r="O91">
        <v>0</v>
      </c>
      <c r="P91">
        <v>1</v>
      </c>
      <c r="Q91">
        <v>0</v>
      </c>
      <c r="R91">
        <v>0</v>
      </c>
      <c r="S91">
        <v>0</v>
      </c>
      <c r="T91">
        <v>0</v>
      </c>
      <c r="U91">
        <v>1</v>
      </c>
      <c r="V91">
        <v>0</v>
      </c>
      <c r="W91">
        <v>5</v>
      </c>
      <c r="X91">
        <v>1082.18</v>
      </c>
      <c r="Y91">
        <v>1315.81</v>
      </c>
      <c r="Z91">
        <f>AVERAGEIFS(Table1[FinalElo], Table1[Country], Table1[[#This Row],[Country]])</f>
        <v>1012.0629025423733</v>
      </c>
      <c r="AA91" cm="1">
        <f t="array" ref="AA91">IF(COUNTIFS(Table1[Country],Table1[[#This Row],[Country]])=1,0, _xlfn.STDEV.S(IF(Table1[Country]=Table1[[#This Row],[Country]],Table1[FinalElo])))</f>
        <v>148.42180446198614</v>
      </c>
      <c r="AB91">
        <f>IF(Table1[[#This Row],[CStd]]=0,0, (Table1[[#This Row],[FinalElo]]-Table1[[#This Row],[CAvg]]) / Table1[[#This Row],[CStd]])</f>
        <v>0.47241776713195249</v>
      </c>
      <c r="AC91" t="str">
        <f>IF(Table1[[#This Row],[CStd]]=0,"Normal", IF(ABS(Table1[[#This Row],[CZscore]])&gt;2,"Outlier","Normal"))</f>
        <v>Normal</v>
      </c>
    </row>
    <row r="92" spans="1:29" x14ac:dyDescent="0.35">
      <c r="A92" t="s">
        <v>2512</v>
      </c>
      <c r="B92">
        <v>58.513368</v>
      </c>
      <c r="C92">
        <v>167</v>
      </c>
      <c r="D92" t="s">
        <v>89</v>
      </c>
      <c r="E92">
        <v>26</v>
      </c>
      <c r="F92" t="s">
        <v>2513</v>
      </c>
      <c r="G92" t="s">
        <v>34</v>
      </c>
      <c r="H92" t="s">
        <v>29</v>
      </c>
      <c r="I92" t="s">
        <v>58</v>
      </c>
      <c r="J92">
        <v>0</v>
      </c>
      <c r="K92">
        <v>1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1</v>
      </c>
      <c r="S92">
        <v>0</v>
      </c>
      <c r="T92">
        <v>0</v>
      </c>
      <c r="U92">
        <v>0</v>
      </c>
      <c r="V92">
        <v>0</v>
      </c>
      <c r="W92">
        <v>1</v>
      </c>
      <c r="X92">
        <v>946.8</v>
      </c>
      <c r="Y92">
        <v>1000</v>
      </c>
      <c r="Z92">
        <f>AVERAGEIFS(Table1[FinalElo], Table1[Country], Table1[[#This Row],[Country]])</f>
        <v>1012.0629025423733</v>
      </c>
      <c r="AA92" cm="1">
        <f t="array" ref="AA92">IF(COUNTIFS(Table1[Country],Table1[[#This Row],[Country]])=1,0, _xlfn.STDEV.S(IF(Table1[Country]=Table1[[#This Row],[Country]],Table1[FinalElo])))</f>
        <v>148.42180446198614</v>
      </c>
      <c r="AB92">
        <f>IF(Table1[[#This Row],[CStd]]=0,0, (Table1[[#This Row],[FinalElo]]-Table1[[#This Row],[CAvg]]) / Table1[[#This Row],[CStd]])</f>
        <v>-0.43971236422400806</v>
      </c>
      <c r="AC92" t="str">
        <f>IF(Table1[[#This Row],[CStd]]=0,"Normal", IF(ABS(Table1[[#This Row],[CZscore]])&gt;2,"Outlier","Normal"))</f>
        <v>Normal</v>
      </c>
    </row>
    <row r="93" spans="1:29" x14ac:dyDescent="0.35">
      <c r="A93" t="s">
        <v>2510</v>
      </c>
      <c r="B93">
        <v>58</v>
      </c>
      <c r="C93">
        <v>169</v>
      </c>
      <c r="D93" t="s">
        <v>89</v>
      </c>
      <c r="E93">
        <v>25</v>
      </c>
      <c r="F93" t="s">
        <v>2511</v>
      </c>
      <c r="G93" t="s">
        <v>34</v>
      </c>
      <c r="H93" t="s">
        <v>29</v>
      </c>
      <c r="I93" t="s">
        <v>58</v>
      </c>
      <c r="J93">
        <v>1</v>
      </c>
      <c r="K93">
        <v>1</v>
      </c>
      <c r="L93">
        <v>0</v>
      </c>
      <c r="M93">
        <v>0</v>
      </c>
      <c r="N93">
        <v>0</v>
      </c>
      <c r="O93">
        <v>0</v>
      </c>
      <c r="P93">
        <v>1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2</v>
      </c>
      <c r="X93">
        <v>1016.59</v>
      </c>
      <c r="Y93">
        <v>1016.59</v>
      </c>
      <c r="Z93">
        <f>AVERAGEIFS(Table1[FinalElo], Table1[Country], Table1[[#This Row],[Country]])</f>
        <v>1012.0629025423733</v>
      </c>
      <c r="AA93" cm="1">
        <f t="array" ref="AA93">IF(COUNTIFS(Table1[Country],Table1[[#This Row],[Country]])=1,0, _xlfn.STDEV.S(IF(Table1[Country]=Table1[[#This Row],[Country]],Table1[FinalElo])))</f>
        <v>148.42180446198614</v>
      </c>
      <c r="AB93">
        <f>IF(Table1[[#This Row],[CStd]]=0,0, (Table1[[#This Row],[FinalElo]]-Table1[[#This Row],[CAvg]]) / Table1[[#This Row],[CStd]])</f>
        <v>3.0501565952772161E-2</v>
      </c>
      <c r="AC93" t="str">
        <f>IF(Table1[[#This Row],[CStd]]=0,"Normal", IF(ABS(Table1[[#This Row],[CZscore]])&gt;2,"Outlier","Normal"))</f>
        <v>Normal</v>
      </c>
    </row>
    <row r="94" spans="1:29" x14ac:dyDescent="0.35">
      <c r="A94" t="s">
        <v>2509</v>
      </c>
      <c r="B94">
        <v>68</v>
      </c>
      <c r="C94">
        <v>170</v>
      </c>
      <c r="D94" t="s">
        <v>1502</v>
      </c>
      <c r="E94">
        <v>29</v>
      </c>
      <c r="F94" t="s">
        <v>1982</v>
      </c>
      <c r="G94" t="s">
        <v>34</v>
      </c>
      <c r="H94" t="s">
        <v>29</v>
      </c>
      <c r="I94" t="s">
        <v>48</v>
      </c>
      <c r="J94">
        <v>1</v>
      </c>
      <c r="K94">
        <v>1</v>
      </c>
      <c r="L94">
        <v>0</v>
      </c>
      <c r="M94">
        <v>1</v>
      </c>
      <c r="N94">
        <v>0</v>
      </c>
      <c r="O94">
        <v>0</v>
      </c>
      <c r="P94">
        <v>0</v>
      </c>
      <c r="Q94">
        <v>0</v>
      </c>
      <c r="R94">
        <v>1</v>
      </c>
      <c r="S94">
        <v>0</v>
      </c>
      <c r="T94">
        <v>0</v>
      </c>
      <c r="U94">
        <v>0</v>
      </c>
      <c r="V94">
        <v>0</v>
      </c>
      <c r="W94">
        <v>2</v>
      </c>
      <c r="X94">
        <v>948.05</v>
      </c>
      <c r="Y94">
        <v>1100</v>
      </c>
      <c r="Z94">
        <f>AVERAGEIFS(Table1[FinalElo], Table1[Country], Table1[[#This Row],[Country]])</f>
        <v>972.07222222222242</v>
      </c>
      <c r="AA94" cm="1">
        <f t="array" ref="AA94">IF(COUNTIFS(Table1[Country],Table1[[#This Row],[Country]])=1,0, _xlfn.STDEV.S(IF(Table1[Country]=Table1[[#This Row],[Country]],Table1[FinalElo])))</f>
        <v>96.39574702467138</v>
      </c>
      <c r="AB94">
        <f>IF(Table1[[#This Row],[CStd]]=0,0, (Table1[[#This Row],[FinalElo]]-Table1[[#This Row],[CAvg]]) / Table1[[#This Row],[CStd]])</f>
        <v>-0.24920417096901853</v>
      </c>
      <c r="AC94" t="str">
        <f>IF(Table1[[#This Row],[CStd]]=0,"Normal", IF(ABS(Table1[[#This Row],[CZscore]])&gt;2,"Outlier","Normal"))</f>
        <v>Normal</v>
      </c>
    </row>
    <row r="95" spans="1:29" x14ac:dyDescent="0.35">
      <c r="A95" t="s">
        <v>2508</v>
      </c>
      <c r="B95">
        <v>47.63</v>
      </c>
      <c r="C95">
        <v>159</v>
      </c>
      <c r="D95" t="s">
        <v>597</v>
      </c>
      <c r="E95">
        <v>22</v>
      </c>
      <c r="F95" t="s">
        <v>96</v>
      </c>
      <c r="G95" t="s">
        <v>28</v>
      </c>
      <c r="H95" t="s">
        <v>29</v>
      </c>
      <c r="I95" t="s">
        <v>55</v>
      </c>
      <c r="J95">
        <v>1</v>
      </c>
      <c r="K95">
        <v>2</v>
      </c>
      <c r="L95">
        <v>0</v>
      </c>
      <c r="M95">
        <v>0</v>
      </c>
      <c r="N95">
        <v>0</v>
      </c>
      <c r="O95">
        <v>0</v>
      </c>
      <c r="P95">
        <v>1</v>
      </c>
      <c r="Q95">
        <v>0</v>
      </c>
      <c r="R95">
        <v>0</v>
      </c>
      <c r="S95">
        <v>0</v>
      </c>
      <c r="T95">
        <v>0</v>
      </c>
      <c r="U95">
        <v>2</v>
      </c>
      <c r="V95">
        <v>0</v>
      </c>
      <c r="W95">
        <v>3</v>
      </c>
      <c r="X95">
        <v>1014.29</v>
      </c>
      <c r="Y95">
        <v>1014.29</v>
      </c>
      <c r="Z95">
        <f>AVERAGEIFS(Table1[FinalElo], Table1[Country], Table1[[#This Row],[Country]])</f>
        <v>998.47333333333336</v>
      </c>
      <c r="AA95" cm="1">
        <f t="array" ref="AA95">IF(COUNTIFS(Table1[Country],Table1[[#This Row],[Country]])=1,0, _xlfn.STDEV.S(IF(Table1[Country]=Table1[[#This Row],[Country]],Table1[FinalElo])))</f>
        <v>91.595002229015435</v>
      </c>
      <c r="AB95">
        <f>IF(Table1[[#This Row],[CStd]]=0,0, (Table1[[#This Row],[FinalElo]]-Table1[[#This Row],[CAvg]]) / Table1[[#This Row],[CStd]])</f>
        <v>0.1726804550658792</v>
      </c>
      <c r="AC95" t="str">
        <f>IF(Table1[[#This Row],[CStd]]=0,"Normal", IF(ABS(Table1[[#This Row],[CZscore]])&gt;2,"Outlier","Normal"))</f>
        <v>Normal</v>
      </c>
    </row>
    <row r="96" spans="1:29" x14ac:dyDescent="0.35">
      <c r="A96" t="s">
        <v>2506</v>
      </c>
      <c r="B96">
        <v>56.7</v>
      </c>
      <c r="C96">
        <v>170</v>
      </c>
      <c r="D96" t="s">
        <v>82</v>
      </c>
      <c r="E96">
        <v>22</v>
      </c>
      <c r="F96" t="s">
        <v>2507</v>
      </c>
      <c r="G96" t="s">
        <v>40</v>
      </c>
      <c r="H96" t="s">
        <v>29</v>
      </c>
      <c r="I96" t="s">
        <v>58</v>
      </c>
      <c r="J96">
        <v>1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1</v>
      </c>
      <c r="X96">
        <v>1100</v>
      </c>
      <c r="Y96">
        <v>1100</v>
      </c>
      <c r="Z96">
        <f>AVERAGEIFS(Table1[FinalElo], Table1[Country], Table1[[#This Row],[Country]])</f>
        <v>1012.5275373134326</v>
      </c>
      <c r="AA96" cm="1">
        <f t="array" ref="AA96">IF(COUNTIFS(Table1[Country],Table1[[#This Row],[Country]])=1,0, _xlfn.STDEV.S(IF(Table1[Country]=Table1[[#This Row],[Country]],Table1[FinalElo])))</f>
        <v>135.61062237674741</v>
      </c>
      <c r="AB96">
        <f>IF(Table1[[#This Row],[CStd]]=0,0, (Table1[[#This Row],[FinalElo]]-Table1[[#This Row],[CAvg]]) / Table1[[#This Row],[CStd]])</f>
        <v>0.64502662957740331</v>
      </c>
      <c r="AC96" t="str">
        <f>IF(Table1[[#This Row],[CStd]]=0,"Normal", IF(ABS(Table1[[#This Row],[CZscore]])&gt;2,"Outlier","Normal"))</f>
        <v>Normal</v>
      </c>
    </row>
    <row r="97" spans="1:29" x14ac:dyDescent="0.35">
      <c r="A97" t="s">
        <v>2505</v>
      </c>
      <c r="B97">
        <v>68.5</v>
      </c>
      <c r="C97">
        <v>170</v>
      </c>
      <c r="D97" t="s">
        <v>52</v>
      </c>
      <c r="E97">
        <v>31</v>
      </c>
      <c r="F97" t="s">
        <v>2474</v>
      </c>
      <c r="G97" t="s">
        <v>40</v>
      </c>
      <c r="H97" t="s">
        <v>29</v>
      </c>
      <c r="I97" t="s">
        <v>48</v>
      </c>
      <c r="J97">
        <v>3</v>
      </c>
      <c r="K97">
        <v>3</v>
      </c>
      <c r="L97">
        <v>0</v>
      </c>
      <c r="M97">
        <v>2</v>
      </c>
      <c r="N97">
        <v>0</v>
      </c>
      <c r="O97">
        <v>0</v>
      </c>
      <c r="P97">
        <v>1</v>
      </c>
      <c r="Q97">
        <v>0</v>
      </c>
      <c r="R97">
        <v>0</v>
      </c>
      <c r="S97">
        <v>1</v>
      </c>
      <c r="T97">
        <v>0</v>
      </c>
      <c r="U97">
        <v>1</v>
      </c>
      <c r="V97">
        <v>0</v>
      </c>
      <c r="W97">
        <v>6</v>
      </c>
      <c r="X97">
        <v>1040.0899999999999</v>
      </c>
      <c r="Y97">
        <v>1279.3900000000001</v>
      </c>
      <c r="Z97">
        <f>AVERAGEIFS(Table1[FinalElo], Table1[Country], Table1[[#This Row],[Country]])</f>
        <v>1039.8985714285714</v>
      </c>
      <c r="AA97" cm="1">
        <f t="array" ref="AA97">IF(COUNTIFS(Table1[Country],Table1[[#This Row],[Country]])=1,0, _xlfn.STDEV.S(IF(Table1[Country]=Table1[[#This Row],[Country]],Table1[FinalElo])))</f>
        <v>194.01778111336392</v>
      </c>
      <c r="AB97">
        <f>IF(Table1[[#This Row],[CStd]]=0,0, (Table1[[#This Row],[FinalElo]]-Table1[[#This Row],[CAvg]]) / Table1[[#This Row],[CStd]])</f>
        <v>9.866547814847376E-4</v>
      </c>
      <c r="AC97" t="str">
        <f>IF(Table1[[#This Row],[CStd]]=0,"Normal", IF(ABS(Table1[[#This Row],[CZscore]])&gt;2,"Outlier","Normal"))</f>
        <v>Normal</v>
      </c>
    </row>
    <row r="98" spans="1:29" x14ac:dyDescent="0.35">
      <c r="A98" t="s">
        <v>2503</v>
      </c>
      <c r="B98">
        <v>56.7</v>
      </c>
      <c r="C98">
        <v>165</v>
      </c>
      <c r="D98" t="s">
        <v>1502</v>
      </c>
      <c r="E98">
        <v>27</v>
      </c>
      <c r="F98" t="s">
        <v>2504</v>
      </c>
      <c r="G98" t="s">
        <v>40</v>
      </c>
      <c r="H98" t="s">
        <v>29</v>
      </c>
      <c r="I98" t="s">
        <v>58</v>
      </c>
      <c r="J98">
        <v>0</v>
      </c>
      <c r="K98">
        <v>1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1</v>
      </c>
      <c r="V98">
        <v>0</v>
      </c>
      <c r="W98">
        <v>1</v>
      </c>
      <c r="X98">
        <v>900</v>
      </c>
      <c r="Y98">
        <v>1000</v>
      </c>
      <c r="Z98">
        <f>AVERAGEIFS(Table1[FinalElo], Table1[Country], Table1[[#This Row],[Country]])</f>
        <v>972.07222222222242</v>
      </c>
      <c r="AA98" cm="1">
        <f t="array" ref="AA98">IF(COUNTIFS(Table1[Country],Table1[[#This Row],[Country]])=1,0, _xlfn.STDEV.S(IF(Table1[Country]=Table1[[#This Row],[Country]],Table1[FinalElo])))</f>
        <v>96.39574702467138</v>
      </c>
      <c r="AB98">
        <f>IF(Table1[[#This Row],[CStd]]=0,0, (Table1[[#This Row],[FinalElo]]-Table1[[#This Row],[CAvg]]) / Table1[[#This Row],[CStd]])</f>
        <v>-0.74767014569404566</v>
      </c>
      <c r="AC98" t="str">
        <f>IF(Table1[[#This Row],[CStd]]=0,"Normal", IF(ABS(Table1[[#This Row],[CZscore]])&gt;2,"Outlier","Normal"))</f>
        <v>Normal</v>
      </c>
    </row>
    <row r="99" spans="1:29" x14ac:dyDescent="0.35">
      <c r="A99" t="s">
        <v>2501</v>
      </c>
      <c r="B99">
        <v>70.3</v>
      </c>
      <c r="C99">
        <v>174</v>
      </c>
      <c r="D99" t="s">
        <v>1502</v>
      </c>
      <c r="E99">
        <v>36</v>
      </c>
      <c r="F99" t="s">
        <v>2502</v>
      </c>
      <c r="G99" t="s">
        <v>40</v>
      </c>
      <c r="H99" t="s">
        <v>29</v>
      </c>
      <c r="I99" t="s">
        <v>48</v>
      </c>
      <c r="J99">
        <v>1</v>
      </c>
      <c r="K99">
        <v>0</v>
      </c>
      <c r="L99">
        <v>0</v>
      </c>
      <c r="M99">
        <v>1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1</v>
      </c>
      <c r="X99">
        <v>1100</v>
      </c>
      <c r="Y99">
        <v>1100</v>
      </c>
      <c r="Z99">
        <f>AVERAGEIFS(Table1[FinalElo], Table1[Country], Table1[[#This Row],[Country]])</f>
        <v>972.07222222222242</v>
      </c>
      <c r="AA99" cm="1">
        <f t="array" ref="AA99">IF(COUNTIFS(Table1[Country],Table1[[#This Row],[Country]])=1,0, _xlfn.STDEV.S(IF(Table1[Country]=Table1[[#This Row],[Country]],Table1[FinalElo])))</f>
        <v>96.39574702467138</v>
      </c>
      <c r="AB99">
        <f>IF(Table1[[#This Row],[CStd]]=0,0, (Table1[[#This Row],[FinalElo]]-Table1[[#This Row],[CAvg]]) / Table1[[#This Row],[CStd]])</f>
        <v>1.3271101861479007</v>
      </c>
      <c r="AC99" t="str">
        <f>IF(Table1[[#This Row],[CStd]]=0,"Normal", IF(ABS(Table1[[#This Row],[CZscore]])&gt;2,"Outlier","Normal"))</f>
        <v>Normal</v>
      </c>
    </row>
    <row r="100" spans="1:29" x14ac:dyDescent="0.35">
      <c r="A100" t="s">
        <v>2500</v>
      </c>
      <c r="B100">
        <v>56.7</v>
      </c>
      <c r="C100">
        <v>165</v>
      </c>
      <c r="D100" t="s">
        <v>1502</v>
      </c>
      <c r="E100">
        <v>32</v>
      </c>
      <c r="F100" t="s">
        <v>1982</v>
      </c>
      <c r="G100" t="s">
        <v>40</v>
      </c>
      <c r="H100" t="s">
        <v>29</v>
      </c>
      <c r="I100" t="s">
        <v>58</v>
      </c>
      <c r="J100">
        <v>0</v>
      </c>
      <c r="K100">
        <v>1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1</v>
      </c>
      <c r="V100">
        <v>0</v>
      </c>
      <c r="W100">
        <v>1</v>
      </c>
      <c r="X100">
        <v>941.14</v>
      </c>
      <c r="Y100">
        <v>1000</v>
      </c>
      <c r="Z100">
        <f>AVERAGEIFS(Table1[FinalElo], Table1[Country], Table1[[#This Row],[Country]])</f>
        <v>972.07222222222242</v>
      </c>
      <c r="AA100" cm="1">
        <f t="array" ref="AA100">IF(COUNTIFS(Table1[Country],Table1[[#This Row],[Country]])=1,0, _xlfn.STDEV.S(IF(Table1[Country]=Table1[[#This Row],[Country]],Table1[FinalElo])))</f>
        <v>96.39574702467138</v>
      </c>
      <c r="AB100">
        <f>IF(Table1[[#This Row],[CStd]]=0,0, (Table1[[#This Row],[FinalElo]]-Table1[[#This Row],[CAvg]]) / Table1[[#This Row],[CStd]])</f>
        <v>-0.32088783143415744</v>
      </c>
      <c r="AC100" t="str">
        <f>IF(Table1[[#This Row],[CStd]]=0,"Normal", IF(ABS(Table1[[#This Row],[CZscore]])&gt;2,"Outlier","Normal"))</f>
        <v>Normal</v>
      </c>
    </row>
    <row r="101" spans="1:29" x14ac:dyDescent="0.35">
      <c r="A101" t="s">
        <v>2499</v>
      </c>
      <c r="B101">
        <v>52.16</v>
      </c>
      <c r="C101">
        <v>167</v>
      </c>
      <c r="D101" t="s">
        <v>89</v>
      </c>
      <c r="E101">
        <v>24</v>
      </c>
      <c r="F101" t="s">
        <v>1790</v>
      </c>
      <c r="G101" t="s">
        <v>34</v>
      </c>
      <c r="H101" t="s">
        <v>29</v>
      </c>
      <c r="I101" t="s">
        <v>36</v>
      </c>
      <c r="J101">
        <v>3</v>
      </c>
      <c r="K101">
        <v>0</v>
      </c>
      <c r="L101">
        <v>0</v>
      </c>
      <c r="M101">
        <v>1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3</v>
      </c>
      <c r="X101">
        <v>1206.56</v>
      </c>
      <c r="Y101">
        <v>1206.56</v>
      </c>
      <c r="Z101">
        <f>AVERAGEIFS(Table1[FinalElo], Table1[Country], Table1[[#This Row],[Country]])</f>
        <v>1012.0629025423733</v>
      </c>
      <c r="AA101" cm="1">
        <f t="array" ref="AA101">IF(COUNTIFS(Table1[Country],Table1[[#This Row],[Country]])=1,0, _xlfn.STDEV.S(IF(Table1[Country]=Table1[[#This Row],[Country]],Table1[FinalElo])))</f>
        <v>148.42180446198614</v>
      </c>
      <c r="AB101">
        <f>IF(Table1[[#This Row],[CStd]]=0,0, (Table1[[#This Row],[FinalElo]]-Table1[[#This Row],[CAvg]]) / Table1[[#This Row],[CStd]])</f>
        <v>1.3104347987322935</v>
      </c>
      <c r="AC101" t="str">
        <f>IF(Table1[[#This Row],[CStd]]=0,"Normal", IF(ABS(Table1[[#This Row],[CZscore]])&gt;2,"Outlier","Normal"))</f>
        <v>Normal</v>
      </c>
    </row>
    <row r="102" spans="1:29" x14ac:dyDescent="0.35">
      <c r="A102" t="s">
        <v>2498</v>
      </c>
      <c r="B102">
        <v>62.6</v>
      </c>
      <c r="C102">
        <v>176</v>
      </c>
      <c r="D102" t="s">
        <v>135</v>
      </c>
      <c r="E102">
        <v>19</v>
      </c>
      <c r="F102" t="s">
        <v>136</v>
      </c>
      <c r="G102" t="s">
        <v>34</v>
      </c>
      <c r="H102" t="s">
        <v>29</v>
      </c>
      <c r="I102" t="s">
        <v>73</v>
      </c>
      <c r="J102">
        <v>0</v>
      </c>
      <c r="K102">
        <v>1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1</v>
      </c>
      <c r="X102">
        <v>945.82</v>
      </c>
      <c r="Y102">
        <v>1000</v>
      </c>
      <c r="Z102">
        <f>AVERAGEIFS(Table1[FinalElo], Table1[Country], Table1[[#This Row],[Country]])</f>
        <v>1008.644</v>
      </c>
      <c r="AA102" cm="1">
        <f t="array" ref="AA102">IF(COUNTIFS(Table1[Country],Table1[[#This Row],[Country]])=1,0, _xlfn.STDEV.S(IF(Table1[Country]=Table1[[#This Row],[Country]],Table1[FinalElo])))</f>
        <v>73.31330002121031</v>
      </c>
      <c r="AB102">
        <f>IF(Table1[[#This Row],[CStd]]=0,0, (Table1[[#This Row],[FinalElo]]-Table1[[#This Row],[CAvg]]) / Table1[[#This Row],[CStd]])</f>
        <v>-0.85692500517401771</v>
      </c>
      <c r="AC102" t="str">
        <f>IF(Table1[[#This Row],[CStd]]=0,"Normal", IF(ABS(Table1[[#This Row],[CZscore]])&gt;2,"Outlier","Normal"))</f>
        <v>Normal</v>
      </c>
    </row>
    <row r="103" spans="1:29" x14ac:dyDescent="0.35">
      <c r="A103" t="s">
        <v>2497</v>
      </c>
      <c r="B103">
        <v>61.23</v>
      </c>
      <c r="C103">
        <v>165</v>
      </c>
      <c r="D103" t="s">
        <v>82</v>
      </c>
      <c r="E103">
        <v>35</v>
      </c>
      <c r="F103" t="s">
        <v>1580</v>
      </c>
      <c r="G103" t="s">
        <v>54</v>
      </c>
      <c r="H103" t="s">
        <v>29</v>
      </c>
      <c r="I103" t="s">
        <v>73</v>
      </c>
      <c r="J103">
        <v>0</v>
      </c>
      <c r="K103">
        <v>1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1</v>
      </c>
      <c r="V103">
        <v>0</v>
      </c>
      <c r="W103">
        <v>1</v>
      </c>
      <c r="X103">
        <v>900</v>
      </c>
      <c r="Y103">
        <v>1000</v>
      </c>
      <c r="Z103">
        <f>AVERAGEIFS(Table1[FinalElo], Table1[Country], Table1[[#This Row],[Country]])</f>
        <v>1012.5275373134326</v>
      </c>
      <c r="AA103" cm="1">
        <f t="array" ref="AA103">IF(COUNTIFS(Table1[Country],Table1[[#This Row],[Country]])=1,0, _xlfn.STDEV.S(IF(Table1[Country]=Table1[[#This Row],[Country]],Table1[FinalElo])))</f>
        <v>135.61062237674741</v>
      </c>
      <c r="AB103">
        <f>IF(Table1[[#This Row],[CStd]]=0,0, (Table1[[#This Row],[FinalElo]]-Table1[[#This Row],[CAvg]]) / Table1[[#This Row],[CStd]])</f>
        <v>-0.82978409317238888</v>
      </c>
      <c r="AC103" t="str">
        <f>IF(Table1[[#This Row],[CStd]]=0,"Normal", IF(ABS(Table1[[#This Row],[CZscore]])&gt;2,"Outlier","Normal"))</f>
        <v>Normal</v>
      </c>
    </row>
    <row r="104" spans="1:29" x14ac:dyDescent="0.35">
      <c r="A104" t="s">
        <v>2496</v>
      </c>
      <c r="B104">
        <v>58.5</v>
      </c>
      <c r="C104">
        <v>171</v>
      </c>
      <c r="D104" t="s">
        <v>150</v>
      </c>
      <c r="E104">
        <v>31</v>
      </c>
      <c r="F104" t="s">
        <v>678</v>
      </c>
      <c r="G104" t="s">
        <v>40</v>
      </c>
      <c r="H104" t="s">
        <v>29</v>
      </c>
      <c r="I104" t="s">
        <v>58</v>
      </c>
      <c r="J104">
        <v>2</v>
      </c>
      <c r="K104">
        <v>0</v>
      </c>
      <c r="L104">
        <v>0</v>
      </c>
      <c r="M104">
        <v>1</v>
      </c>
      <c r="N104">
        <v>0</v>
      </c>
      <c r="O104">
        <v>0</v>
      </c>
      <c r="P104">
        <v>0</v>
      </c>
      <c r="Q104">
        <v>1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2</v>
      </c>
      <c r="X104">
        <v>1192.75</v>
      </c>
      <c r="Y104">
        <v>1192.75</v>
      </c>
      <c r="Z104">
        <f>AVERAGEIFS(Table1[FinalElo], Table1[Country], Table1[[#This Row],[Country]])</f>
        <v>983.37272727272716</v>
      </c>
      <c r="AA104" cm="1">
        <f t="array" ref="AA104">IF(COUNTIFS(Table1[Country],Table1[[#This Row],[Country]])=1,0, _xlfn.STDEV.S(IF(Table1[Country]=Table1[[#This Row],[Country]],Table1[FinalElo])))</f>
        <v>121.78204088377996</v>
      </c>
      <c r="AB104">
        <f>IF(Table1[[#This Row],[CStd]]=0,0, (Table1[[#This Row],[FinalElo]]-Table1[[#This Row],[CAvg]]) / Table1[[#This Row],[CStd]])</f>
        <v>1.7192787311479489</v>
      </c>
      <c r="AC104" t="str">
        <f>IF(Table1[[#This Row],[CStd]]=0,"Normal", IF(ABS(Table1[[#This Row],[CZscore]])&gt;2,"Outlier","Normal"))</f>
        <v>Normal</v>
      </c>
    </row>
    <row r="105" spans="1:29" hidden="1" x14ac:dyDescent="0.35">
      <c r="A105" t="s">
        <v>263</v>
      </c>
      <c r="B105">
        <v>52.2</v>
      </c>
      <c r="C105">
        <v>163</v>
      </c>
      <c r="D105" t="s">
        <v>174</v>
      </c>
      <c r="E105">
        <v>24</v>
      </c>
      <c r="F105" t="s">
        <v>264</v>
      </c>
      <c r="G105" t="s">
        <v>34</v>
      </c>
      <c r="H105" t="s">
        <v>35</v>
      </c>
      <c r="I105" t="s">
        <v>36</v>
      </c>
      <c r="J105">
        <v>0</v>
      </c>
      <c r="K105">
        <v>3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2</v>
      </c>
      <c r="V105">
        <v>0</v>
      </c>
      <c r="W105">
        <v>3</v>
      </c>
      <c r="X105">
        <v>838.43</v>
      </c>
      <c r="Y105">
        <v>1000</v>
      </c>
      <c r="Z105">
        <f>AVERAGEIFS(Table1[FinalElo], Table1[Country], Table1[[#This Row],[Country]])</f>
        <v>980.52444444444427</v>
      </c>
      <c r="AA105" cm="1">
        <f t="array" ref="AA105">IF(COUNTIFS(Table1[Country],Table1[[#This Row],[Country]])=1,0, _xlfn.STDEV.S(IF(Table1[Country]=Table1[[#This Row],[Country]],Table1[FinalElo])))</f>
        <v>143.66034832022171</v>
      </c>
      <c r="AB105">
        <f>IF(Table1[[#This Row],[CStd]]=0,0, (Table1[[#This Row],[FinalElo]]-Table1[[#This Row],[CAvg]]) / Table1[[#This Row],[CStd]])</f>
        <v>-0.98909995768430847</v>
      </c>
      <c r="AC105" t="str">
        <f>IF(Table1[[#This Row],[CStd]]=0,"Normal", IF(ABS(Table1[[#This Row],[CZscore]])&gt;2,"Outlier","Normal"))</f>
        <v>Normal</v>
      </c>
    </row>
    <row r="106" spans="1:29" hidden="1" x14ac:dyDescent="0.35">
      <c r="A106" t="s">
        <v>265</v>
      </c>
      <c r="B106">
        <v>52.2</v>
      </c>
      <c r="C106">
        <v>157</v>
      </c>
      <c r="D106" t="s">
        <v>106</v>
      </c>
      <c r="E106">
        <v>35</v>
      </c>
      <c r="F106" t="s">
        <v>266</v>
      </c>
      <c r="G106" t="s">
        <v>40</v>
      </c>
      <c r="H106" t="s">
        <v>35</v>
      </c>
      <c r="I106" t="s">
        <v>36</v>
      </c>
      <c r="J106">
        <v>1</v>
      </c>
      <c r="K106">
        <v>2</v>
      </c>
      <c r="L106">
        <v>0</v>
      </c>
      <c r="M106">
        <v>0</v>
      </c>
      <c r="N106">
        <v>1</v>
      </c>
      <c r="O106">
        <v>0</v>
      </c>
      <c r="P106">
        <v>0</v>
      </c>
      <c r="Q106">
        <v>0</v>
      </c>
      <c r="R106">
        <v>1</v>
      </c>
      <c r="S106">
        <v>0</v>
      </c>
      <c r="T106">
        <v>0</v>
      </c>
      <c r="U106">
        <v>0</v>
      </c>
      <c r="V106">
        <v>1</v>
      </c>
      <c r="W106">
        <v>3</v>
      </c>
      <c r="X106">
        <v>940.57</v>
      </c>
      <c r="Y106">
        <v>1119.52</v>
      </c>
      <c r="Z106">
        <f>AVERAGEIFS(Table1[FinalElo], Table1[Country], Table1[[#This Row],[Country]])</f>
        <v>1073.1599999999999</v>
      </c>
      <c r="AA106" cm="1">
        <f t="array" ref="AA106">IF(COUNTIFS(Table1[Country],Table1[[#This Row],[Country]])=1,0, _xlfn.STDEV.S(IF(Table1[Country]=Table1[[#This Row],[Country]],Table1[FinalElo])))</f>
        <v>207.614862425599</v>
      </c>
      <c r="AB106">
        <f>IF(Table1[[#This Row],[CStd]]=0,0, (Table1[[#This Row],[FinalElo]]-Table1[[#This Row],[CAvg]]) / Table1[[#This Row],[CStd]])</f>
        <v>-0.63863443325265234</v>
      </c>
      <c r="AC106" t="str">
        <f>IF(Table1[[#This Row],[CStd]]=0,"Normal", IF(ABS(Table1[[#This Row],[CZscore]])&gt;2,"Outlier","Normal"))</f>
        <v>Normal</v>
      </c>
    </row>
    <row r="107" spans="1:29" hidden="1" x14ac:dyDescent="0.35">
      <c r="A107" t="s">
        <v>267</v>
      </c>
      <c r="B107">
        <v>51.9</v>
      </c>
      <c r="C107">
        <v>165</v>
      </c>
      <c r="D107" t="s">
        <v>52</v>
      </c>
      <c r="E107">
        <v>30</v>
      </c>
      <c r="F107" t="s">
        <v>268</v>
      </c>
      <c r="G107" t="s">
        <v>40</v>
      </c>
      <c r="H107" t="s">
        <v>35</v>
      </c>
      <c r="I107" t="s">
        <v>55</v>
      </c>
      <c r="J107">
        <v>1</v>
      </c>
      <c r="K107">
        <v>3</v>
      </c>
      <c r="L107">
        <v>0</v>
      </c>
      <c r="M107">
        <v>0</v>
      </c>
      <c r="N107">
        <v>1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2</v>
      </c>
      <c r="V107">
        <v>0</v>
      </c>
      <c r="W107">
        <v>4</v>
      </c>
      <c r="X107">
        <v>934.2</v>
      </c>
      <c r="Y107">
        <v>1040</v>
      </c>
      <c r="Z107">
        <f>AVERAGEIFS(Table1[FinalElo], Table1[Country], Table1[[#This Row],[Country]])</f>
        <v>1039.8985714285714</v>
      </c>
      <c r="AA107" cm="1">
        <f t="array" ref="AA107">IF(COUNTIFS(Table1[Country],Table1[[#This Row],[Country]])=1,0, _xlfn.STDEV.S(IF(Table1[Country]=Table1[[#This Row],[Country]],Table1[FinalElo])))</f>
        <v>194.01778111336392</v>
      </c>
      <c r="AB107">
        <f>IF(Table1[[#This Row],[CStd]]=0,0, (Table1[[#This Row],[FinalElo]]-Table1[[#This Row],[CAvg]]) / Table1[[#This Row],[CStd]])</f>
        <v>-0.54478806438267635</v>
      </c>
      <c r="AC107" t="str">
        <f>IF(Table1[[#This Row],[CStd]]=0,"Normal", IF(ABS(Table1[[#This Row],[CZscore]])&gt;2,"Outlier","Normal"))</f>
        <v>Normal</v>
      </c>
    </row>
    <row r="108" spans="1:29" x14ac:dyDescent="0.35">
      <c r="A108" t="s">
        <v>2495</v>
      </c>
      <c r="B108">
        <v>56.7</v>
      </c>
      <c r="C108">
        <v>168</v>
      </c>
      <c r="D108" t="s">
        <v>38</v>
      </c>
      <c r="E108">
        <v>25</v>
      </c>
      <c r="F108">
        <v>3</v>
      </c>
      <c r="G108" t="s">
        <v>40</v>
      </c>
      <c r="H108" t="s">
        <v>29</v>
      </c>
      <c r="I108" t="s">
        <v>58</v>
      </c>
      <c r="J108">
        <v>4</v>
      </c>
      <c r="K108">
        <v>2</v>
      </c>
      <c r="L108">
        <v>0</v>
      </c>
      <c r="M108">
        <v>3</v>
      </c>
      <c r="N108">
        <v>0</v>
      </c>
      <c r="O108">
        <v>0</v>
      </c>
      <c r="P108">
        <v>1</v>
      </c>
      <c r="Q108">
        <v>0</v>
      </c>
      <c r="R108">
        <v>1</v>
      </c>
      <c r="S108">
        <v>0</v>
      </c>
      <c r="T108">
        <v>0</v>
      </c>
      <c r="U108">
        <v>1</v>
      </c>
      <c r="V108">
        <v>0</v>
      </c>
      <c r="W108">
        <v>6</v>
      </c>
      <c r="X108">
        <v>1272.53</v>
      </c>
      <c r="Y108">
        <v>1272.53</v>
      </c>
      <c r="Z108">
        <f>AVERAGEIFS(Table1[FinalElo], Table1[Country], Table1[[#This Row],[Country]])</f>
        <v>1057.4495402298851</v>
      </c>
      <c r="AA108" cm="1">
        <f t="array" ref="AA108">IF(COUNTIFS(Table1[Country],Table1[[#This Row],[Country]])=1,0, _xlfn.STDEV.S(IF(Table1[Country]=Table1[[#This Row],[Country]],Table1[FinalElo])))</f>
        <v>156.98667602259493</v>
      </c>
      <c r="AB108">
        <f>IF(Table1[[#This Row],[CStd]]=0,0, (Table1[[#This Row],[FinalElo]]-Table1[[#This Row],[CAvg]]) / Table1[[#This Row],[CStd]])</f>
        <v>1.3700555054695125</v>
      </c>
      <c r="AC108" t="str">
        <f>IF(Table1[[#This Row],[CStd]]=0,"Normal", IF(ABS(Table1[[#This Row],[CZscore]])&gt;2,"Outlier","Normal"))</f>
        <v>Normal</v>
      </c>
    </row>
    <row r="109" spans="1:29" hidden="1" x14ac:dyDescent="0.35">
      <c r="A109" t="s">
        <v>272</v>
      </c>
      <c r="B109">
        <v>58.1</v>
      </c>
      <c r="C109">
        <v>170</v>
      </c>
      <c r="D109" t="s">
        <v>71</v>
      </c>
      <c r="E109">
        <v>26</v>
      </c>
      <c r="F109" t="s">
        <v>273</v>
      </c>
      <c r="G109" t="s">
        <v>34</v>
      </c>
      <c r="H109" t="s">
        <v>35</v>
      </c>
      <c r="I109" t="s">
        <v>58</v>
      </c>
      <c r="J109">
        <v>0</v>
      </c>
      <c r="K109">
        <v>4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3</v>
      </c>
      <c r="V109">
        <v>1</v>
      </c>
      <c r="W109">
        <v>4</v>
      </c>
      <c r="X109">
        <v>727.43</v>
      </c>
      <c r="Y109">
        <v>1000</v>
      </c>
      <c r="Z109">
        <f>AVERAGEIFS(Table1[FinalElo], Table1[Country], Table1[[#This Row],[Country]])</f>
        <v>991.47826086956536</v>
      </c>
      <c r="AA109" cm="1">
        <f t="array" ref="AA109">IF(COUNTIFS(Table1[Country],Table1[[#This Row],[Country]])=1,0, _xlfn.STDEV.S(IF(Table1[Country]=Table1[[#This Row],[Country]],Table1[FinalElo])))</f>
        <v>164.61500422203164</v>
      </c>
      <c r="AB109">
        <f>IF(Table1[[#This Row],[CStd]]=0,0, (Table1[[#This Row],[FinalElo]]-Table1[[#This Row],[CAvg]]) / Table1[[#This Row],[CStd]])</f>
        <v>-1.6040351978694412</v>
      </c>
      <c r="AC109" t="str">
        <f>IF(Table1[[#This Row],[CStd]]=0,"Normal", IF(ABS(Table1[[#This Row],[CZscore]])&gt;2,"Outlier","Normal"))</f>
        <v>Normal</v>
      </c>
    </row>
    <row r="110" spans="1:29" x14ac:dyDescent="0.35">
      <c r="A110" t="s">
        <v>2494</v>
      </c>
      <c r="B110">
        <v>55.3</v>
      </c>
      <c r="C110">
        <v>165</v>
      </c>
      <c r="D110" t="s">
        <v>89</v>
      </c>
      <c r="E110">
        <v>23</v>
      </c>
      <c r="F110" t="s">
        <v>1700</v>
      </c>
      <c r="G110" t="s">
        <v>34</v>
      </c>
      <c r="H110" t="s">
        <v>29</v>
      </c>
      <c r="I110" t="s">
        <v>36</v>
      </c>
      <c r="J110">
        <v>0</v>
      </c>
      <c r="K110">
        <v>1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1</v>
      </c>
      <c r="S110">
        <v>0</v>
      </c>
      <c r="T110">
        <v>0</v>
      </c>
      <c r="U110">
        <v>0</v>
      </c>
      <c r="V110">
        <v>0</v>
      </c>
      <c r="W110">
        <v>1</v>
      </c>
      <c r="X110">
        <v>961.94</v>
      </c>
      <c r="Y110">
        <v>1000</v>
      </c>
      <c r="Z110">
        <f>AVERAGEIFS(Table1[FinalElo], Table1[Country], Table1[[#This Row],[Country]])</f>
        <v>1012.0629025423733</v>
      </c>
      <c r="AA110" cm="1">
        <f t="array" ref="AA110">IF(COUNTIFS(Table1[Country],Table1[[#This Row],[Country]])=1,0, _xlfn.STDEV.S(IF(Table1[Country]=Table1[[#This Row],[Country]],Table1[FinalElo])))</f>
        <v>148.42180446198614</v>
      </c>
      <c r="AB110">
        <f>IF(Table1[[#This Row],[CStd]]=0,0, (Table1[[#This Row],[FinalElo]]-Table1[[#This Row],[CAvg]]) / Table1[[#This Row],[CStd]])</f>
        <v>-0.33770578874218415</v>
      </c>
      <c r="AC110" t="str">
        <f>IF(Table1[[#This Row],[CStd]]=0,"Normal", IF(ABS(Table1[[#This Row],[CZscore]])&gt;2,"Outlier","Normal"))</f>
        <v>Normal</v>
      </c>
    </row>
    <row r="111" spans="1:29" x14ac:dyDescent="0.35">
      <c r="A111" t="s">
        <v>2493</v>
      </c>
      <c r="B111">
        <v>52.9</v>
      </c>
      <c r="C111">
        <v>165</v>
      </c>
      <c r="D111" t="s">
        <v>89</v>
      </c>
      <c r="E111">
        <v>21</v>
      </c>
      <c r="F111" t="s">
        <v>653</v>
      </c>
      <c r="G111" t="s">
        <v>34</v>
      </c>
      <c r="H111" t="s">
        <v>29</v>
      </c>
      <c r="I111" t="s">
        <v>36</v>
      </c>
      <c r="J111">
        <v>6</v>
      </c>
      <c r="K111">
        <v>0</v>
      </c>
      <c r="L111">
        <v>0</v>
      </c>
      <c r="M111">
        <v>1</v>
      </c>
      <c r="N111">
        <v>0</v>
      </c>
      <c r="O111">
        <v>0</v>
      </c>
      <c r="P111">
        <v>1</v>
      </c>
      <c r="Q111">
        <v>2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6</v>
      </c>
      <c r="X111">
        <v>1376.56</v>
      </c>
      <c r="Y111">
        <v>1376.56</v>
      </c>
      <c r="Z111">
        <f>AVERAGEIFS(Table1[FinalElo], Table1[Country], Table1[[#This Row],[Country]])</f>
        <v>1012.0629025423733</v>
      </c>
      <c r="AA111" cm="1">
        <f t="array" ref="AA111">IF(COUNTIFS(Table1[Country],Table1[[#This Row],[Country]])=1,0, _xlfn.STDEV.S(IF(Table1[Country]=Table1[[#This Row],[Country]],Table1[FinalElo])))</f>
        <v>148.42180446198614</v>
      </c>
      <c r="AB111">
        <f>IF(Table1[[#This Row],[CStd]]=0,0, (Table1[[#This Row],[FinalElo]]-Table1[[#This Row],[CAvg]]) / Table1[[#This Row],[CStd]])</f>
        <v>2.4558190676827527</v>
      </c>
      <c r="AC111" t="str">
        <f>IF(Table1[[#This Row],[CStd]]=0,"Normal", IF(ABS(Table1[[#This Row],[CZscore]])&gt;2,"Outlier","Normal"))</f>
        <v>Outlier</v>
      </c>
    </row>
    <row r="112" spans="1:29" x14ac:dyDescent="0.35">
      <c r="A112" t="s">
        <v>2492</v>
      </c>
      <c r="B112">
        <v>58.96696</v>
      </c>
      <c r="C112">
        <v>171</v>
      </c>
      <c r="D112" t="s">
        <v>89</v>
      </c>
      <c r="E112">
        <v>21</v>
      </c>
      <c r="F112" t="s">
        <v>99</v>
      </c>
      <c r="G112" t="s">
        <v>34</v>
      </c>
      <c r="H112" t="s">
        <v>29</v>
      </c>
      <c r="I112" t="s">
        <v>58</v>
      </c>
      <c r="J112">
        <v>2</v>
      </c>
      <c r="K112">
        <v>2</v>
      </c>
      <c r="L112">
        <v>0</v>
      </c>
      <c r="M112">
        <v>0</v>
      </c>
      <c r="N112">
        <v>0</v>
      </c>
      <c r="O112">
        <v>0</v>
      </c>
      <c r="P112">
        <v>1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4</v>
      </c>
      <c r="X112">
        <v>1122.76</v>
      </c>
      <c r="Y112">
        <v>1122.76</v>
      </c>
      <c r="Z112">
        <f>AVERAGEIFS(Table1[FinalElo], Table1[Country], Table1[[#This Row],[Country]])</f>
        <v>1012.0629025423733</v>
      </c>
      <c r="AA112" cm="1">
        <f t="array" ref="AA112">IF(COUNTIFS(Table1[Country],Table1[[#This Row],[Country]])=1,0, _xlfn.STDEV.S(IF(Table1[Country]=Table1[[#This Row],[Country]],Table1[FinalElo])))</f>
        <v>148.42180446198614</v>
      </c>
      <c r="AB112">
        <f>IF(Table1[[#This Row],[CStd]]=0,0, (Table1[[#This Row],[FinalElo]]-Table1[[#This Row],[CAvg]]) / Table1[[#This Row],[CStd]])</f>
        <v>0.74582772968494981</v>
      </c>
      <c r="AC112" t="str">
        <f>IF(Table1[[#This Row],[CStd]]=0,"Normal", IF(ABS(Table1[[#This Row],[CZscore]])&gt;2,"Outlier","Normal"))</f>
        <v>Normal</v>
      </c>
    </row>
    <row r="113" spans="1:29" x14ac:dyDescent="0.35">
      <c r="A113" t="s">
        <v>2490</v>
      </c>
      <c r="B113">
        <v>62.8</v>
      </c>
      <c r="C113">
        <v>180</v>
      </c>
      <c r="D113" t="s">
        <v>82</v>
      </c>
      <c r="E113">
        <v>27</v>
      </c>
      <c r="F113" t="s">
        <v>2491</v>
      </c>
      <c r="G113" t="s">
        <v>34</v>
      </c>
      <c r="H113" t="s">
        <v>29</v>
      </c>
      <c r="I113" t="s">
        <v>73</v>
      </c>
      <c r="J113">
        <v>0</v>
      </c>
      <c r="K113">
        <v>1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1</v>
      </c>
      <c r="S113">
        <v>0</v>
      </c>
      <c r="T113">
        <v>0</v>
      </c>
      <c r="U113">
        <v>0</v>
      </c>
      <c r="V113">
        <v>0</v>
      </c>
      <c r="W113">
        <v>1</v>
      </c>
      <c r="X113">
        <v>900</v>
      </c>
      <c r="Y113">
        <v>1000</v>
      </c>
      <c r="Z113">
        <f>AVERAGEIFS(Table1[FinalElo], Table1[Country], Table1[[#This Row],[Country]])</f>
        <v>1012.5275373134326</v>
      </c>
      <c r="AA113" cm="1">
        <f t="array" ref="AA113">IF(COUNTIFS(Table1[Country],Table1[[#This Row],[Country]])=1,0, _xlfn.STDEV.S(IF(Table1[Country]=Table1[[#This Row],[Country]],Table1[FinalElo])))</f>
        <v>135.61062237674741</v>
      </c>
      <c r="AB113">
        <f>IF(Table1[[#This Row],[CStd]]=0,0, (Table1[[#This Row],[FinalElo]]-Table1[[#This Row],[CAvg]]) / Table1[[#This Row],[CStd]])</f>
        <v>-0.82978409317238888</v>
      </c>
      <c r="AC113" t="str">
        <f>IF(Table1[[#This Row],[CStd]]=0,"Normal", IF(ABS(Table1[[#This Row],[CZscore]])&gt;2,"Outlier","Normal"))</f>
        <v>Normal</v>
      </c>
    </row>
    <row r="114" spans="1:29" x14ac:dyDescent="0.35">
      <c r="A114" t="s">
        <v>2489</v>
      </c>
      <c r="B114">
        <v>76.400000000000006</v>
      </c>
      <c r="C114">
        <v>169</v>
      </c>
      <c r="D114" t="s">
        <v>82</v>
      </c>
      <c r="E114">
        <v>36</v>
      </c>
      <c r="F114" t="s">
        <v>630</v>
      </c>
      <c r="G114" t="s">
        <v>54</v>
      </c>
      <c r="H114" t="s">
        <v>29</v>
      </c>
      <c r="I114" t="s">
        <v>30</v>
      </c>
      <c r="J114">
        <v>1</v>
      </c>
      <c r="K114">
        <v>1</v>
      </c>
      <c r="L114">
        <v>0</v>
      </c>
      <c r="M114">
        <v>0</v>
      </c>
      <c r="N114">
        <v>1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1</v>
      </c>
      <c r="W114">
        <v>2</v>
      </c>
      <c r="X114">
        <v>1021.94</v>
      </c>
      <c r="Y114">
        <v>1100</v>
      </c>
      <c r="Z114">
        <f>AVERAGEIFS(Table1[FinalElo], Table1[Country], Table1[[#This Row],[Country]])</f>
        <v>1012.5275373134326</v>
      </c>
      <c r="AA114" cm="1">
        <f t="array" ref="AA114">IF(COUNTIFS(Table1[Country],Table1[[#This Row],[Country]])=1,0, _xlfn.STDEV.S(IF(Table1[Country]=Table1[[#This Row],[Country]],Table1[FinalElo])))</f>
        <v>135.61062237674741</v>
      </c>
      <c r="AB114">
        <f>IF(Table1[[#This Row],[CStd]]=0,0, (Table1[[#This Row],[FinalElo]]-Table1[[#This Row],[CAvg]]) / Table1[[#This Row],[CStd]])</f>
        <v>6.9408004488159869E-2</v>
      </c>
      <c r="AC114" t="str">
        <f>IF(Table1[[#This Row],[CStd]]=0,"Normal", IF(ABS(Table1[[#This Row],[CZscore]])&gt;2,"Outlier","Normal"))</f>
        <v>Normal</v>
      </c>
    </row>
    <row r="115" spans="1:29" x14ac:dyDescent="0.35">
      <c r="A115" t="s">
        <v>2488</v>
      </c>
      <c r="B115">
        <v>53.070264000000002</v>
      </c>
      <c r="C115">
        <v>165</v>
      </c>
      <c r="D115" t="s">
        <v>89</v>
      </c>
      <c r="E115">
        <v>23</v>
      </c>
      <c r="F115" t="s">
        <v>1700</v>
      </c>
      <c r="G115" t="s">
        <v>34</v>
      </c>
      <c r="H115" t="s">
        <v>29</v>
      </c>
      <c r="I115" t="s">
        <v>36</v>
      </c>
      <c r="J115">
        <v>0</v>
      </c>
      <c r="K115">
        <v>1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1</v>
      </c>
      <c r="X115">
        <v>900</v>
      </c>
      <c r="Y115">
        <v>1000</v>
      </c>
      <c r="Z115">
        <f>AVERAGEIFS(Table1[FinalElo], Table1[Country], Table1[[#This Row],[Country]])</f>
        <v>1012.0629025423733</v>
      </c>
      <c r="AA115" cm="1">
        <f t="array" ref="AA115">IF(COUNTIFS(Table1[Country],Table1[[#This Row],[Country]])=1,0, _xlfn.STDEV.S(IF(Table1[Country]=Table1[[#This Row],[Country]],Table1[FinalElo])))</f>
        <v>148.42180446198614</v>
      </c>
      <c r="AB115">
        <f>IF(Table1[[#This Row],[CStd]]=0,0, (Table1[[#This Row],[FinalElo]]-Table1[[#This Row],[CAvg]]) / Table1[[#This Row],[CStd]])</f>
        <v>-0.75502991591154589</v>
      </c>
      <c r="AC115" t="str">
        <f>IF(Table1[[#This Row],[CStd]]=0,"Normal", IF(ABS(Table1[[#This Row],[CZscore]])&gt;2,"Outlier","Normal"))</f>
        <v>Normal</v>
      </c>
    </row>
    <row r="116" spans="1:29" x14ac:dyDescent="0.35">
      <c r="A116" t="s">
        <v>2487</v>
      </c>
      <c r="B116">
        <v>56.7</v>
      </c>
      <c r="C116">
        <v>178</v>
      </c>
      <c r="D116" t="s">
        <v>82</v>
      </c>
      <c r="E116">
        <v>33</v>
      </c>
      <c r="F116" t="s">
        <v>133</v>
      </c>
      <c r="G116" t="s">
        <v>34</v>
      </c>
      <c r="H116" t="s">
        <v>29</v>
      </c>
      <c r="I116" t="s">
        <v>58</v>
      </c>
      <c r="J116">
        <v>2</v>
      </c>
      <c r="K116">
        <v>2</v>
      </c>
      <c r="L116">
        <v>0</v>
      </c>
      <c r="M116">
        <v>0</v>
      </c>
      <c r="N116">
        <v>0</v>
      </c>
      <c r="O116">
        <v>0</v>
      </c>
      <c r="P116">
        <v>1</v>
      </c>
      <c r="Q116">
        <v>0</v>
      </c>
      <c r="R116">
        <v>1</v>
      </c>
      <c r="S116">
        <v>0</v>
      </c>
      <c r="T116">
        <v>0</v>
      </c>
      <c r="U116">
        <v>1</v>
      </c>
      <c r="V116">
        <v>0</v>
      </c>
      <c r="W116">
        <v>4</v>
      </c>
      <c r="X116">
        <v>926.32</v>
      </c>
      <c r="Y116">
        <v>1100</v>
      </c>
      <c r="Z116">
        <f>AVERAGEIFS(Table1[FinalElo], Table1[Country], Table1[[#This Row],[Country]])</f>
        <v>1012.5275373134326</v>
      </c>
      <c r="AA116" cm="1">
        <f t="array" ref="AA116">IF(COUNTIFS(Table1[Country],Table1[[#This Row],[Country]])=1,0, _xlfn.STDEV.S(IF(Table1[Country]=Table1[[#This Row],[Country]],Table1[FinalElo])))</f>
        <v>135.61062237674741</v>
      </c>
      <c r="AB116">
        <f>IF(Table1[[#This Row],[CStd]]=0,0, (Table1[[#This Row],[FinalElo]]-Table1[[#This Row],[CAvg]]) / Table1[[#This Row],[CStd]])</f>
        <v>-0.63569900205851582</v>
      </c>
      <c r="AC116" t="str">
        <f>IF(Table1[[#This Row],[CStd]]=0,"Normal", IF(ABS(Table1[[#This Row],[CZscore]])&gt;2,"Outlier","Normal"))</f>
        <v>Normal</v>
      </c>
    </row>
    <row r="117" spans="1:29" hidden="1" x14ac:dyDescent="0.35">
      <c r="A117" t="s">
        <v>285</v>
      </c>
      <c r="B117">
        <v>53.977448000000003</v>
      </c>
      <c r="C117">
        <v>162</v>
      </c>
      <c r="D117" t="s">
        <v>286</v>
      </c>
      <c r="E117">
        <v>32</v>
      </c>
      <c r="F117" t="s">
        <v>287</v>
      </c>
      <c r="G117" t="s">
        <v>34</v>
      </c>
      <c r="H117" t="s">
        <v>35</v>
      </c>
      <c r="I117" t="s">
        <v>36</v>
      </c>
      <c r="J117">
        <v>1</v>
      </c>
      <c r="K117">
        <v>1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1</v>
      </c>
      <c r="V117">
        <v>0</v>
      </c>
      <c r="W117">
        <v>2</v>
      </c>
      <c r="X117">
        <v>1070.2</v>
      </c>
      <c r="Y117">
        <v>1161.67</v>
      </c>
      <c r="Z117">
        <f>AVERAGEIFS(Table1[FinalElo], Table1[Country], Table1[[#This Row],[Country]])</f>
        <v>1087.97</v>
      </c>
      <c r="AA117" cm="1">
        <f t="array" ref="AA117">IF(COUNTIFS(Table1[Country],Table1[[#This Row],[Country]])=1,0, _xlfn.STDEV.S(IF(Table1[Country]=Table1[[#This Row],[Country]],Table1[FinalElo])))</f>
        <v>209.70246125675953</v>
      </c>
      <c r="AB117">
        <f>IF(Table1[[#This Row],[CStd]]=0,0, (Table1[[#This Row],[FinalElo]]-Table1[[#This Row],[CAvg]]) / Table1[[#This Row],[CStd]])</f>
        <v>-8.4739110325664738E-2</v>
      </c>
      <c r="AC117" t="str">
        <f>IF(Table1[[#This Row],[CStd]]=0,"Normal", IF(ABS(Table1[[#This Row],[CZscore]])&gt;2,"Outlier","Normal"))</f>
        <v>Normal</v>
      </c>
    </row>
    <row r="118" spans="1:29" x14ac:dyDescent="0.35">
      <c r="A118" t="s">
        <v>2485</v>
      </c>
      <c r="B118">
        <v>76.8</v>
      </c>
      <c r="C118">
        <v>178</v>
      </c>
      <c r="D118" t="s">
        <v>1806</v>
      </c>
      <c r="E118">
        <v>31</v>
      </c>
      <c r="F118" t="s">
        <v>2486</v>
      </c>
      <c r="G118" t="s">
        <v>54</v>
      </c>
      <c r="H118" t="s">
        <v>29</v>
      </c>
      <c r="I118" t="s">
        <v>30</v>
      </c>
      <c r="J118">
        <v>2</v>
      </c>
      <c r="K118">
        <v>3</v>
      </c>
      <c r="L118">
        <v>0</v>
      </c>
      <c r="M118">
        <v>0</v>
      </c>
      <c r="N118">
        <v>1</v>
      </c>
      <c r="O118">
        <v>0</v>
      </c>
      <c r="P118">
        <v>1</v>
      </c>
      <c r="Q118">
        <v>0</v>
      </c>
      <c r="R118">
        <v>0</v>
      </c>
      <c r="S118">
        <v>0</v>
      </c>
      <c r="T118">
        <v>0</v>
      </c>
      <c r="U118">
        <v>3</v>
      </c>
      <c r="V118">
        <v>0</v>
      </c>
      <c r="W118">
        <v>5</v>
      </c>
      <c r="X118">
        <v>945.88</v>
      </c>
      <c r="Y118">
        <v>1157.68</v>
      </c>
      <c r="Z118">
        <f>AVERAGEIFS(Table1[FinalElo], Table1[Country], Table1[[#This Row],[Country]])</f>
        <v>936.94499999999994</v>
      </c>
      <c r="AA118" cm="1">
        <f t="array" ref="AA118">IF(COUNTIFS(Table1[Country],Table1[[#This Row],[Country]])=1,0, _xlfn.STDEV.S(IF(Table1[Country]=Table1[[#This Row],[Country]],Table1[FinalElo])))</f>
        <v>12.635998179803607</v>
      </c>
      <c r="AB118">
        <f>IF(Table1[[#This Row],[CStd]]=0,0, (Table1[[#This Row],[FinalElo]]-Table1[[#This Row],[CAvg]]) / Table1[[#This Row],[CStd]])</f>
        <v>0.70710678118655201</v>
      </c>
      <c r="AC118" t="str">
        <f>IF(Table1[[#This Row],[CStd]]=0,"Normal", IF(ABS(Table1[[#This Row],[CZscore]])&gt;2,"Outlier","Normal"))</f>
        <v>Normal</v>
      </c>
    </row>
    <row r="119" spans="1:29" x14ac:dyDescent="0.35">
      <c r="A119" t="s">
        <v>2483</v>
      </c>
      <c r="B119">
        <v>58.513368</v>
      </c>
      <c r="C119">
        <v>175</v>
      </c>
      <c r="D119" t="s">
        <v>82</v>
      </c>
      <c r="E119">
        <v>20</v>
      </c>
      <c r="F119" t="s">
        <v>2484</v>
      </c>
      <c r="G119" t="s">
        <v>34</v>
      </c>
      <c r="H119" t="s">
        <v>29</v>
      </c>
      <c r="I119" t="s">
        <v>58</v>
      </c>
      <c r="J119">
        <v>1</v>
      </c>
      <c r="K119">
        <v>0</v>
      </c>
      <c r="L119">
        <v>0</v>
      </c>
      <c r="M119">
        <v>1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1</v>
      </c>
      <c r="X119">
        <v>1100</v>
      </c>
      <c r="Y119">
        <v>1100</v>
      </c>
      <c r="Z119">
        <f>AVERAGEIFS(Table1[FinalElo], Table1[Country], Table1[[#This Row],[Country]])</f>
        <v>1012.5275373134326</v>
      </c>
      <c r="AA119" cm="1">
        <f t="array" ref="AA119">IF(COUNTIFS(Table1[Country],Table1[[#This Row],[Country]])=1,0, _xlfn.STDEV.S(IF(Table1[Country]=Table1[[#This Row],[Country]],Table1[FinalElo])))</f>
        <v>135.61062237674741</v>
      </c>
      <c r="AB119">
        <f>IF(Table1[[#This Row],[CStd]]=0,0, (Table1[[#This Row],[FinalElo]]-Table1[[#This Row],[CAvg]]) / Table1[[#This Row],[CStd]])</f>
        <v>0.64502662957740331</v>
      </c>
      <c r="AC119" t="str">
        <f>IF(Table1[[#This Row],[CStd]]=0,"Normal", IF(ABS(Table1[[#This Row],[CZscore]])&gt;2,"Outlier","Normal"))</f>
        <v>Normal</v>
      </c>
    </row>
    <row r="120" spans="1:29" x14ac:dyDescent="0.35">
      <c r="A120" t="s">
        <v>2482</v>
      </c>
      <c r="B120">
        <v>70.3</v>
      </c>
      <c r="C120">
        <v>177</v>
      </c>
      <c r="D120" t="s">
        <v>89</v>
      </c>
      <c r="E120">
        <v>31</v>
      </c>
      <c r="F120" t="s">
        <v>87</v>
      </c>
      <c r="G120" t="s">
        <v>40</v>
      </c>
      <c r="H120" t="s">
        <v>29</v>
      </c>
      <c r="I120" t="s">
        <v>48</v>
      </c>
      <c r="J120">
        <v>0</v>
      </c>
      <c r="K120">
        <v>1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1</v>
      </c>
      <c r="T120">
        <v>0</v>
      </c>
      <c r="U120">
        <v>0</v>
      </c>
      <c r="V120">
        <v>0</v>
      </c>
      <c r="W120">
        <v>1</v>
      </c>
      <c r="X120">
        <v>945.82</v>
      </c>
      <c r="Y120">
        <v>1000</v>
      </c>
      <c r="Z120">
        <f>AVERAGEIFS(Table1[FinalElo], Table1[Country], Table1[[#This Row],[Country]])</f>
        <v>1012.0629025423733</v>
      </c>
      <c r="AA120" cm="1">
        <f t="array" ref="AA120">IF(COUNTIFS(Table1[Country],Table1[[#This Row],[Country]])=1,0, _xlfn.STDEV.S(IF(Table1[Country]=Table1[[#This Row],[Country]],Table1[FinalElo])))</f>
        <v>148.42180446198614</v>
      </c>
      <c r="AB120">
        <f>IF(Table1[[#This Row],[CStd]]=0,0, (Table1[[#This Row],[FinalElo]]-Table1[[#This Row],[CAvg]]) / Table1[[#This Row],[CStd]])</f>
        <v>-0.44631516765678064</v>
      </c>
      <c r="AC120" t="str">
        <f>IF(Table1[[#This Row],[CStd]]=0,"Normal", IF(ABS(Table1[[#This Row],[CZscore]])&gt;2,"Outlier","Normal"))</f>
        <v>Normal</v>
      </c>
    </row>
    <row r="121" spans="1:29" x14ac:dyDescent="0.35">
      <c r="A121" t="s">
        <v>2481</v>
      </c>
      <c r="B121">
        <v>56.245407999999998</v>
      </c>
      <c r="C121">
        <v>168</v>
      </c>
      <c r="D121" t="s">
        <v>140</v>
      </c>
      <c r="E121">
        <v>23</v>
      </c>
      <c r="F121" t="s">
        <v>133</v>
      </c>
      <c r="G121" t="s">
        <v>34</v>
      </c>
      <c r="H121" t="s">
        <v>29</v>
      </c>
      <c r="I121" t="s">
        <v>36</v>
      </c>
      <c r="J121">
        <v>0</v>
      </c>
      <c r="K121">
        <v>2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1</v>
      </c>
      <c r="S121">
        <v>0</v>
      </c>
      <c r="T121">
        <v>0</v>
      </c>
      <c r="U121">
        <v>1</v>
      </c>
      <c r="V121">
        <v>0</v>
      </c>
      <c r="W121">
        <v>2</v>
      </c>
      <c r="X121">
        <v>869.48</v>
      </c>
      <c r="Y121">
        <v>1000</v>
      </c>
      <c r="Z121">
        <f>AVERAGEIFS(Table1[FinalElo], Table1[Country], Table1[[#This Row],[Country]])</f>
        <v>1002.675294117647</v>
      </c>
      <c r="AA121" cm="1">
        <f t="array" ref="AA121">IF(COUNTIFS(Table1[Country],Table1[[#This Row],[Country]])=1,0, _xlfn.STDEV.S(IF(Table1[Country]=Table1[[#This Row],[Country]],Table1[FinalElo])))</f>
        <v>171.59712028169514</v>
      </c>
      <c r="AB121">
        <f>IF(Table1[[#This Row],[CStd]]=0,0, (Table1[[#This Row],[FinalElo]]-Table1[[#This Row],[CAvg]]) / Table1[[#This Row],[CStd]])</f>
        <v>-0.77620937868300233</v>
      </c>
      <c r="AC121" t="str">
        <f>IF(Table1[[#This Row],[CStd]]=0,"Normal", IF(ABS(Table1[[#This Row],[CZscore]])&gt;2,"Outlier","Normal"))</f>
        <v>Normal</v>
      </c>
    </row>
    <row r="122" spans="1:29" x14ac:dyDescent="0.35">
      <c r="A122" t="s">
        <v>2479</v>
      </c>
      <c r="B122">
        <v>77.099999999999994</v>
      </c>
      <c r="C122">
        <v>177</v>
      </c>
      <c r="D122" t="s">
        <v>38</v>
      </c>
      <c r="E122">
        <v>35</v>
      </c>
      <c r="F122" t="s">
        <v>2480</v>
      </c>
      <c r="G122" t="s">
        <v>40</v>
      </c>
      <c r="H122" t="s">
        <v>29</v>
      </c>
      <c r="I122" t="s">
        <v>30</v>
      </c>
      <c r="J122">
        <v>7</v>
      </c>
      <c r="K122">
        <v>7</v>
      </c>
      <c r="L122">
        <v>0</v>
      </c>
      <c r="M122">
        <v>2</v>
      </c>
      <c r="N122">
        <v>0</v>
      </c>
      <c r="O122">
        <v>0</v>
      </c>
      <c r="P122">
        <v>3</v>
      </c>
      <c r="Q122">
        <v>0</v>
      </c>
      <c r="R122">
        <v>4</v>
      </c>
      <c r="S122">
        <v>1</v>
      </c>
      <c r="T122">
        <v>0</v>
      </c>
      <c r="U122">
        <v>0</v>
      </c>
      <c r="V122">
        <v>0</v>
      </c>
      <c r="W122">
        <v>14</v>
      </c>
      <c r="X122">
        <v>964.56</v>
      </c>
      <c r="Y122">
        <v>1289.6300000000001</v>
      </c>
      <c r="Z122">
        <f>AVERAGEIFS(Table1[FinalElo], Table1[Country], Table1[[#This Row],[Country]])</f>
        <v>1057.4495402298851</v>
      </c>
      <c r="AA122" cm="1">
        <f t="array" ref="AA122">IF(COUNTIFS(Table1[Country],Table1[[#This Row],[Country]])=1,0, _xlfn.STDEV.S(IF(Table1[Country]=Table1[[#This Row],[Country]],Table1[FinalElo])))</f>
        <v>156.98667602259493</v>
      </c>
      <c r="AB122">
        <f>IF(Table1[[#This Row],[CStd]]=0,0, (Table1[[#This Row],[FinalElo]]-Table1[[#This Row],[CAvg]]) / Table1[[#This Row],[CStd]])</f>
        <v>-0.59170333803688946</v>
      </c>
      <c r="AC122" t="str">
        <f>IF(Table1[[#This Row],[CStd]]=0,"Normal", IF(ABS(Table1[[#This Row],[CZscore]])&gt;2,"Outlier","Normal"))</f>
        <v>Normal</v>
      </c>
    </row>
    <row r="123" spans="1:29" x14ac:dyDescent="0.35">
      <c r="A123" t="s">
        <v>2477</v>
      </c>
      <c r="B123">
        <v>51.8</v>
      </c>
      <c r="C123">
        <v>165</v>
      </c>
      <c r="D123" t="s">
        <v>278</v>
      </c>
      <c r="E123">
        <v>35</v>
      </c>
      <c r="F123" t="s">
        <v>2478</v>
      </c>
      <c r="G123" t="s">
        <v>40</v>
      </c>
      <c r="H123" t="s">
        <v>29</v>
      </c>
      <c r="I123" t="s">
        <v>55</v>
      </c>
      <c r="J123">
        <v>8</v>
      </c>
      <c r="K123">
        <v>2</v>
      </c>
      <c r="L123">
        <v>0</v>
      </c>
      <c r="M123">
        <v>1</v>
      </c>
      <c r="N123">
        <v>4</v>
      </c>
      <c r="O123">
        <v>0</v>
      </c>
      <c r="P123">
        <v>3</v>
      </c>
      <c r="Q123">
        <v>0</v>
      </c>
      <c r="R123">
        <v>1</v>
      </c>
      <c r="S123">
        <v>0</v>
      </c>
      <c r="T123">
        <v>0</v>
      </c>
      <c r="U123">
        <v>1</v>
      </c>
      <c r="V123">
        <v>0</v>
      </c>
      <c r="W123">
        <v>10</v>
      </c>
      <c r="X123">
        <v>1365.47</v>
      </c>
      <c r="Y123">
        <v>1365.47</v>
      </c>
      <c r="Z123">
        <f>AVERAGEIFS(Table1[FinalElo], Table1[Country], Table1[[#This Row],[Country]])</f>
        <v>1014.0250000000001</v>
      </c>
      <c r="AA123" cm="1">
        <f t="array" ref="AA123">IF(COUNTIFS(Table1[Country],Table1[[#This Row],[Country]])=1,0, _xlfn.STDEV.S(IF(Table1[Country]=Table1[[#This Row],[Country]],Table1[FinalElo])))</f>
        <v>234.33829911760722</v>
      </c>
      <c r="AB123">
        <f>IF(Table1[[#This Row],[CStd]]=0,0, (Table1[[#This Row],[FinalElo]]-Table1[[#This Row],[CAvg]]) / Table1[[#This Row],[CStd]])</f>
        <v>1.4997335105842875</v>
      </c>
      <c r="AC123" t="str">
        <f>IF(Table1[[#This Row],[CStd]]=0,"Normal", IF(ABS(Table1[[#This Row],[CZscore]])&gt;2,"Outlier","Normal"))</f>
        <v>Normal</v>
      </c>
    </row>
    <row r="124" spans="1:29" x14ac:dyDescent="0.35">
      <c r="A124" t="s">
        <v>2475</v>
      </c>
      <c r="B124">
        <v>53.070264000000002</v>
      </c>
      <c r="C124">
        <v>167</v>
      </c>
      <c r="D124" t="s">
        <v>89</v>
      </c>
      <c r="E124">
        <v>23</v>
      </c>
      <c r="F124" t="s">
        <v>2476</v>
      </c>
      <c r="G124" t="s">
        <v>34</v>
      </c>
      <c r="H124" t="s">
        <v>29</v>
      </c>
      <c r="I124" t="s">
        <v>36</v>
      </c>
      <c r="J124">
        <v>0</v>
      </c>
      <c r="K124">
        <v>1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1</v>
      </c>
      <c r="X124">
        <v>900</v>
      </c>
      <c r="Y124">
        <v>1000</v>
      </c>
      <c r="Z124">
        <f>AVERAGEIFS(Table1[FinalElo], Table1[Country], Table1[[#This Row],[Country]])</f>
        <v>1012.0629025423733</v>
      </c>
      <c r="AA124" cm="1">
        <f t="array" ref="AA124">IF(COUNTIFS(Table1[Country],Table1[[#This Row],[Country]])=1,0, _xlfn.STDEV.S(IF(Table1[Country]=Table1[[#This Row],[Country]],Table1[FinalElo])))</f>
        <v>148.42180446198614</v>
      </c>
      <c r="AB124">
        <f>IF(Table1[[#This Row],[CStd]]=0,0, (Table1[[#This Row],[FinalElo]]-Table1[[#This Row],[CAvg]]) / Table1[[#This Row],[CStd]])</f>
        <v>-0.75502991591154589</v>
      </c>
      <c r="AC124" t="str">
        <f>IF(Table1[[#This Row],[CStd]]=0,"Normal", IF(ABS(Table1[[#This Row],[CZscore]])&gt;2,"Outlier","Normal"))</f>
        <v>Normal</v>
      </c>
    </row>
    <row r="125" spans="1:29" x14ac:dyDescent="0.35">
      <c r="A125" t="s">
        <v>2473</v>
      </c>
      <c r="B125">
        <v>65.8</v>
      </c>
      <c r="C125">
        <v>176</v>
      </c>
      <c r="D125" t="s">
        <v>396</v>
      </c>
      <c r="E125">
        <v>31</v>
      </c>
      <c r="F125" t="s">
        <v>2474</v>
      </c>
      <c r="G125" t="s">
        <v>40</v>
      </c>
      <c r="H125" t="s">
        <v>29</v>
      </c>
      <c r="I125" t="s">
        <v>48</v>
      </c>
      <c r="J125">
        <v>3</v>
      </c>
      <c r="K125">
        <v>2</v>
      </c>
      <c r="L125">
        <v>1</v>
      </c>
      <c r="M125">
        <v>1</v>
      </c>
      <c r="N125">
        <v>0</v>
      </c>
      <c r="O125">
        <v>0</v>
      </c>
      <c r="P125">
        <v>2</v>
      </c>
      <c r="Q125">
        <v>0</v>
      </c>
      <c r="R125">
        <v>0</v>
      </c>
      <c r="S125">
        <v>1</v>
      </c>
      <c r="T125">
        <v>0</v>
      </c>
      <c r="U125">
        <v>1</v>
      </c>
      <c r="V125">
        <v>0</v>
      </c>
      <c r="W125">
        <v>6</v>
      </c>
      <c r="X125">
        <v>952.65</v>
      </c>
      <c r="Y125">
        <v>1195.3399999999999</v>
      </c>
      <c r="Z125">
        <f>AVERAGEIFS(Table1[FinalElo], Table1[Country], Table1[[#This Row],[Country]])</f>
        <v>998.29391304347814</v>
      </c>
      <c r="AA125" cm="1">
        <f t="array" ref="AA125">IF(COUNTIFS(Table1[Country],Table1[[#This Row],[Country]])=1,0, _xlfn.STDEV.S(IF(Table1[Country]=Table1[[#This Row],[Country]],Table1[FinalElo])))</f>
        <v>125.31531828802386</v>
      </c>
      <c r="AB125">
        <f>IF(Table1[[#This Row],[CStd]]=0,0, (Table1[[#This Row],[FinalElo]]-Table1[[#This Row],[CAvg]]) / Table1[[#This Row],[CStd]])</f>
        <v>-0.3642325109734032</v>
      </c>
      <c r="AC125" t="str">
        <f>IF(Table1[[#This Row],[CStd]]=0,"Normal", IF(ABS(Table1[[#This Row],[CZscore]])&gt;2,"Outlier","Normal"))</f>
        <v>Normal</v>
      </c>
    </row>
    <row r="126" spans="1:29" x14ac:dyDescent="0.35">
      <c r="A126" t="s">
        <v>2472</v>
      </c>
      <c r="B126">
        <v>70.5</v>
      </c>
      <c r="C126">
        <v>171</v>
      </c>
      <c r="D126" t="s">
        <v>396</v>
      </c>
      <c r="E126">
        <v>30</v>
      </c>
      <c r="F126" t="s">
        <v>1666</v>
      </c>
      <c r="G126" t="s">
        <v>34</v>
      </c>
      <c r="H126" t="s">
        <v>29</v>
      </c>
      <c r="I126" t="s">
        <v>30</v>
      </c>
      <c r="J126">
        <v>0</v>
      </c>
      <c r="K126">
        <v>2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2</v>
      </c>
      <c r="V126">
        <v>0</v>
      </c>
      <c r="W126">
        <v>2</v>
      </c>
      <c r="X126">
        <v>828.01</v>
      </c>
      <c r="Y126">
        <v>1000</v>
      </c>
      <c r="Z126">
        <f>AVERAGEIFS(Table1[FinalElo], Table1[Country], Table1[[#This Row],[Country]])</f>
        <v>998.29391304347814</v>
      </c>
      <c r="AA126" cm="1">
        <f t="array" ref="AA126">IF(COUNTIFS(Table1[Country],Table1[[#This Row],[Country]])=1,0, _xlfn.STDEV.S(IF(Table1[Country]=Table1[[#This Row],[Country]],Table1[FinalElo])))</f>
        <v>125.31531828802386</v>
      </c>
      <c r="AB126">
        <f>IF(Table1[[#This Row],[CStd]]=0,0, (Table1[[#This Row],[FinalElo]]-Table1[[#This Row],[CAvg]]) / Table1[[#This Row],[CStd]])</f>
        <v>-1.3588435585512282</v>
      </c>
      <c r="AC126" t="str">
        <f>IF(Table1[[#This Row],[CStd]]=0,"Normal", IF(ABS(Table1[[#This Row],[CZscore]])&gt;2,"Outlier","Normal"))</f>
        <v>Normal</v>
      </c>
    </row>
    <row r="127" spans="1:29" hidden="1" x14ac:dyDescent="0.35">
      <c r="A127" t="s">
        <v>308</v>
      </c>
      <c r="B127">
        <v>52</v>
      </c>
      <c r="C127">
        <v>168</v>
      </c>
      <c r="D127" t="s">
        <v>210</v>
      </c>
      <c r="E127">
        <v>37</v>
      </c>
      <c r="F127" t="s">
        <v>309</v>
      </c>
      <c r="G127" t="s">
        <v>28</v>
      </c>
      <c r="H127" t="s">
        <v>35</v>
      </c>
      <c r="I127" t="s">
        <v>55</v>
      </c>
      <c r="J127">
        <v>4</v>
      </c>
      <c r="K127">
        <v>2</v>
      </c>
      <c r="L127">
        <v>0</v>
      </c>
      <c r="M127">
        <v>1</v>
      </c>
      <c r="N127">
        <v>0</v>
      </c>
      <c r="O127">
        <v>0</v>
      </c>
      <c r="P127">
        <v>3</v>
      </c>
      <c r="Q127">
        <v>0</v>
      </c>
      <c r="R127">
        <v>0</v>
      </c>
      <c r="S127">
        <v>0</v>
      </c>
      <c r="T127">
        <v>0</v>
      </c>
      <c r="U127">
        <v>2</v>
      </c>
      <c r="V127">
        <v>0</v>
      </c>
      <c r="W127">
        <v>6</v>
      </c>
      <c r="X127">
        <v>1147.92</v>
      </c>
      <c r="Y127">
        <v>1212.5</v>
      </c>
      <c r="Z127">
        <f>AVERAGEIFS(Table1[FinalElo], Table1[Country], Table1[[#This Row],[Country]])</f>
        <v>1013.9366666666666</v>
      </c>
      <c r="AA127" cm="1">
        <f t="array" ref="AA127">IF(COUNTIFS(Table1[Country],Table1[[#This Row],[Country]])=1,0, _xlfn.STDEV.S(IF(Table1[Country]=Table1[[#This Row],[Country]],Table1[FinalElo])))</f>
        <v>163.09937898921214</v>
      </c>
      <c r="AB127">
        <f>IF(Table1[[#This Row],[CStd]]=0,0, (Table1[[#This Row],[FinalElo]]-Table1[[#This Row],[CAvg]]) / Table1[[#This Row],[CStd]])</f>
        <v>0.82148279266100399</v>
      </c>
      <c r="AC127" t="str">
        <f>IF(Table1[[#This Row],[CStd]]=0,"Normal", IF(ABS(Table1[[#This Row],[CZscore]])&gt;2,"Outlier","Normal"))</f>
        <v>Normal</v>
      </c>
    </row>
    <row r="128" spans="1:29" x14ac:dyDescent="0.35">
      <c r="A128" t="s">
        <v>2470</v>
      </c>
      <c r="B128">
        <v>56.4</v>
      </c>
      <c r="C128">
        <v>169</v>
      </c>
      <c r="D128" t="s">
        <v>396</v>
      </c>
      <c r="E128">
        <v>22</v>
      </c>
      <c r="F128" t="s">
        <v>2471</v>
      </c>
      <c r="G128" t="s">
        <v>34</v>
      </c>
      <c r="H128" t="s">
        <v>29</v>
      </c>
      <c r="I128" t="s">
        <v>36</v>
      </c>
      <c r="J128">
        <v>4</v>
      </c>
      <c r="K128">
        <v>1</v>
      </c>
      <c r="L128">
        <v>0</v>
      </c>
      <c r="M128">
        <v>0</v>
      </c>
      <c r="N128">
        <v>0</v>
      </c>
      <c r="O128">
        <v>0</v>
      </c>
      <c r="P128">
        <v>1</v>
      </c>
      <c r="Q128">
        <v>0</v>
      </c>
      <c r="R128">
        <v>0</v>
      </c>
      <c r="S128">
        <v>0</v>
      </c>
      <c r="T128">
        <v>0</v>
      </c>
      <c r="U128">
        <v>1</v>
      </c>
      <c r="V128">
        <v>0</v>
      </c>
      <c r="W128">
        <v>5</v>
      </c>
      <c r="X128">
        <v>1291.02</v>
      </c>
      <c r="Y128">
        <v>1291.02</v>
      </c>
      <c r="Z128">
        <f>AVERAGEIFS(Table1[FinalElo], Table1[Country], Table1[[#This Row],[Country]])</f>
        <v>998.29391304347814</v>
      </c>
      <c r="AA128" cm="1">
        <f t="array" ref="AA128">IF(COUNTIFS(Table1[Country],Table1[[#This Row],[Country]])=1,0, _xlfn.STDEV.S(IF(Table1[Country]=Table1[[#This Row],[Country]],Table1[FinalElo])))</f>
        <v>125.31531828802386</v>
      </c>
      <c r="AB128">
        <f>IF(Table1[[#This Row],[CStd]]=0,0, (Table1[[#This Row],[FinalElo]]-Table1[[#This Row],[CAvg]]) / Table1[[#This Row],[CStd]])</f>
        <v>2.3359162387771479</v>
      </c>
      <c r="AC128" t="str">
        <f>IF(Table1[[#This Row],[CStd]]=0,"Normal", IF(ABS(Table1[[#This Row],[CZscore]])&gt;2,"Outlier","Normal"))</f>
        <v>Outlier</v>
      </c>
    </row>
    <row r="129" spans="1:29" hidden="1" x14ac:dyDescent="0.35">
      <c r="A129" t="s">
        <v>311</v>
      </c>
      <c r="B129">
        <v>53.1</v>
      </c>
      <c r="C129">
        <v>172</v>
      </c>
      <c r="D129" t="s">
        <v>89</v>
      </c>
      <c r="E129">
        <v>21</v>
      </c>
      <c r="F129" t="s">
        <v>312</v>
      </c>
      <c r="G129" t="s">
        <v>28</v>
      </c>
      <c r="H129" t="s">
        <v>35</v>
      </c>
      <c r="I129" t="s">
        <v>36</v>
      </c>
      <c r="J129">
        <v>3</v>
      </c>
      <c r="K129">
        <v>2</v>
      </c>
      <c r="L129">
        <v>0</v>
      </c>
      <c r="M129">
        <v>0</v>
      </c>
      <c r="N129">
        <v>0</v>
      </c>
      <c r="O129">
        <v>0</v>
      </c>
      <c r="P129">
        <v>1</v>
      </c>
      <c r="Q129">
        <v>1</v>
      </c>
      <c r="R129">
        <v>1</v>
      </c>
      <c r="S129">
        <v>0</v>
      </c>
      <c r="T129">
        <v>0</v>
      </c>
      <c r="U129">
        <v>0</v>
      </c>
      <c r="V129">
        <v>1</v>
      </c>
      <c r="W129">
        <v>5</v>
      </c>
      <c r="X129">
        <v>998.79</v>
      </c>
      <c r="Y129">
        <v>1162.6600000000001</v>
      </c>
      <c r="Z129">
        <f>AVERAGEIFS(Table1[FinalElo], Table1[Country], Table1[[#This Row],[Country]])</f>
        <v>1012.0629025423733</v>
      </c>
      <c r="AA129" cm="1">
        <f t="array" ref="AA129">IF(COUNTIFS(Table1[Country],Table1[[#This Row],[Country]])=1,0, _xlfn.STDEV.S(IF(Table1[Country]=Table1[[#This Row],[Country]],Table1[FinalElo])))</f>
        <v>148.42180446198614</v>
      </c>
      <c r="AB129">
        <f>IF(Table1[[#This Row],[CStd]]=0,0, (Table1[[#This Row],[FinalElo]]-Table1[[#This Row],[CAvg]]) / Table1[[#This Row],[CStd]])</f>
        <v>-8.942690456086462E-2</v>
      </c>
      <c r="AC129" t="str">
        <f>IF(Table1[[#This Row],[CStd]]=0,"Normal", IF(ABS(Table1[[#This Row],[CZscore]])&gt;2,"Outlier","Normal"))</f>
        <v>Normal</v>
      </c>
    </row>
    <row r="130" spans="1:29" x14ac:dyDescent="0.35">
      <c r="A130" t="s">
        <v>2469</v>
      </c>
      <c r="B130">
        <v>59.874144000000001</v>
      </c>
      <c r="C130">
        <v>165</v>
      </c>
      <c r="D130" t="s">
        <v>89</v>
      </c>
      <c r="E130">
        <v>24</v>
      </c>
      <c r="F130" t="s">
        <v>535</v>
      </c>
      <c r="G130" t="s">
        <v>34</v>
      </c>
      <c r="H130" t="s">
        <v>29</v>
      </c>
      <c r="I130" t="s">
        <v>58</v>
      </c>
      <c r="J130">
        <v>0</v>
      </c>
      <c r="K130">
        <v>1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1</v>
      </c>
      <c r="V130">
        <v>0</v>
      </c>
      <c r="W130">
        <v>1</v>
      </c>
      <c r="X130">
        <v>928.01</v>
      </c>
      <c r="Y130">
        <v>1000</v>
      </c>
      <c r="Z130">
        <f>AVERAGEIFS(Table1[FinalElo], Table1[Country], Table1[[#This Row],[Country]])</f>
        <v>1012.0629025423733</v>
      </c>
      <c r="AA130" cm="1">
        <f t="array" ref="AA130">IF(COUNTIFS(Table1[Country],Table1[[#This Row],[Country]])=1,0, _xlfn.STDEV.S(IF(Table1[Country]=Table1[[#This Row],[Country]],Table1[FinalElo])))</f>
        <v>148.42180446198614</v>
      </c>
      <c r="AB130">
        <f>IF(Table1[[#This Row],[CStd]]=0,0, (Table1[[#This Row],[FinalElo]]-Table1[[#This Row],[CAvg]]) / Table1[[#This Row],[CStd]])</f>
        <v>-0.56631101371564974</v>
      </c>
      <c r="AC130" t="str">
        <f>IF(Table1[[#This Row],[CStd]]=0,"Normal", IF(ABS(Table1[[#This Row],[CZscore]])&gt;2,"Outlier","Normal"))</f>
        <v>Normal</v>
      </c>
    </row>
    <row r="131" spans="1:29" x14ac:dyDescent="0.35">
      <c r="A131" t="s">
        <v>2468</v>
      </c>
      <c r="B131">
        <v>64.410064000000006</v>
      </c>
      <c r="C131">
        <v>175</v>
      </c>
      <c r="D131" t="s">
        <v>89</v>
      </c>
      <c r="E131">
        <v>23</v>
      </c>
      <c r="F131" t="s">
        <v>1700</v>
      </c>
      <c r="G131" t="s">
        <v>34</v>
      </c>
      <c r="H131" t="s">
        <v>29</v>
      </c>
      <c r="I131" t="s">
        <v>73</v>
      </c>
      <c r="J131">
        <v>1</v>
      </c>
      <c r="K131">
        <v>1</v>
      </c>
      <c r="L131">
        <v>0</v>
      </c>
      <c r="M131">
        <v>0</v>
      </c>
      <c r="N131">
        <v>0</v>
      </c>
      <c r="O131">
        <v>0</v>
      </c>
      <c r="P131">
        <v>1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1</v>
      </c>
      <c r="W131">
        <v>2</v>
      </c>
      <c r="X131">
        <v>1008.04</v>
      </c>
      <c r="Y131">
        <v>1100</v>
      </c>
      <c r="Z131">
        <f>AVERAGEIFS(Table1[FinalElo], Table1[Country], Table1[[#This Row],[Country]])</f>
        <v>1012.0629025423733</v>
      </c>
      <c r="AA131" cm="1">
        <f t="array" ref="AA131">IF(COUNTIFS(Table1[Country],Table1[[#This Row],[Country]])=1,0, _xlfn.STDEV.S(IF(Table1[Country]=Table1[[#This Row],[Country]],Table1[FinalElo])))</f>
        <v>148.42180446198614</v>
      </c>
      <c r="AB131">
        <f>IF(Table1[[#This Row],[CStd]]=0,0, (Table1[[#This Row],[FinalElo]]-Table1[[#This Row],[CAvg]]) / Table1[[#This Row],[CStd]])</f>
        <v>-2.710452522091316E-2</v>
      </c>
      <c r="AC131" t="str">
        <f>IF(Table1[[#This Row],[CStd]]=0,"Normal", IF(ABS(Table1[[#This Row],[CZscore]])&gt;2,"Outlier","Normal"))</f>
        <v>Normal</v>
      </c>
    </row>
    <row r="132" spans="1:29" x14ac:dyDescent="0.35">
      <c r="A132" t="s">
        <v>2467</v>
      </c>
      <c r="B132">
        <v>55.3</v>
      </c>
      <c r="C132">
        <v>163</v>
      </c>
      <c r="D132" t="s">
        <v>89</v>
      </c>
      <c r="E132">
        <v>28</v>
      </c>
      <c r="F132" t="s">
        <v>99</v>
      </c>
      <c r="G132" t="s">
        <v>34</v>
      </c>
      <c r="H132" t="s">
        <v>29</v>
      </c>
      <c r="I132" t="s">
        <v>36</v>
      </c>
      <c r="J132">
        <v>5</v>
      </c>
      <c r="K132">
        <v>3</v>
      </c>
      <c r="L132">
        <v>1</v>
      </c>
      <c r="M132">
        <v>2</v>
      </c>
      <c r="N132">
        <v>0</v>
      </c>
      <c r="O132">
        <v>0</v>
      </c>
      <c r="P132">
        <v>0</v>
      </c>
      <c r="Q132">
        <v>1</v>
      </c>
      <c r="R132">
        <v>0</v>
      </c>
      <c r="S132">
        <v>0</v>
      </c>
      <c r="T132">
        <v>0</v>
      </c>
      <c r="U132">
        <v>2</v>
      </c>
      <c r="V132">
        <v>0</v>
      </c>
      <c r="W132">
        <v>9</v>
      </c>
      <c r="X132">
        <v>956.92</v>
      </c>
      <c r="Y132">
        <v>1268.94</v>
      </c>
      <c r="Z132">
        <f>AVERAGEIFS(Table1[FinalElo], Table1[Country], Table1[[#This Row],[Country]])</f>
        <v>1012.0629025423733</v>
      </c>
      <c r="AA132" cm="1">
        <f t="array" ref="AA132">IF(COUNTIFS(Table1[Country],Table1[[#This Row],[Country]])=1,0, _xlfn.STDEV.S(IF(Table1[Country]=Table1[[#This Row],[Country]],Table1[FinalElo])))</f>
        <v>148.42180446198614</v>
      </c>
      <c r="AB132">
        <f>IF(Table1[[#This Row],[CStd]]=0,0, (Table1[[#This Row],[FinalElo]]-Table1[[#This Row],[CAvg]]) / Table1[[#This Row],[CStd]])</f>
        <v>-0.37152831244883949</v>
      </c>
      <c r="AC132" t="str">
        <f>IF(Table1[[#This Row],[CStd]]=0,"Normal", IF(ABS(Table1[[#This Row],[CZscore]])&gt;2,"Outlier","Normal"))</f>
        <v>Normal</v>
      </c>
    </row>
    <row r="133" spans="1:29" x14ac:dyDescent="0.35">
      <c r="A133" t="s">
        <v>2466</v>
      </c>
      <c r="B133">
        <v>58.96696</v>
      </c>
      <c r="C133">
        <v>175</v>
      </c>
      <c r="D133" t="s">
        <v>26</v>
      </c>
      <c r="E133">
        <v>25</v>
      </c>
      <c r="F133" t="s">
        <v>1838</v>
      </c>
      <c r="G133" t="s">
        <v>34</v>
      </c>
      <c r="H133" t="s">
        <v>29</v>
      </c>
      <c r="I133" t="s">
        <v>58</v>
      </c>
      <c r="J133">
        <v>0</v>
      </c>
      <c r="K133">
        <v>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1</v>
      </c>
      <c r="X133">
        <v>900</v>
      </c>
      <c r="Y133">
        <v>1000</v>
      </c>
      <c r="Z133">
        <f>AVERAGEIFS(Table1[FinalElo], Table1[Country], Table1[[#This Row],[Country]])</f>
        <v>979.07416666666666</v>
      </c>
      <c r="AA133" cm="1">
        <f t="array" ref="AA133">IF(COUNTIFS(Table1[Country],Table1[[#This Row],[Country]])=1,0, _xlfn.STDEV.S(IF(Table1[Country]=Table1[[#This Row],[Country]],Table1[FinalElo])))</f>
        <v>130.18126931728986</v>
      </c>
      <c r="AB133">
        <f>IF(Table1[[#This Row],[CStd]]=0,0, (Table1[[#This Row],[FinalElo]]-Table1[[#This Row],[CAvg]]) / Table1[[#This Row],[CStd]])</f>
        <v>-0.60741585238303186</v>
      </c>
      <c r="AC133" t="str">
        <f>IF(Table1[[#This Row],[CStd]]=0,"Normal", IF(ABS(Table1[[#This Row],[CZscore]])&gt;2,"Outlier","Normal"))</f>
        <v>Normal</v>
      </c>
    </row>
    <row r="134" spans="1:29" x14ac:dyDescent="0.35">
      <c r="A134" t="s">
        <v>2465</v>
      </c>
      <c r="B134">
        <v>53.070264000000002</v>
      </c>
      <c r="C134">
        <v>165</v>
      </c>
      <c r="D134" t="s">
        <v>396</v>
      </c>
      <c r="E134">
        <v>25</v>
      </c>
      <c r="F134" t="s">
        <v>2344</v>
      </c>
      <c r="G134" t="s">
        <v>34</v>
      </c>
      <c r="H134" t="s">
        <v>29</v>
      </c>
      <c r="I134" t="s">
        <v>36</v>
      </c>
      <c r="J134">
        <v>0</v>
      </c>
      <c r="K134">
        <v>1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1</v>
      </c>
      <c r="X134">
        <v>961.94</v>
      </c>
      <c r="Y134">
        <v>1000</v>
      </c>
      <c r="Z134">
        <f>AVERAGEIFS(Table1[FinalElo], Table1[Country], Table1[[#This Row],[Country]])</f>
        <v>998.29391304347814</v>
      </c>
      <c r="AA134" cm="1">
        <f t="array" ref="AA134">IF(COUNTIFS(Table1[Country],Table1[[#This Row],[Country]])=1,0, _xlfn.STDEV.S(IF(Table1[Country]=Table1[[#This Row],[Country]],Table1[FinalElo])))</f>
        <v>125.31531828802386</v>
      </c>
      <c r="AB134">
        <f>IF(Table1[[#This Row],[CStd]]=0,0, (Table1[[#This Row],[FinalElo]]-Table1[[#This Row],[CAvg]]) / Table1[[#This Row],[CStd]])</f>
        <v>-0.29009951488869468</v>
      </c>
      <c r="AC134" t="str">
        <f>IF(Table1[[#This Row],[CStd]]=0,"Normal", IF(ABS(Table1[[#This Row],[CZscore]])&gt;2,"Outlier","Normal"))</f>
        <v>Normal</v>
      </c>
    </row>
    <row r="135" spans="1:29" x14ac:dyDescent="0.35">
      <c r="A135" t="s">
        <v>2464</v>
      </c>
      <c r="B135">
        <v>59.3</v>
      </c>
      <c r="C135">
        <v>173</v>
      </c>
      <c r="D135" t="s">
        <v>89</v>
      </c>
      <c r="E135">
        <v>27</v>
      </c>
      <c r="F135" t="s">
        <v>1807</v>
      </c>
      <c r="G135" t="s">
        <v>34</v>
      </c>
      <c r="H135" t="s">
        <v>29</v>
      </c>
      <c r="I135" t="s">
        <v>58</v>
      </c>
      <c r="J135">
        <v>5</v>
      </c>
      <c r="K135">
        <v>3</v>
      </c>
      <c r="L135">
        <v>0</v>
      </c>
      <c r="M135">
        <v>0</v>
      </c>
      <c r="N135">
        <v>0</v>
      </c>
      <c r="O135">
        <v>0</v>
      </c>
      <c r="P135">
        <v>3</v>
      </c>
      <c r="Q135">
        <v>2</v>
      </c>
      <c r="R135">
        <v>0</v>
      </c>
      <c r="S135">
        <v>0</v>
      </c>
      <c r="T135">
        <v>0</v>
      </c>
      <c r="U135">
        <v>2</v>
      </c>
      <c r="V135">
        <v>0</v>
      </c>
      <c r="W135">
        <v>8</v>
      </c>
      <c r="X135">
        <v>1129.78</v>
      </c>
      <c r="Y135">
        <v>1230.2</v>
      </c>
      <c r="Z135">
        <f>AVERAGEIFS(Table1[FinalElo], Table1[Country], Table1[[#This Row],[Country]])</f>
        <v>1012.0629025423733</v>
      </c>
      <c r="AA135" cm="1">
        <f t="array" ref="AA135">IF(COUNTIFS(Table1[Country],Table1[[#This Row],[Country]])=1,0, _xlfn.STDEV.S(IF(Table1[Country]=Table1[[#This Row],[Country]],Table1[FinalElo])))</f>
        <v>148.42180446198614</v>
      </c>
      <c r="AB135">
        <f>IF(Table1[[#This Row],[CStd]]=0,0, (Table1[[#This Row],[FinalElo]]-Table1[[#This Row],[CAvg]]) / Table1[[#This Row],[CStd]])</f>
        <v>0.79312536243808041</v>
      </c>
      <c r="AC135" t="str">
        <f>IF(Table1[[#This Row],[CStd]]=0,"Normal", IF(ABS(Table1[[#This Row],[CZscore]])&gt;2,"Outlier","Normal"))</f>
        <v>Normal</v>
      </c>
    </row>
    <row r="136" spans="1:29" x14ac:dyDescent="0.35">
      <c r="A136" t="s">
        <v>2463</v>
      </c>
      <c r="B136">
        <v>64.863656000000006</v>
      </c>
      <c r="C136">
        <v>175</v>
      </c>
      <c r="D136" t="s">
        <v>89</v>
      </c>
      <c r="E136">
        <v>27</v>
      </c>
      <c r="F136" t="s">
        <v>555</v>
      </c>
      <c r="G136" t="s">
        <v>34</v>
      </c>
      <c r="H136" t="s">
        <v>29</v>
      </c>
      <c r="I136" t="s">
        <v>73</v>
      </c>
      <c r="J136">
        <v>0</v>
      </c>
      <c r="K136">
        <v>2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1</v>
      </c>
      <c r="V136">
        <v>0</v>
      </c>
      <c r="W136">
        <v>2</v>
      </c>
      <c r="X136">
        <v>828.01</v>
      </c>
      <c r="Y136">
        <v>1000</v>
      </c>
      <c r="Z136">
        <f>AVERAGEIFS(Table1[FinalElo], Table1[Country], Table1[[#This Row],[Country]])</f>
        <v>1012.0629025423733</v>
      </c>
      <c r="AA136" cm="1">
        <f t="array" ref="AA136">IF(COUNTIFS(Table1[Country],Table1[[#This Row],[Country]])=1,0, _xlfn.STDEV.S(IF(Table1[Country]=Table1[[#This Row],[Country]],Table1[FinalElo])))</f>
        <v>148.42180446198614</v>
      </c>
      <c r="AB136">
        <f>IF(Table1[[#This Row],[CStd]]=0,0, (Table1[[#This Row],[FinalElo]]-Table1[[#This Row],[CAvg]]) / Table1[[#This Row],[CStd]])</f>
        <v>-1.2400664660394494</v>
      </c>
      <c r="AC136" t="str">
        <f>IF(Table1[[#This Row],[CStd]]=0,"Normal", IF(ABS(Table1[[#This Row],[CZscore]])&gt;2,"Outlier","Normal"))</f>
        <v>Normal</v>
      </c>
    </row>
    <row r="137" spans="1:29" x14ac:dyDescent="0.35">
      <c r="A137" t="s">
        <v>2461</v>
      </c>
      <c r="B137">
        <v>55.5</v>
      </c>
      <c r="C137">
        <v>168</v>
      </c>
      <c r="D137" t="s">
        <v>89</v>
      </c>
      <c r="E137">
        <v>18</v>
      </c>
      <c r="F137" t="s">
        <v>2462</v>
      </c>
      <c r="G137" t="s">
        <v>34</v>
      </c>
      <c r="H137" t="s">
        <v>29</v>
      </c>
      <c r="I137" t="s">
        <v>36</v>
      </c>
      <c r="J137">
        <v>0</v>
      </c>
      <c r="K137">
        <v>1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1</v>
      </c>
      <c r="X137">
        <v>900</v>
      </c>
      <c r="Y137">
        <v>1000</v>
      </c>
      <c r="Z137">
        <f>AVERAGEIFS(Table1[FinalElo], Table1[Country], Table1[[#This Row],[Country]])</f>
        <v>1012.0629025423733</v>
      </c>
      <c r="AA137" cm="1">
        <f t="array" ref="AA137">IF(COUNTIFS(Table1[Country],Table1[[#This Row],[Country]])=1,0, _xlfn.STDEV.S(IF(Table1[Country]=Table1[[#This Row],[Country]],Table1[FinalElo])))</f>
        <v>148.42180446198614</v>
      </c>
      <c r="AB137">
        <f>IF(Table1[[#This Row],[CStd]]=0,0, (Table1[[#This Row],[FinalElo]]-Table1[[#This Row],[CAvg]]) / Table1[[#This Row],[CStd]])</f>
        <v>-0.75502991591154589</v>
      </c>
      <c r="AC137" t="str">
        <f>IF(Table1[[#This Row],[CStd]]=0,"Normal", IF(ABS(Table1[[#This Row],[CZscore]])&gt;2,"Outlier","Normal"))</f>
        <v>Normal</v>
      </c>
    </row>
    <row r="138" spans="1:29" x14ac:dyDescent="0.35">
      <c r="A138" t="s">
        <v>2460</v>
      </c>
      <c r="B138">
        <v>63.6</v>
      </c>
      <c r="C138">
        <v>170</v>
      </c>
      <c r="D138" t="s">
        <v>89</v>
      </c>
      <c r="E138">
        <v>27</v>
      </c>
      <c r="F138" t="s">
        <v>653</v>
      </c>
      <c r="G138" t="s">
        <v>34</v>
      </c>
      <c r="H138" t="s">
        <v>29</v>
      </c>
      <c r="I138" t="s">
        <v>73</v>
      </c>
      <c r="J138">
        <v>0</v>
      </c>
      <c r="K138">
        <v>3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1</v>
      </c>
      <c r="S138">
        <v>0</v>
      </c>
      <c r="T138">
        <v>0</v>
      </c>
      <c r="U138">
        <v>1</v>
      </c>
      <c r="V138">
        <v>0</v>
      </c>
      <c r="W138">
        <v>3</v>
      </c>
      <c r="X138">
        <v>748.44</v>
      </c>
      <c r="Y138">
        <v>1000</v>
      </c>
      <c r="Z138">
        <f>AVERAGEIFS(Table1[FinalElo], Table1[Country], Table1[[#This Row],[Country]])</f>
        <v>1012.0629025423733</v>
      </c>
      <c r="AA138" cm="1">
        <f t="array" ref="AA138">IF(COUNTIFS(Table1[Country],Table1[[#This Row],[Country]])=1,0, _xlfn.STDEV.S(IF(Table1[Country]=Table1[[#This Row],[Country]],Table1[FinalElo])))</f>
        <v>148.42180446198614</v>
      </c>
      <c r="AB138">
        <f>IF(Table1[[#This Row],[CStd]]=0,0, (Table1[[#This Row],[FinalElo]]-Table1[[#This Row],[CAvg]]) / Table1[[#This Row],[CStd]])</f>
        <v>-1.7761736794534961</v>
      </c>
      <c r="AC138" t="str">
        <f>IF(Table1[[#This Row],[CStd]]=0,"Normal", IF(ABS(Table1[[#This Row],[CZscore]])&gt;2,"Outlier","Normal"))</f>
        <v>Normal</v>
      </c>
    </row>
    <row r="139" spans="1:29" x14ac:dyDescent="0.35">
      <c r="A139" t="s">
        <v>2458</v>
      </c>
      <c r="B139">
        <v>62.1</v>
      </c>
      <c r="C139">
        <v>170</v>
      </c>
      <c r="D139" t="s">
        <v>396</v>
      </c>
      <c r="E139">
        <v>20</v>
      </c>
      <c r="F139" t="s">
        <v>2459</v>
      </c>
      <c r="G139" t="s">
        <v>34</v>
      </c>
      <c r="H139" t="s">
        <v>29</v>
      </c>
      <c r="I139" t="s">
        <v>73</v>
      </c>
      <c r="J139">
        <v>2</v>
      </c>
      <c r="K139">
        <v>3</v>
      </c>
      <c r="L139">
        <v>0</v>
      </c>
      <c r="M139">
        <v>1</v>
      </c>
      <c r="N139">
        <v>0</v>
      </c>
      <c r="O139">
        <v>0</v>
      </c>
      <c r="P139">
        <v>0</v>
      </c>
      <c r="Q139">
        <v>0</v>
      </c>
      <c r="R139">
        <v>2</v>
      </c>
      <c r="S139">
        <v>0</v>
      </c>
      <c r="T139">
        <v>0</v>
      </c>
      <c r="U139">
        <v>0</v>
      </c>
      <c r="V139">
        <v>0</v>
      </c>
      <c r="W139">
        <v>5</v>
      </c>
      <c r="X139">
        <v>855.76</v>
      </c>
      <c r="Y139">
        <v>1144.8699999999999</v>
      </c>
      <c r="Z139">
        <f>AVERAGEIFS(Table1[FinalElo], Table1[Country], Table1[[#This Row],[Country]])</f>
        <v>998.29391304347814</v>
      </c>
      <c r="AA139" cm="1">
        <f t="array" ref="AA139">IF(COUNTIFS(Table1[Country],Table1[[#This Row],[Country]])=1,0, _xlfn.STDEV.S(IF(Table1[Country]=Table1[[#This Row],[Country]],Table1[FinalElo])))</f>
        <v>125.31531828802386</v>
      </c>
      <c r="AB139">
        <f>IF(Table1[[#This Row],[CStd]]=0,0, (Table1[[#This Row],[FinalElo]]-Table1[[#This Row],[CAvg]]) / Table1[[#This Row],[CStd]])</f>
        <v>-1.137402154745992</v>
      </c>
      <c r="AC139" t="str">
        <f>IF(Table1[[#This Row],[CStd]]=0,"Normal", IF(ABS(Table1[[#This Row],[CZscore]])&gt;2,"Outlier","Normal"))</f>
        <v>Normal</v>
      </c>
    </row>
    <row r="140" spans="1:29" x14ac:dyDescent="0.35">
      <c r="A140" t="s">
        <v>119</v>
      </c>
      <c r="B140">
        <v>70</v>
      </c>
      <c r="C140">
        <v>177</v>
      </c>
      <c r="D140" t="s">
        <v>120</v>
      </c>
      <c r="E140">
        <v>39</v>
      </c>
      <c r="F140" t="s">
        <v>121</v>
      </c>
      <c r="G140" t="s">
        <v>40</v>
      </c>
      <c r="H140" t="s">
        <v>29</v>
      </c>
      <c r="I140" t="s">
        <v>48</v>
      </c>
      <c r="J140">
        <v>6</v>
      </c>
      <c r="K140">
        <v>2</v>
      </c>
      <c r="L140">
        <v>0</v>
      </c>
      <c r="M140">
        <v>0</v>
      </c>
      <c r="N140">
        <v>1</v>
      </c>
      <c r="O140">
        <v>0</v>
      </c>
      <c r="P140">
        <v>0</v>
      </c>
      <c r="Q140">
        <v>0</v>
      </c>
      <c r="R140">
        <v>1</v>
      </c>
      <c r="S140">
        <v>0</v>
      </c>
      <c r="T140">
        <v>0</v>
      </c>
      <c r="U140">
        <v>1</v>
      </c>
      <c r="V140">
        <v>0</v>
      </c>
      <c r="W140">
        <v>8</v>
      </c>
      <c r="X140">
        <v>1375.06</v>
      </c>
      <c r="Y140">
        <v>1512.23</v>
      </c>
      <c r="Z140">
        <f>AVERAGEIFS(Table1[FinalElo], Table1[Country], Table1[[#This Row],[Country]])</f>
        <v>1123.29</v>
      </c>
      <c r="AA140" cm="1">
        <f t="array" ref="AA140">IF(COUNTIFS(Table1[Country],Table1[[#This Row],[Country]])=1,0, _xlfn.STDEV.S(IF(Table1[Country]=Table1[[#This Row],[Country]],Table1[FinalElo])))</f>
        <v>356.0565485986744</v>
      </c>
      <c r="AB140">
        <f>IF(Table1[[#This Row],[CStd]]=0,0, (Table1[[#This Row],[FinalElo]]-Table1[[#This Row],[CAvg]]) / Table1[[#This Row],[CStd]])</f>
        <v>0.70710678118654702</v>
      </c>
      <c r="AC140" t="str">
        <f>IF(Table1[[#This Row],[CStd]]=0,"Normal", IF(ABS(Table1[[#This Row],[CZscore]])&gt;2,"Outlier","Normal"))</f>
        <v>Normal</v>
      </c>
    </row>
    <row r="141" spans="1:29" x14ac:dyDescent="0.35">
      <c r="A141" t="s">
        <v>2457</v>
      </c>
      <c r="B141">
        <v>62.1</v>
      </c>
      <c r="C141">
        <v>176</v>
      </c>
      <c r="D141" t="s">
        <v>32</v>
      </c>
      <c r="E141">
        <v>35</v>
      </c>
      <c r="F141" t="s">
        <v>90</v>
      </c>
      <c r="G141" t="s">
        <v>40</v>
      </c>
      <c r="H141" t="s">
        <v>29</v>
      </c>
      <c r="I141" t="s">
        <v>73</v>
      </c>
      <c r="J141">
        <v>0</v>
      </c>
      <c r="K141">
        <v>1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1</v>
      </c>
      <c r="S141">
        <v>0</v>
      </c>
      <c r="T141">
        <v>0</v>
      </c>
      <c r="U141">
        <v>0</v>
      </c>
      <c r="V141">
        <v>0</v>
      </c>
      <c r="W141">
        <v>1</v>
      </c>
      <c r="X141">
        <v>890.16</v>
      </c>
      <c r="Y141">
        <v>1000</v>
      </c>
      <c r="Z141">
        <f>AVERAGEIFS(Table1[FinalElo], Table1[Country], Table1[[#This Row],[Country]])</f>
        <v>1025.3786885245902</v>
      </c>
      <c r="AA141" cm="1">
        <f t="array" ref="AA141">IF(COUNTIFS(Table1[Country],Table1[[#This Row],[Country]])=1,0, _xlfn.STDEV.S(IF(Table1[Country]=Table1[[#This Row],[Country]],Table1[FinalElo])))</f>
        <v>144.71595558743479</v>
      </c>
      <c r="AB141">
        <f>IF(Table1[[#This Row],[CStd]]=0,0, (Table1[[#This Row],[FinalElo]]-Table1[[#This Row],[CAvg]]) / Table1[[#This Row],[CStd]])</f>
        <v>-0.9343730480561524</v>
      </c>
      <c r="AC141" t="str">
        <f>IF(Table1[[#This Row],[CStd]]=0,"Normal", IF(ABS(Table1[[#This Row],[CZscore]])&gt;2,"Outlier","Normal"))</f>
        <v>Normal</v>
      </c>
    </row>
    <row r="142" spans="1:29" x14ac:dyDescent="0.35">
      <c r="A142" t="s">
        <v>2456</v>
      </c>
      <c r="B142">
        <v>54.431040000000003</v>
      </c>
      <c r="C142">
        <v>173</v>
      </c>
      <c r="D142" t="s">
        <v>89</v>
      </c>
      <c r="E142">
        <v>18</v>
      </c>
      <c r="F142" t="s">
        <v>1922</v>
      </c>
      <c r="G142" t="s">
        <v>34</v>
      </c>
      <c r="H142" t="s">
        <v>29</v>
      </c>
      <c r="I142" t="s">
        <v>36</v>
      </c>
      <c r="J142">
        <v>1</v>
      </c>
      <c r="K142">
        <v>1</v>
      </c>
      <c r="L142">
        <v>0</v>
      </c>
      <c r="M142">
        <v>0</v>
      </c>
      <c r="N142">
        <v>0</v>
      </c>
      <c r="O142">
        <v>0</v>
      </c>
      <c r="P142">
        <v>1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2</v>
      </c>
      <c r="X142">
        <v>1020.43</v>
      </c>
      <c r="Y142">
        <v>1100</v>
      </c>
      <c r="Z142">
        <f>AVERAGEIFS(Table1[FinalElo], Table1[Country], Table1[[#This Row],[Country]])</f>
        <v>1012.0629025423733</v>
      </c>
      <c r="AA142" cm="1">
        <f t="array" ref="AA142">IF(COUNTIFS(Table1[Country],Table1[[#This Row],[Country]])=1,0, _xlfn.STDEV.S(IF(Table1[Country]=Table1[[#This Row],[Country]],Table1[FinalElo])))</f>
        <v>148.42180446198614</v>
      </c>
      <c r="AB142">
        <f>IF(Table1[[#This Row],[CStd]]=0,0, (Table1[[#This Row],[FinalElo]]-Table1[[#This Row],[CAvg]]) / Table1[[#This Row],[CStd]])</f>
        <v>5.6373775322005513E-2</v>
      </c>
      <c r="AC142" t="str">
        <f>IF(Table1[[#This Row],[CStd]]=0,"Normal", IF(ABS(Table1[[#This Row],[CZscore]])&gt;2,"Outlier","Normal"))</f>
        <v>Normal</v>
      </c>
    </row>
    <row r="143" spans="1:29" x14ac:dyDescent="0.35">
      <c r="A143" t="s">
        <v>2454</v>
      </c>
      <c r="B143">
        <v>70.3</v>
      </c>
      <c r="C143">
        <v>180</v>
      </c>
      <c r="D143" t="s">
        <v>82</v>
      </c>
      <c r="E143">
        <v>35</v>
      </c>
      <c r="F143" t="s">
        <v>2455</v>
      </c>
      <c r="G143" t="s">
        <v>40</v>
      </c>
      <c r="H143" t="s">
        <v>29</v>
      </c>
      <c r="I143" t="s">
        <v>48</v>
      </c>
      <c r="J143">
        <v>3</v>
      </c>
      <c r="K143">
        <v>4</v>
      </c>
      <c r="L143">
        <v>0</v>
      </c>
      <c r="M143">
        <v>1</v>
      </c>
      <c r="N143">
        <v>2</v>
      </c>
      <c r="O143">
        <v>0</v>
      </c>
      <c r="P143">
        <v>0</v>
      </c>
      <c r="Q143">
        <v>0</v>
      </c>
      <c r="R143">
        <v>1</v>
      </c>
      <c r="S143">
        <v>1</v>
      </c>
      <c r="T143">
        <v>0</v>
      </c>
      <c r="U143">
        <v>2</v>
      </c>
      <c r="V143">
        <v>0</v>
      </c>
      <c r="W143">
        <v>7</v>
      </c>
      <c r="X143">
        <v>903.32</v>
      </c>
      <c r="Y143">
        <v>1113.18</v>
      </c>
      <c r="Z143">
        <f>AVERAGEIFS(Table1[FinalElo], Table1[Country], Table1[[#This Row],[Country]])</f>
        <v>1012.5275373134326</v>
      </c>
      <c r="AA143" cm="1">
        <f t="array" ref="AA143">IF(COUNTIFS(Table1[Country],Table1[[#This Row],[Country]])=1,0, _xlfn.STDEV.S(IF(Table1[Country]=Table1[[#This Row],[Country]],Table1[FinalElo])))</f>
        <v>135.61062237674741</v>
      </c>
      <c r="AB143">
        <f>IF(Table1[[#This Row],[CStd]]=0,0, (Table1[[#This Row],[FinalElo]]-Table1[[#This Row],[CAvg]]) / Table1[[#This Row],[CStd]])</f>
        <v>-0.80530223517474198</v>
      </c>
      <c r="AC143" t="str">
        <f>IF(Table1[[#This Row],[CStd]]=0,"Normal", IF(ABS(Table1[[#This Row],[CZscore]])&gt;2,"Outlier","Normal"))</f>
        <v>Normal</v>
      </c>
    </row>
    <row r="144" spans="1:29" x14ac:dyDescent="0.35">
      <c r="A144" t="s">
        <v>2453</v>
      </c>
      <c r="B144">
        <v>47.63</v>
      </c>
      <c r="C144">
        <v>160</v>
      </c>
      <c r="D144" t="s">
        <v>321</v>
      </c>
      <c r="E144">
        <v>34</v>
      </c>
      <c r="F144">
        <v>0</v>
      </c>
      <c r="G144" t="s">
        <v>34</v>
      </c>
      <c r="H144" t="s">
        <v>29</v>
      </c>
      <c r="I144" t="s">
        <v>55</v>
      </c>
      <c r="J144">
        <v>0</v>
      </c>
      <c r="K144">
        <v>1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1</v>
      </c>
      <c r="S144">
        <v>0</v>
      </c>
      <c r="T144">
        <v>0</v>
      </c>
      <c r="U144">
        <v>0</v>
      </c>
      <c r="V144">
        <v>0</v>
      </c>
      <c r="W144">
        <v>1</v>
      </c>
      <c r="X144">
        <v>900</v>
      </c>
      <c r="Y144">
        <v>1000</v>
      </c>
      <c r="Z144">
        <f>AVERAGEIFS(Table1[FinalElo], Table1[Country], Table1[[#This Row],[Country]])</f>
        <v>961.33999999999992</v>
      </c>
      <c r="AA144" cm="1">
        <f t="array" ref="AA144">IF(COUNTIFS(Table1[Country],Table1[[#This Row],[Country]])=1,0, _xlfn.STDEV.S(IF(Table1[Country]=Table1[[#This Row],[Country]],Table1[FinalElo])))</f>
        <v>86.427762032809824</v>
      </c>
      <c r="AB144">
        <f>IF(Table1[[#This Row],[CStd]]=0,0, (Table1[[#This Row],[FinalElo]]-Table1[[#This Row],[CAvg]]) / Table1[[#This Row],[CStd]])</f>
        <v>-0.70972565478108696</v>
      </c>
      <c r="AC144" t="str">
        <f>IF(Table1[[#This Row],[CStd]]=0,"Normal", IF(ABS(Table1[[#This Row],[CZscore]])&gt;2,"Outlier","Normal"))</f>
        <v>Normal</v>
      </c>
    </row>
    <row r="145" spans="1:29" x14ac:dyDescent="0.35">
      <c r="A145" t="s">
        <v>2452</v>
      </c>
      <c r="B145">
        <v>70.31</v>
      </c>
      <c r="C145">
        <v>178</v>
      </c>
      <c r="D145" t="s">
        <v>89</v>
      </c>
      <c r="E145">
        <v>32</v>
      </c>
      <c r="F145" t="s">
        <v>110</v>
      </c>
      <c r="G145" t="s">
        <v>34</v>
      </c>
      <c r="H145" t="s">
        <v>29</v>
      </c>
      <c r="I145" t="s">
        <v>30</v>
      </c>
      <c r="J145">
        <v>1</v>
      </c>
      <c r="K145">
        <v>0</v>
      </c>
      <c r="L145">
        <v>1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2</v>
      </c>
      <c r="X145">
        <v>1100</v>
      </c>
      <c r="Y145">
        <v>1100</v>
      </c>
      <c r="Z145">
        <f>AVERAGEIFS(Table1[FinalElo], Table1[Country], Table1[[#This Row],[Country]])</f>
        <v>1012.0629025423733</v>
      </c>
      <c r="AA145" cm="1">
        <f t="array" ref="AA145">IF(COUNTIFS(Table1[Country],Table1[[#This Row],[Country]])=1,0, _xlfn.STDEV.S(IF(Table1[Country]=Table1[[#This Row],[Country]],Table1[FinalElo])))</f>
        <v>148.42180446198614</v>
      </c>
      <c r="AB145">
        <f>IF(Table1[[#This Row],[CStd]]=0,0, (Table1[[#This Row],[FinalElo]]-Table1[[#This Row],[CAvg]]) / Table1[[#This Row],[CStd]])</f>
        <v>0.59248098873605315</v>
      </c>
      <c r="AC145" t="str">
        <f>IF(Table1[[#This Row],[CStd]]=0,"Normal", IF(ABS(Table1[[#This Row],[CZscore]])&gt;2,"Outlier","Normal"))</f>
        <v>Normal</v>
      </c>
    </row>
    <row r="146" spans="1:29" x14ac:dyDescent="0.35">
      <c r="A146" t="s">
        <v>2451</v>
      </c>
      <c r="B146">
        <v>56.7</v>
      </c>
      <c r="C146">
        <v>167</v>
      </c>
      <c r="D146" t="s">
        <v>38</v>
      </c>
      <c r="E146">
        <v>27</v>
      </c>
      <c r="F146" t="s">
        <v>87</v>
      </c>
      <c r="G146" t="s">
        <v>28</v>
      </c>
      <c r="H146" t="s">
        <v>29</v>
      </c>
      <c r="I146" t="s">
        <v>58</v>
      </c>
      <c r="J146">
        <v>2</v>
      </c>
      <c r="K146">
        <v>3</v>
      </c>
      <c r="L146">
        <v>0</v>
      </c>
      <c r="M146">
        <v>1</v>
      </c>
      <c r="N146">
        <v>0</v>
      </c>
      <c r="O146">
        <v>0</v>
      </c>
      <c r="P146">
        <v>1</v>
      </c>
      <c r="Q146">
        <v>0</v>
      </c>
      <c r="R146">
        <v>0</v>
      </c>
      <c r="S146">
        <v>0</v>
      </c>
      <c r="T146">
        <v>0</v>
      </c>
      <c r="U146">
        <v>2</v>
      </c>
      <c r="V146">
        <v>0</v>
      </c>
      <c r="W146">
        <v>5</v>
      </c>
      <c r="X146">
        <v>962.22</v>
      </c>
      <c r="Y146">
        <v>1086.6600000000001</v>
      </c>
      <c r="Z146">
        <f>AVERAGEIFS(Table1[FinalElo], Table1[Country], Table1[[#This Row],[Country]])</f>
        <v>1057.4495402298851</v>
      </c>
      <c r="AA146" cm="1">
        <f t="array" ref="AA146">IF(COUNTIFS(Table1[Country],Table1[[#This Row],[Country]])=1,0, _xlfn.STDEV.S(IF(Table1[Country]=Table1[[#This Row],[Country]],Table1[FinalElo])))</f>
        <v>156.98667602259493</v>
      </c>
      <c r="AB146">
        <f>IF(Table1[[#This Row],[CStd]]=0,0, (Table1[[#This Row],[FinalElo]]-Table1[[#This Row],[CAvg]]) / Table1[[#This Row],[CStd]])</f>
        <v>-0.60660906162621575</v>
      </c>
      <c r="AC146" t="str">
        <f>IF(Table1[[#This Row],[CStd]]=0,"Normal", IF(ABS(Table1[[#This Row],[CZscore]])&gt;2,"Outlier","Normal"))</f>
        <v>Normal</v>
      </c>
    </row>
    <row r="147" spans="1:29" x14ac:dyDescent="0.35">
      <c r="A147" t="s">
        <v>2450</v>
      </c>
      <c r="B147">
        <v>52.5</v>
      </c>
      <c r="C147">
        <v>165</v>
      </c>
      <c r="D147" t="s">
        <v>89</v>
      </c>
      <c r="E147">
        <v>27</v>
      </c>
      <c r="F147">
        <v>2</v>
      </c>
      <c r="G147" t="s">
        <v>34</v>
      </c>
      <c r="H147" t="s">
        <v>29</v>
      </c>
      <c r="I147" t="s">
        <v>36</v>
      </c>
      <c r="J147">
        <v>2</v>
      </c>
      <c r="K147">
        <v>2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2</v>
      </c>
      <c r="V147">
        <v>0</v>
      </c>
      <c r="W147">
        <v>4</v>
      </c>
      <c r="X147">
        <v>1025.1199999999999</v>
      </c>
      <c r="Y147">
        <v>1190.3900000000001</v>
      </c>
      <c r="Z147">
        <f>AVERAGEIFS(Table1[FinalElo], Table1[Country], Table1[[#This Row],[Country]])</f>
        <v>1012.0629025423733</v>
      </c>
      <c r="AA147" cm="1">
        <f t="array" ref="AA147">IF(COUNTIFS(Table1[Country],Table1[[#This Row],[Country]])=1,0, _xlfn.STDEV.S(IF(Table1[Country]=Table1[[#This Row],[Country]],Table1[FinalElo])))</f>
        <v>148.42180446198614</v>
      </c>
      <c r="AB147">
        <f>IF(Table1[[#This Row],[CStd]]=0,0, (Table1[[#This Row],[FinalElo]]-Table1[[#This Row],[CAvg]]) / Table1[[#This Row],[CStd]])</f>
        <v>8.7972906035991311E-2</v>
      </c>
      <c r="AC147" t="str">
        <f>IF(Table1[[#This Row],[CStd]]=0,"Normal", IF(ABS(Table1[[#This Row],[CZscore]])&gt;2,"Outlier","Normal"))</f>
        <v>Normal</v>
      </c>
    </row>
    <row r="148" spans="1:29" x14ac:dyDescent="0.35">
      <c r="A148" t="s">
        <v>2449</v>
      </c>
      <c r="B148">
        <v>56.3</v>
      </c>
      <c r="C148">
        <v>165</v>
      </c>
      <c r="D148" t="s">
        <v>89</v>
      </c>
      <c r="E148">
        <v>24</v>
      </c>
      <c r="F148" t="s">
        <v>99</v>
      </c>
      <c r="G148" t="s">
        <v>34</v>
      </c>
      <c r="H148" t="s">
        <v>29</v>
      </c>
      <c r="I148" t="s">
        <v>36</v>
      </c>
      <c r="J148">
        <v>6</v>
      </c>
      <c r="K148">
        <v>3</v>
      </c>
      <c r="L148">
        <v>0</v>
      </c>
      <c r="M148">
        <v>1</v>
      </c>
      <c r="N148">
        <v>0</v>
      </c>
      <c r="O148">
        <v>0</v>
      </c>
      <c r="P148">
        <v>2</v>
      </c>
      <c r="Q148">
        <v>0</v>
      </c>
      <c r="R148">
        <v>0</v>
      </c>
      <c r="S148">
        <v>0</v>
      </c>
      <c r="T148">
        <v>0</v>
      </c>
      <c r="U148">
        <v>1</v>
      </c>
      <c r="V148">
        <v>1</v>
      </c>
      <c r="W148">
        <v>9</v>
      </c>
      <c r="X148">
        <v>1063.75</v>
      </c>
      <c r="Y148">
        <v>1252.7</v>
      </c>
      <c r="Z148">
        <f>AVERAGEIFS(Table1[FinalElo], Table1[Country], Table1[[#This Row],[Country]])</f>
        <v>1012.0629025423733</v>
      </c>
      <c r="AA148" cm="1">
        <f t="array" ref="AA148">IF(COUNTIFS(Table1[Country],Table1[[#This Row],[Country]])=1,0, _xlfn.STDEV.S(IF(Table1[Country]=Table1[[#This Row],[Country]],Table1[FinalElo])))</f>
        <v>148.42180446198614</v>
      </c>
      <c r="AB148">
        <f>IF(Table1[[#This Row],[CStd]]=0,0, (Table1[[#This Row],[FinalElo]]-Table1[[#This Row],[CAvg]]) / Table1[[#This Row],[CStd]])</f>
        <v>0.34824463726867583</v>
      </c>
      <c r="AC148" t="str">
        <f>IF(Table1[[#This Row],[CStd]]=0,"Normal", IF(ABS(Table1[[#This Row],[CZscore]])&gt;2,"Outlier","Normal"))</f>
        <v>Normal</v>
      </c>
    </row>
    <row r="149" spans="1:29" x14ac:dyDescent="0.35">
      <c r="A149" t="s">
        <v>2447</v>
      </c>
      <c r="B149">
        <v>58.059775999999999</v>
      </c>
      <c r="C149">
        <v>168</v>
      </c>
      <c r="D149" t="s">
        <v>452</v>
      </c>
      <c r="E149">
        <v>33</v>
      </c>
      <c r="F149" t="s">
        <v>2448</v>
      </c>
      <c r="G149" t="s">
        <v>34</v>
      </c>
      <c r="H149" t="s">
        <v>29</v>
      </c>
      <c r="I149" t="s">
        <v>58</v>
      </c>
      <c r="J149">
        <v>1</v>
      </c>
      <c r="K149">
        <v>1</v>
      </c>
      <c r="L149">
        <v>0</v>
      </c>
      <c r="M149">
        <v>0</v>
      </c>
      <c r="N149">
        <v>0</v>
      </c>
      <c r="O149">
        <v>0</v>
      </c>
      <c r="P149">
        <v>1</v>
      </c>
      <c r="Q149">
        <v>0</v>
      </c>
      <c r="R149">
        <v>0</v>
      </c>
      <c r="S149">
        <v>0</v>
      </c>
      <c r="T149">
        <v>0</v>
      </c>
      <c r="U149">
        <v>1</v>
      </c>
      <c r="V149">
        <v>0</v>
      </c>
      <c r="W149">
        <v>2</v>
      </c>
      <c r="X149">
        <v>1068.4100000000001</v>
      </c>
      <c r="Y149">
        <v>1068.4100000000001</v>
      </c>
      <c r="Z149">
        <f>AVERAGEIFS(Table1[FinalElo], Table1[Country], Table1[[#This Row],[Country]])</f>
        <v>1035.0040000000001</v>
      </c>
      <c r="AA149" cm="1">
        <f t="array" ref="AA149">IF(COUNTIFS(Table1[Country],Table1[[#This Row],[Country]])=1,0, _xlfn.STDEV.S(IF(Table1[Country]=Table1[[#This Row],[Country]],Table1[FinalElo])))</f>
        <v>97.988999790792832</v>
      </c>
      <c r="AB149">
        <f>IF(Table1[[#This Row],[CStd]]=0,0, (Table1[[#This Row],[FinalElo]]-Table1[[#This Row],[CAvg]]) / Table1[[#This Row],[CStd]])</f>
        <v>0.3409158178093662</v>
      </c>
      <c r="AC149" t="str">
        <f>IF(Table1[[#This Row],[CStd]]=0,"Normal", IF(ABS(Table1[[#This Row],[CZscore]])&gt;2,"Outlier","Normal"))</f>
        <v>Normal</v>
      </c>
    </row>
    <row r="150" spans="1:29" x14ac:dyDescent="0.35">
      <c r="A150" t="s">
        <v>2445</v>
      </c>
      <c r="B150">
        <v>55.7</v>
      </c>
      <c r="C150">
        <v>165</v>
      </c>
      <c r="D150" t="s">
        <v>89</v>
      </c>
      <c r="E150">
        <v>17</v>
      </c>
      <c r="F150" t="s">
        <v>2446</v>
      </c>
      <c r="G150" t="s">
        <v>34</v>
      </c>
      <c r="H150" t="s">
        <v>29</v>
      </c>
      <c r="I150" t="s">
        <v>36</v>
      </c>
      <c r="J150">
        <v>0</v>
      </c>
      <c r="K150">
        <v>1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1</v>
      </c>
      <c r="X150">
        <v>935.26</v>
      </c>
      <c r="Y150">
        <v>1000</v>
      </c>
      <c r="Z150">
        <f>AVERAGEIFS(Table1[FinalElo], Table1[Country], Table1[[#This Row],[Country]])</f>
        <v>1012.0629025423733</v>
      </c>
      <c r="AA150" cm="1">
        <f t="array" ref="AA150">IF(COUNTIFS(Table1[Country],Table1[[#This Row],[Country]])=1,0, _xlfn.STDEV.S(IF(Table1[Country]=Table1[[#This Row],[Country]],Table1[FinalElo])))</f>
        <v>148.42180446198614</v>
      </c>
      <c r="AB150">
        <f>IF(Table1[[#This Row],[CStd]]=0,0, (Table1[[#This Row],[FinalElo]]-Table1[[#This Row],[CAvg]]) / Table1[[#This Row],[CStd]])</f>
        <v>-0.51746374342217427</v>
      </c>
      <c r="AC150" t="str">
        <f>IF(Table1[[#This Row],[CStd]]=0,"Normal", IF(ABS(Table1[[#This Row],[CZscore]])&gt;2,"Outlier","Normal"))</f>
        <v>Normal</v>
      </c>
    </row>
    <row r="151" spans="1:29" x14ac:dyDescent="0.35">
      <c r="A151" t="s">
        <v>118</v>
      </c>
      <c r="B151">
        <v>69.900000000000006</v>
      </c>
      <c r="C151">
        <v>180</v>
      </c>
      <c r="D151" t="s">
        <v>89</v>
      </c>
      <c r="E151">
        <v>26</v>
      </c>
      <c r="F151" t="s">
        <v>99</v>
      </c>
      <c r="G151" t="s">
        <v>28</v>
      </c>
      <c r="H151" t="s">
        <v>29</v>
      </c>
      <c r="I151" t="s">
        <v>48</v>
      </c>
      <c r="J151">
        <v>10</v>
      </c>
      <c r="K151">
        <v>2</v>
      </c>
      <c r="L151">
        <v>0</v>
      </c>
      <c r="M151">
        <v>3</v>
      </c>
      <c r="N151">
        <v>0</v>
      </c>
      <c r="O151">
        <v>0</v>
      </c>
      <c r="P151">
        <v>2</v>
      </c>
      <c r="Q151">
        <v>0</v>
      </c>
      <c r="R151">
        <v>1</v>
      </c>
      <c r="S151">
        <v>0</v>
      </c>
      <c r="T151">
        <v>0</v>
      </c>
      <c r="U151">
        <v>0</v>
      </c>
      <c r="V151">
        <v>1</v>
      </c>
      <c r="W151">
        <v>12</v>
      </c>
      <c r="X151">
        <v>1363.62</v>
      </c>
      <c r="Y151">
        <v>1556.7</v>
      </c>
      <c r="Z151">
        <f>AVERAGEIFS(Table1[FinalElo], Table1[Country], Table1[[#This Row],[Country]])</f>
        <v>1012.0629025423733</v>
      </c>
      <c r="AA151" cm="1">
        <f t="array" ref="AA151">IF(COUNTIFS(Table1[Country],Table1[[#This Row],[Country]])=1,0, _xlfn.STDEV.S(IF(Table1[Country]=Table1[[#This Row],[Country]],Table1[FinalElo])))</f>
        <v>148.42180446198614</v>
      </c>
      <c r="AB151">
        <f>IF(Table1[[#This Row],[CStd]]=0,0, (Table1[[#This Row],[FinalElo]]-Table1[[#This Row],[CAvg]]) / Table1[[#This Row],[CStd]])</f>
        <v>2.3686351121520528</v>
      </c>
      <c r="AC151" t="str">
        <f>IF(Table1[[#This Row],[CStd]]=0,"Normal", IF(ABS(Table1[[#This Row],[CZscore]])&gt;2,"Outlier","Normal"))</f>
        <v>Outlier</v>
      </c>
    </row>
    <row r="152" spans="1:29" x14ac:dyDescent="0.35">
      <c r="A152" t="s">
        <v>2444</v>
      </c>
      <c r="B152">
        <v>61</v>
      </c>
      <c r="C152">
        <v>170</v>
      </c>
      <c r="D152" t="s">
        <v>82</v>
      </c>
      <c r="E152">
        <v>36</v>
      </c>
      <c r="F152">
        <v>2</v>
      </c>
      <c r="G152" t="s">
        <v>40</v>
      </c>
      <c r="H152" t="s">
        <v>29</v>
      </c>
      <c r="I152" t="s">
        <v>58</v>
      </c>
      <c r="J152">
        <v>6</v>
      </c>
      <c r="K152">
        <v>7</v>
      </c>
      <c r="L152">
        <v>0</v>
      </c>
      <c r="M152">
        <v>0</v>
      </c>
      <c r="N152">
        <v>2</v>
      </c>
      <c r="O152">
        <v>0</v>
      </c>
      <c r="P152">
        <v>4</v>
      </c>
      <c r="Q152">
        <v>0</v>
      </c>
      <c r="R152">
        <v>0</v>
      </c>
      <c r="S152">
        <v>0</v>
      </c>
      <c r="T152">
        <v>0</v>
      </c>
      <c r="U152">
        <v>5</v>
      </c>
      <c r="V152">
        <v>2</v>
      </c>
      <c r="W152">
        <v>13</v>
      </c>
      <c r="X152">
        <v>1102.44</v>
      </c>
      <c r="Y152">
        <v>1231.5899999999999</v>
      </c>
      <c r="Z152">
        <f>AVERAGEIFS(Table1[FinalElo], Table1[Country], Table1[[#This Row],[Country]])</f>
        <v>1012.5275373134326</v>
      </c>
      <c r="AA152" cm="1">
        <f t="array" ref="AA152">IF(COUNTIFS(Table1[Country],Table1[[#This Row],[Country]])=1,0, _xlfn.STDEV.S(IF(Table1[Country]=Table1[[#This Row],[Country]],Table1[FinalElo])))</f>
        <v>135.61062237674741</v>
      </c>
      <c r="AB152">
        <f>IF(Table1[[#This Row],[CStd]]=0,0, (Table1[[#This Row],[FinalElo]]-Table1[[#This Row],[CAvg]]) / Table1[[#This Row],[CStd]])</f>
        <v>0.66301932039495126</v>
      </c>
      <c r="AC152" t="str">
        <f>IF(Table1[[#This Row],[CStd]]=0,"Normal", IF(ABS(Table1[[#This Row],[CZscore]])&gt;2,"Outlier","Normal"))</f>
        <v>Normal</v>
      </c>
    </row>
    <row r="153" spans="1:29" x14ac:dyDescent="0.35">
      <c r="A153" t="s">
        <v>2442</v>
      </c>
      <c r="B153">
        <v>61.23</v>
      </c>
      <c r="C153">
        <v>174</v>
      </c>
      <c r="D153" t="s">
        <v>82</v>
      </c>
      <c r="E153">
        <v>25</v>
      </c>
      <c r="F153" t="s">
        <v>2443</v>
      </c>
      <c r="G153" t="s">
        <v>28</v>
      </c>
      <c r="H153" t="s">
        <v>29</v>
      </c>
      <c r="I153" t="s">
        <v>73</v>
      </c>
      <c r="J153">
        <v>0</v>
      </c>
      <c r="K153">
        <v>1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1</v>
      </c>
      <c r="X153">
        <v>900</v>
      </c>
      <c r="Y153">
        <v>1000</v>
      </c>
      <c r="Z153">
        <f>AVERAGEIFS(Table1[FinalElo], Table1[Country], Table1[[#This Row],[Country]])</f>
        <v>1012.5275373134326</v>
      </c>
      <c r="AA153" cm="1">
        <f t="array" ref="AA153">IF(COUNTIFS(Table1[Country],Table1[[#This Row],[Country]])=1,0, _xlfn.STDEV.S(IF(Table1[Country]=Table1[[#This Row],[Country]],Table1[FinalElo])))</f>
        <v>135.61062237674741</v>
      </c>
      <c r="AB153">
        <f>IF(Table1[[#This Row],[CStd]]=0,0, (Table1[[#This Row],[FinalElo]]-Table1[[#This Row],[CAvg]]) / Table1[[#This Row],[CStd]])</f>
        <v>-0.82978409317238888</v>
      </c>
      <c r="AC153" t="str">
        <f>IF(Table1[[#This Row],[CStd]]=0,"Normal", IF(ABS(Table1[[#This Row],[CZscore]])&gt;2,"Outlier","Normal"))</f>
        <v>Normal</v>
      </c>
    </row>
    <row r="154" spans="1:29" x14ac:dyDescent="0.35">
      <c r="A154" t="s">
        <v>2441</v>
      </c>
      <c r="B154">
        <v>56.7</v>
      </c>
      <c r="C154">
        <v>168</v>
      </c>
      <c r="D154" t="s">
        <v>116</v>
      </c>
      <c r="E154">
        <v>26</v>
      </c>
      <c r="F154" t="s">
        <v>927</v>
      </c>
      <c r="G154" t="s">
        <v>40</v>
      </c>
      <c r="H154" t="s">
        <v>29</v>
      </c>
      <c r="I154" t="s">
        <v>58</v>
      </c>
      <c r="J154">
        <v>0</v>
      </c>
      <c r="K154">
        <v>2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1</v>
      </c>
      <c r="S154">
        <v>0</v>
      </c>
      <c r="T154">
        <v>0</v>
      </c>
      <c r="U154">
        <v>0</v>
      </c>
      <c r="V154">
        <v>0</v>
      </c>
      <c r="W154">
        <v>2</v>
      </c>
      <c r="X154">
        <v>820.43</v>
      </c>
      <c r="Y154">
        <v>1000</v>
      </c>
      <c r="Z154">
        <f>AVERAGEIFS(Table1[FinalElo], Table1[Country], Table1[[#This Row],[Country]])</f>
        <v>980.88090909090931</v>
      </c>
      <c r="AA154" cm="1">
        <f t="array" ref="AA154">IF(COUNTIFS(Table1[Country],Table1[[#This Row],[Country]])=1,0, _xlfn.STDEV.S(IF(Table1[Country]=Table1[[#This Row],[Country]],Table1[FinalElo])))</f>
        <v>133.41794796376408</v>
      </c>
      <c r="AB154">
        <f>IF(Table1[[#This Row],[CStd]]=0,0, (Table1[[#This Row],[FinalElo]]-Table1[[#This Row],[CAvg]]) / Table1[[#This Row],[CStd]])</f>
        <v>-1.2026186247032322</v>
      </c>
      <c r="AC154" t="str">
        <f>IF(Table1[[#This Row],[CStd]]=0,"Normal", IF(ABS(Table1[[#This Row],[CZscore]])&gt;2,"Outlier","Normal"))</f>
        <v>Normal</v>
      </c>
    </row>
    <row r="155" spans="1:29" x14ac:dyDescent="0.35">
      <c r="A155" t="s">
        <v>2440</v>
      </c>
      <c r="B155">
        <v>61.23</v>
      </c>
      <c r="C155">
        <v>175</v>
      </c>
      <c r="D155" t="s">
        <v>89</v>
      </c>
      <c r="E155">
        <v>23</v>
      </c>
      <c r="F155" t="s">
        <v>1388</v>
      </c>
      <c r="G155" t="s">
        <v>34</v>
      </c>
      <c r="H155" t="s">
        <v>29</v>
      </c>
      <c r="I155" t="s">
        <v>73</v>
      </c>
      <c r="J155">
        <v>0</v>
      </c>
      <c r="K155">
        <v>2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1</v>
      </c>
      <c r="W155">
        <v>2</v>
      </c>
      <c r="X155">
        <v>808.34</v>
      </c>
      <c r="Y155">
        <v>1000</v>
      </c>
      <c r="Z155">
        <f>AVERAGEIFS(Table1[FinalElo], Table1[Country], Table1[[#This Row],[Country]])</f>
        <v>1012.0629025423733</v>
      </c>
      <c r="AA155" cm="1">
        <f t="array" ref="AA155">IF(COUNTIFS(Table1[Country],Table1[[#This Row],[Country]])=1,0, _xlfn.STDEV.S(IF(Table1[Country]=Table1[[#This Row],[Country]],Table1[FinalElo])))</f>
        <v>148.42180446198614</v>
      </c>
      <c r="AB155">
        <f>IF(Table1[[#This Row],[CStd]]=0,0, (Table1[[#This Row],[FinalElo]]-Table1[[#This Row],[CAvg]]) / Table1[[#This Row],[CStd]])</f>
        <v>-1.3725941635115404</v>
      </c>
      <c r="AC155" t="str">
        <f>IF(Table1[[#This Row],[CStd]]=0,"Normal", IF(ABS(Table1[[#This Row],[CZscore]])&gt;2,"Outlier","Normal"))</f>
        <v>Normal</v>
      </c>
    </row>
    <row r="156" spans="1:29" x14ac:dyDescent="0.35">
      <c r="A156" t="s">
        <v>2439</v>
      </c>
      <c r="B156">
        <v>51.9</v>
      </c>
      <c r="C156">
        <v>155</v>
      </c>
      <c r="D156" t="s">
        <v>89</v>
      </c>
      <c r="E156">
        <v>21</v>
      </c>
      <c r="F156" t="s">
        <v>154</v>
      </c>
      <c r="G156" t="s">
        <v>34</v>
      </c>
      <c r="H156" t="s">
        <v>29</v>
      </c>
      <c r="I156" t="s">
        <v>55</v>
      </c>
      <c r="J156">
        <v>3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3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3</v>
      </c>
      <c r="X156">
        <v>1274.57</v>
      </c>
      <c r="Y156">
        <v>1274.57</v>
      </c>
      <c r="Z156">
        <f>AVERAGEIFS(Table1[FinalElo], Table1[Country], Table1[[#This Row],[Country]])</f>
        <v>1012.0629025423733</v>
      </c>
      <c r="AA156" cm="1">
        <f t="array" ref="AA156">IF(COUNTIFS(Table1[Country],Table1[[#This Row],[Country]])=1,0, _xlfn.STDEV.S(IF(Table1[Country]=Table1[[#This Row],[Country]],Table1[FinalElo])))</f>
        <v>148.42180446198614</v>
      </c>
      <c r="AB156">
        <f>IF(Table1[[#This Row],[CStd]]=0,0, (Table1[[#This Row],[FinalElo]]-Table1[[#This Row],[CAvg]]) / Table1[[#This Row],[CStd]])</f>
        <v>1.7686558818577096</v>
      </c>
      <c r="AC156" t="str">
        <f>IF(Table1[[#This Row],[CStd]]=0,"Normal", IF(ABS(Table1[[#This Row],[CZscore]])&gt;2,"Outlier","Normal"))</f>
        <v>Normal</v>
      </c>
    </row>
    <row r="157" spans="1:29" x14ac:dyDescent="0.35">
      <c r="A157" t="s">
        <v>2438</v>
      </c>
      <c r="B157">
        <v>58.513368</v>
      </c>
      <c r="C157">
        <v>165</v>
      </c>
      <c r="D157" t="s">
        <v>116</v>
      </c>
      <c r="E157">
        <v>21</v>
      </c>
      <c r="F157" t="s">
        <v>99</v>
      </c>
      <c r="G157" t="s">
        <v>34</v>
      </c>
      <c r="H157" t="s">
        <v>29</v>
      </c>
      <c r="I157" t="s">
        <v>58</v>
      </c>
      <c r="J157">
        <v>0</v>
      </c>
      <c r="K157">
        <v>2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2</v>
      </c>
      <c r="V157">
        <v>0</v>
      </c>
      <c r="W157">
        <v>2</v>
      </c>
      <c r="X157">
        <v>817.06</v>
      </c>
      <c r="Y157">
        <v>1000</v>
      </c>
      <c r="Z157">
        <f>AVERAGEIFS(Table1[FinalElo], Table1[Country], Table1[[#This Row],[Country]])</f>
        <v>980.88090909090931</v>
      </c>
      <c r="AA157" cm="1">
        <f t="array" ref="AA157">IF(COUNTIFS(Table1[Country],Table1[[#This Row],[Country]])=1,0, _xlfn.STDEV.S(IF(Table1[Country]=Table1[[#This Row],[Country]],Table1[FinalElo])))</f>
        <v>133.41794796376408</v>
      </c>
      <c r="AB157">
        <f>IF(Table1[[#This Row],[CStd]]=0,0, (Table1[[#This Row],[FinalElo]]-Table1[[#This Row],[CAvg]]) / Table1[[#This Row],[CStd]])</f>
        <v>-1.2278775951148839</v>
      </c>
      <c r="AC157" t="str">
        <f>IF(Table1[[#This Row],[CStd]]=0,"Normal", IF(ABS(Table1[[#This Row],[CZscore]])&gt;2,"Outlier","Normal"))</f>
        <v>Normal</v>
      </c>
    </row>
    <row r="158" spans="1:29" x14ac:dyDescent="0.35">
      <c r="A158" t="s">
        <v>115</v>
      </c>
      <c r="B158">
        <v>70</v>
      </c>
      <c r="C158">
        <v>177</v>
      </c>
      <c r="D158" t="s">
        <v>116</v>
      </c>
      <c r="E158">
        <v>28</v>
      </c>
      <c r="F158" t="s">
        <v>117</v>
      </c>
      <c r="G158" t="s">
        <v>40</v>
      </c>
      <c r="H158" t="s">
        <v>29</v>
      </c>
      <c r="I158" t="s">
        <v>48</v>
      </c>
      <c r="J158">
        <v>8</v>
      </c>
      <c r="K158">
        <v>1</v>
      </c>
      <c r="L158">
        <v>0</v>
      </c>
      <c r="M158">
        <v>2</v>
      </c>
      <c r="N158">
        <v>0</v>
      </c>
      <c r="O158">
        <v>0</v>
      </c>
      <c r="P158">
        <v>3</v>
      </c>
      <c r="Q158">
        <v>0</v>
      </c>
      <c r="R158">
        <v>1</v>
      </c>
      <c r="S158">
        <v>0</v>
      </c>
      <c r="T158">
        <v>0</v>
      </c>
      <c r="U158">
        <v>0</v>
      </c>
      <c r="V158">
        <v>0</v>
      </c>
      <c r="W158">
        <v>9</v>
      </c>
      <c r="X158">
        <v>1442.67</v>
      </c>
      <c r="Y158">
        <v>1612.91</v>
      </c>
      <c r="Z158">
        <f>AVERAGEIFS(Table1[FinalElo], Table1[Country], Table1[[#This Row],[Country]])</f>
        <v>980.88090909090931</v>
      </c>
      <c r="AA158" cm="1">
        <f t="array" ref="AA158">IF(COUNTIFS(Table1[Country],Table1[[#This Row],[Country]])=1,0, _xlfn.STDEV.S(IF(Table1[Country]=Table1[[#This Row],[Country]],Table1[FinalElo])))</f>
        <v>133.41794796376408</v>
      </c>
      <c r="AB158">
        <f>IF(Table1[[#This Row],[CStd]]=0,0, (Table1[[#This Row],[FinalElo]]-Table1[[#This Row],[CAvg]]) / Table1[[#This Row],[CStd]])</f>
        <v>3.4612216568831604</v>
      </c>
      <c r="AC158" t="str">
        <f>IF(Table1[[#This Row],[CStd]]=0,"Normal", IF(ABS(Table1[[#This Row],[CZscore]])&gt;2,"Outlier","Normal"))</f>
        <v>Outlier</v>
      </c>
    </row>
    <row r="159" spans="1:29" x14ac:dyDescent="0.35">
      <c r="A159" t="s">
        <v>2436</v>
      </c>
      <c r="B159">
        <v>60.8</v>
      </c>
      <c r="C159">
        <v>163</v>
      </c>
      <c r="D159" t="s">
        <v>89</v>
      </c>
      <c r="E159">
        <v>23</v>
      </c>
      <c r="F159" t="s">
        <v>2437</v>
      </c>
      <c r="G159" t="s">
        <v>34</v>
      </c>
      <c r="H159" t="s">
        <v>29</v>
      </c>
      <c r="I159" t="s">
        <v>58</v>
      </c>
      <c r="J159">
        <v>0</v>
      </c>
      <c r="K159">
        <v>2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1</v>
      </c>
      <c r="V159">
        <v>0</v>
      </c>
      <c r="W159">
        <v>2</v>
      </c>
      <c r="X159">
        <v>824.84</v>
      </c>
      <c r="Y159">
        <v>1000</v>
      </c>
      <c r="Z159">
        <f>AVERAGEIFS(Table1[FinalElo], Table1[Country], Table1[[#This Row],[Country]])</f>
        <v>1012.0629025423733</v>
      </c>
      <c r="AA159" cm="1">
        <f t="array" ref="AA159">IF(COUNTIFS(Table1[Country],Table1[[#This Row],[Country]])=1,0, _xlfn.STDEV.S(IF(Table1[Country]=Table1[[#This Row],[Country]],Table1[FinalElo])))</f>
        <v>148.42180446198614</v>
      </c>
      <c r="AB159">
        <f>IF(Table1[[#This Row],[CStd]]=0,0, (Table1[[#This Row],[FinalElo]]-Table1[[#This Row],[CAvg]]) / Table1[[#This Row],[CStd]])</f>
        <v>-1.2614245138781135</v>
      </c>
      <c r="AC159" t="str">
        <f>IF(Table1[[#This Row],[CStd]]=0,"Normal", IF(ABS(Table1[[#This Row],[CZscore]])&gt;2,"Outlier","Normal"))</f>
        <v>Normal</v>
      </c>
    </row>
    <row r="160" spans="1:29" x14ac:dyDescent="0.35">
      <c r="A160" t="s">
        <v>2432</v>
      </c>
      <c r="B160">
        <v>61.23</v>
      </c>
      <c r="C160">
        <v>170</v>
      </c>
      <c r="D160" t="s">
        <v>202</v>
      </c>
      <c r="E160">
        <v>33</v>
      </c>
      <c r="F160" t="s">
        <v>2433</v>
      </c>
      <c r="G160" t="s">
        <v>40</v>
      </c>
      <c r="H160" t="s">
        <v>29</v>
      </c>
      <c r="I160" t="s">
        <v>73</v>
      </c>
      <c r="J160">
        <v>0</v>
      </c>
      <c r="K160">
        <v>1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1</v>
      </c>
      <c r="T160">
        <v>0</v>
      </c>
      <c r="U160">
        <v>0</v>
      </c>
      <c r="V160">
        <v>0</v>
      </c>
      <c r="W160">
        <v>1</v>
      </c>
      <c r="X160">
        <v>900</v>
      </c>
      <c r="Y160">
        <v>1000</v>
      </c>
      <c r="Z160">
        <f>AVERAGEIFS(Table1[FinalElo], Table1[Country], Table1[[#This Row],[Country]])</f>
        <v>984.11142857142863</v>
      </c>
      <c r="AA160" cm="1">
        <f t="array" ref="AA160">IF(COUNTIFS(Table1[Country],Table1[[#This Row],[Country]])=1,0, _xlfn.STDEV.S(IF(Table1[Country]=Table1[[#This Row],[Country]],Table1[FinalElo])))</f>
        <v>173.54746521039206</v>
      </c>
      <c r="AB160">
        <f>IF(Table1[[#This Row],[CStd]]=0,0, (Table1[[#This Row],[FinalElo]]-Table1[[#This Row],[CAvg]]) / Table1[[#This Row],[CStd]])</f>
        <v>-0.4846595049340543</v>
      </c>
      <c r="AC160" t="str">
        <f>IF(Table1[[#This Row],[CStd]]=0,"Normal", IF(ABS(Table1[[#This Row],[CZscore]])&gt;2,"Outlier","Normal"))</f>
        <v>Normal</v>
      </c>
    </row>
    <row r="161" spans="1:29" x14ac:dyDescent="0.35">
      <c r="A161" t="s">
        <v>2430</v>
      </c>
      <c r="B161">
        <v>77.599999999999994</v>
      </c>
      <c r="C161">
        <v>176</v>
      </c>
      <c r="D161" t="s">
        <v>82</v>
      </c>
      <c r="E161">
        <v>31</v>
      </c>
      <c r="F161" t="s">
        <v>2431</v>
      </c>
      <c r="G161" t="s">
        <v>40</v>
      </c>
      <c r="H161" t="s">
        <v>29</v>
      </c>
      <c r="I161" t="s">
        <v>50</v>
      </c>
      <c r="J161">
        <v>1</v>
      </c>
      <c r="K161">
        <v>1</v>
      </c>
      <c r="L161">
        <v>0</v>
      </c>
      <c r="M161">
        <v>1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1</v>
      </c>
      <c r="T161">
        <v>0</v>
      </c>
      <c r="U161">
        <v>0</v>
      </c>
      <c r="V161">
        <v>0</v>
      </c>
      <c r="W161">
        <v>2</v>
      </c>
      <c r="X161">
        <v>992.75</v>
      </c>
      <c r="Y161">
        <v>1128.01</v>
      </c>
      <c r="Z161">
        <f>AVERAGEIFS(Table1[FinalElo], Table1[Country], Table1[[#This Row],[Country]])</f>
        <v>1012.5275373134326</v>
      </c>
      <c r="AA161" cm="1">
        <f t="array" ref="AA161">IF(COUNTIFS(Table1[Country],Table1[[#This Row],[Country]])=1,0, _xlfn.STDEV.S(IF(Table1[Country]=Table1[[#This Row],[Country]],Table1[FinalElo])))</f>
        <v>135.61062237674741</v>
      </c>
      <c r="AB161">
        <f>IF(Table1[[#This Row],[CStd]]=0,0, (Table1[[#This Row],[FinalElo]]-Table1[[#This Row],[CAvg]]) / Table1[[#This Row],[CStd]])</f>
        <v>-0.14584062049717272</v>
      </c>
      <c r="AC161" t="str">
        <f>IF(Table1[[#This Row],[CStd]]=0,"Normal", IF(ABS(Table1[[#This Row],[CZscore]])&gt;2,"Outlier","Normal"))</f>
        <v>Normal</v>
      </c>
    </row>
    <row r="162" spans="1:29" x14ac:dyDescent="0.35">
      <c r="A162" t="s">
        <v>2428</v>
      </c>
      <c r="B162">
        <v>61.23</v>
      </c>
      <c r="C162">
        <v>168</v>
      </c>
      <c r="D162" t="s">
        <v>82</v>
      </c>
      <c r="E162">
        <v>25</v>
      </c>
      <c r="F162" t="s">
        <v>2429</v>
      </c>
      <c r="G162" t="s">
        <v>54</v>
      </c>
      <c r="H162" t="s">
        <v>29</v>
      </c>
      <c r="I162" t="s">
        <v>73</v>
      </c>
      <c r="J162">
        <v>1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1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1</v>
      </c>
      <c r="X162">
        <v>1100</v>
      </c>
      <c r="Y162">
        <v>1100</v>
      </c>
      <c r="Z162">
        <f>AVERAGEIFS(Table1[FinalElo], Table1[Country], Table1[[#This Row],[Country]])</f>
        <v>1012.5275373134326</v>
      </c>
      <c r="AA162" cm="1">
        <f t="array" ref="AA162">IF(COUNTIFS(Table1[Country],Table1[[#This Row],[Country]])=1,0, _xlfn.STDEV.S(IF(Table1[Country]=Table1[[#This Row],[Country]],Table1[FinalElo])))</f>
        <v>135.61062237674741</v>
      </c>
      <c r="AB162">
        <f>IF(Table1[[#This Row],[CStd]]=0,0, (Table1[[#This Row],[FinalElo]]-Table1[[#This Row],[CAvg]]) / Table1[[#This Row],[CStd]])</f>
        <v>0.64502662957740331</v>
      </c>
      <c r="AC162" t="str">
        <f>IF(Table1[[#This Row],[CStd]]=0,"Normal", IF(ABS(Table1[[#This Row],[CZscore]])&gt;2,"Outlier","Normal"))</f>
        <v>Normal</v>
      </c>
    </row>
    <row r="163" spans="1:29" hidden="1" x14ac:dyDescent="0.35">
      <c r="A163" t="s">
        <v>381</v>
      </c>
      <c r="B163">
        <v>70.3</v>
      </c>
      <c r="C163">
        <v>177</v>
      </c>
      <c r="D163" t="s">
        <v>278</v>
      </c>
      <c r="E163">
        <v>33</v>
      </c>
      <c r="F163" t="s">
        <v>382</v>
      </c>
      <c r="G163" t="s">
        <v>40</v>
      </c>
      <c r="I163" t="s">
        <v>48</v>
      </c>
      <c r="J163">
        <v>0</v>
      </c>
      <c r="K163">
        <v>1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1</v>
      </c>
      <c r="S163">
        <v>0</v>
      </c>
      <c r="T163">
        <v>0</v>
      </c>
      <c r="U163">
        <v>0</v>
      </c>
      <c r="V163">
        <v>0</v>
      </c>
      <c r="W163">
        <v>1</v>
      </c>
      <c r="X163">
        <v>900</v>
      </c>
      <c r="Y163">
        <v>1000</v>
      </c>
      <c r="Z163">
        <f>AVERAGEIFS(Table1[FinalElo], Table1[Country], Table1[[#This Row],[Country]])</f>
        <v>1014.0250000000001</v>
      </c>
      <c r="AA163" cm="1">
        <f t="array" ref="AA163">IF(COUNTIFS(Table1[Country],Table1[[#This Row],[Country]])=1,0, _xlfn.STDEV.S(IF(Table1[Country]=Table1[[#This Row],[Country]],Table1[FinalElo])))</f>
        <v>234.33829911760722</v>
      </c>
      <c r="AB163">
        <f>IF(Table1[[#This Row],[CStd]]=0,0, (Table1[[#This Row],[FinalElo]]-Table1[[#This Row],[CAvg]]) / Table1[[#This Row],[CStd]])</f>
        <v>-0.4865828608868345</v>
      </c>
      <c r="AC163" t="str">
        <f>IF(Table1[[#This Row],[CStd]]=0,"Normal", IF(ABS(Table1[[#This Row],[CZscore]])&gt;2,"Outlier","Normal"))</f>
        <v>Normal</v>
      </c>
    </row>
    <row r="164" spans="1:29" x14ac:dyDescent="0.35">
      <c r="A164" t="s">
        <v>2427</v>
      </c>
      <c r="B164">
        <v>59.6</v>
      </c>
      <c r="C164">
        <v>173</v>
      </c>
      <c r="D164" t="s">
        <v>82</v>
      </c>
      <c r="E164">
        <v>26</v>
      </c>
      <c r="F164" t="s">
        <v>1031</v>
      </c>
      <c r="G164" t="s">
        <v>34</v>
      </c>
      <c r="H164" t="s">
        <v>29</v>
      </c>
      <c r="I164" t="s">
        <v>58</v>
      </c>
      <c r="J164">
        <v>3</v>
      </c>
      <c r="K164">
        <v>1</v>
      </c>
      <c r="L164">
        <v>0</v>
      </c>
      <c r="M164">
        <v>0</v>
      </c>
      <c r="N164">
        <v>0</v>
      </c>
      <c r="O164">
        <v>0</v>
      </c>
      <c r="P164">
        <v>2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1</v>
      </c>
      <c r="W164">
        <v>4</v>
      </c>
      <c r="X164">
        <v>1165.95</v>
      </c>
      <c r="Y164">
        <v>1168.6199999999999</v>
      </c>
      <c r="Z164">
        <f>AVERAGEIFS(Table1[FinalElo], Table1[Country], Table1[[#This Row],[Country]])</f>
        <v>1012.5275373134326</v>
      </c>
      <c r="AA164" cm="1">
        <f t="array" ref="AA164">IF(COUNTIFS(Table1[Country],Table1[[#This Row],[Country]])=1,0, _xlfn.STDEV.S(IF(Table1[Country]=Table1[[#This Row],[Country]],Table1[FinalElo])))</f>
        <v>135.61062237674741</v>
      </c>
      <c r="AB164">
        <f>IF(Table1[[#This Row],[CStd]]=0,0, (Table1[[#This Row],[FinalElo]]-Table1[[#This Row],[CAvg]]) / Table1[[#This Row],[CStd]])</f>
        <v>1.1313454654041477</v>
      </c>
      <c r="AC164" t="str">
        <f>IF(Table1[[#This Row],[CStd]]=0,"Normal", IF(ABS(Table1[[#This Row],[CZscore]])&gt;2,"Outlier","Normal"))</f>
        <v>Normal</v>
      </c>
    </row>
    <row r="165" spans="1:29" x14ac:dyDescent="0.35">
      <c r="A165" t="s">
        <v>2425</v>
      </c>
      <c r="B165">
        <v>61.4</v>
      </c>
      <c r="C165">
        <v>174</v>
      </c>
      <c r="D165" t="s">
        <v>82</v>
      </c>
      <c r="E165">
        <v>30</v>
      </c>
      <c r="F165" t="s">
        <v>2426</v>
      </c>
      <c r="G165" t="s">
        <v>34</v>
      </c>
      <c r="H165" t="s">
        <v>29</v>
      </c>
      <c r="I165" t="s">
        <v>73</v>
      </c>
      <c r="J165">
        <v>0</v>
      </c>
      <c r="K165">
        <v>1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1</v>
      </c>
      <c r="X165">
        <v>900</v>
      </c>
      <c r="Y165">
        <v>1000</v>
      </c>
      <c r="Z165">
        <f>AVERAGEIFS(Table1[FinalElo], Table1[Country], Table1[[#This Row],[Country]])</f>
        <v>1012.5275373134326</v>
      </c>
      <c r="AA165" cm="1">
        <f t="array" ref="AA165">IF(COUNTIFS(Table1[Country],Table1[[#This Row],[Country]])=1,0, _xlfn.STDEV.S(IF(Table1[Country]=Table1[[#This Row],[Country]],Table1[FinalElo])))</f>
        <v>135.61062237674741</v>
      </c>
      <c r="AB165">
        <f>IF(Table1[[#This Row],[CStd]]=0,0, (Table1[[#This Row],[FinalElo]]-Table1[[#This Row],[CAvg]]) / Table1[[#This Row],[CStd]])</f>
        <v>-0.82978409317238888</v>
      </c>
      <c r="AC165" t="str">
        <f>IF(Table1[[#This Row],[CStd]]=0,"Normal", IF(ABS(Table1[[#This Row],[CZscore]])&gt;2,"Outlier","Normal"))</f>
        <v>Normal</v>
      </c>
    </row>
    <row r="166" spans="1:29" x14ac:dyDescent="0.35">
      <c r="A166" t="s">
        <v>2423</v>
      </c>
      <c r="B166">
        <v>61.1</v>
      </c>
      <c r="C166">
        <v>168</v>
      </c>
      <c r="D166" t="s">
        <v>82</v>
      </c>
      <c r="E166">
        <v>34</v>
      </c>
      <c r="F166" t="s">
        <v>2424</v>
      </c>
      <c r="G166" t="s">
        <v>28</v>
      </c>
      <c r="H166" t="s">
        <v>29</v>
      </c>
      <c r="I166" t="s">
        <v>58</v>
      </c>
      <c r="J166">
        <v>1</v>
      </c>
      <c r="K166">
        <v>2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1</v>
      </c>
      <c r="V166">
        <v>0</v>
      </c>
      <c r="W166">
        <v>3</v>
      </c>
      <c r="X166">
        <v>1101.53</v>
      </c>
      <c r="Y166">
        <v>1133.8800000000001</v>
      </c>
      <c r="Z166">
        <f>AVERAGEIFS(Table1[FinalElo], Table1[Country], Table1[[#This Row],[Country]])</f>
        <v>1012.5275373134326</v>
      </c>
      <c r="AA166" cm="1">
        <f t="array" ref="AA166">IF(COUNTIFS(Table1[Country],Table1[[#This Row],[Country]])=1,0, _xlfn.STDEV.S(IF(Table1[Country]=Table1[[#This Row],[Country]],Table1[FinalElo])))</f>
        <v>135.61062237674741</v>
      </c>
      <c r="AB166">
        <f>IF(Table1[[#This Row],[CStd]]=0,0, (Table1[[#This Row],[FinalElo]]-Table1[[#This Row],[CAvg]]) / Table1[[#This Row],[CStd]])</f>
        <v>0.65630893160643911</v>
      </c>
      <c r="AC166" t="str">
        <f>IF(Table1[[#This Row],[CStd]]=0,"Normal", IF(ABS(Table1[[#This Row],[CZscore]])&gt;2,"Outlier","Normal"))</f>
        <v>Normal</v>
      </c>
    </row>
    <row r="167" spans="1:29" x14ac:dyDescent="0.35">
      <c r="A167" t="s">
        <v>2421</v>
      </c>
      <c r="B167">
        <v>70.31</v>
      </c>
      <c r="C167">
        <v>175</v>
      </c>
      <c r="D167" t="s">
        <v>82</v>
      </c>
      <c r="E167">
        <v>33</v>
      </c>
      <c r="F167" t="s">
        <v>2422</v>
      </c>
      <c r="G167" t="s">
        <v>40</v>
      </c>
      <c r="H167" t="s">
        <v>29</v>
      </c>
      <c r="I167" t="s">
        <v>30</v>
      </c>
      <c r="J167">
        <v>0</v>
      </c>
      <c r="K167">
        <v>1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1</v>
      </c>
      <c r="T167">
        <v>0</v>
      </c>
      <c r="U167">
        <v>0</v>
      </c>
      <c r="V167">
        <v>0</v>
      </c>
      <c r="W167">
        <v>1</v>
      </c>
      <c r="X167">
        <v>945.82</v>
      </c>
      <c r="Y167">
        <v>1000</v>
      </c>
      <c r="Z167">
        <f>AVERAGEIFS(Table1[FinalElo], Table1[Country], Table1[[#This Row],[Country]])</f>
        <v>1012.5275373134326</v>
      </c>
      <c r="AA167" cm="1">
        <f t="array" ref="AA167">IF(COUNTIFS(Table1[Country],Table1[[#This Row],[Country]])=1,0, _xlfn.STDEV.S(IF(Table1[Country]=Table1[[#This Row],[Country]],Table1[FinalElo])))</f>
        <v>135.61062237674741</v>
      </c>
      <c r="AB167">
        <f>IF(Table1[[#This Row],[CStd]]=0,0, (Table1[[#This Row],[FinalElo]]-Table1[[#This Row],[CAvg]]) / Table1[[#This Row],[CStd]])</f>
        <v>-0.49190495659041111</v>
      </c>
      <c r="AC167" t="str">
        <f>IF(Table1[[#This Row],[CStd]]=0,"Normal", IF(ABS(Table1[[#This Row],[CZscore]])&gt;2,"Outlier","Normal"))</f>
        <v>Normal</v>
      </c>
    </row>
    <row r="168" spans="1:29" x14ac:dyDescent="0.35">
      <c r="A168" t="s">
        <v>2419</v>
      </c>
      <c r="B168">
        <v>77.099999999999994</v>
      </c>
      <c r="C168">
        <v>172</v>
      </c>
      <c r="D168" t="s">
        <v>82</v>
      </c>
      <c r="E168">
        <v>40</v>
      </c>
      <c r="F168" t="s">
        <v>2420</v>
      </c>
      <c r="G168" t="s">
        <v>40</v>
      </c>
      <c r="H168" t="s">
        <v>29</v>
      </c>
      <c r="I168" t="s">
        <v>30</v>
      </c>
      <c r="J168">
        <v>1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1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1</v>
      </c>
      <c r="X168">
        <v>1100</v>
      </c>
      <c r="Y168">
        <v>1100</v>
      </c>
      <c r="Z168">
        <f>AVERAGEIFS(Table1[FinalElo], Table1[Country], Table1[[#This Row],[Country]])</f>
        <v>1012.5275373134326</v>
      </c>
      <c r="AA168" cm="1">
        <f t="array" ref="AA168">IF(COUNTIFS(Table1[Country],Table1[[#This Row],[Country]])=1,0, _xlfn.STDEV.S(IF(Table1[Country]=Table1[[#This Row],[Country]],Table1[FinalElo])))</f>
        <v>135.61062237674741</v>
      </c>
      <c r="AB168">
        <f>IF(Table1[[#This Row],[CStd]]=0,0, (Table1[[#This Row],[FinalElo]]-Table1[[#This Row],[CAvg]]) / Table1[[#This Row],[CStd]])</f>
        <v>0.64502662957740331</v>
      </c>
      <c r="AC168" t="str">
        <f>IF(Table1[[#This Row],[CStd]]=0,"Normal", IF(ABS(Table1[[#This Row],[CZscore]])&gt;2,"Outlier","Normal"))</f>
        <v>Normal</v>
      </c>
    </row>
    <row r="169" spans="1:29" x14ac:dyDescent="0.35">
      <c r="A169" t="s">
        <v>2417</v>
      </c>
      <c r="B169">
        <v>65</v>
      </c>
      <c r="C169">
        <v>174</v>
      </c>
      <c r="D169" t="s">
        <v>82</v>
      </c>
      <c r="E169">
        <v>27</v>
      </c>
      <c r="F169" t="s">
        <v>2418</v>
      </c>
      <c r="G169" t="s">
        <v>28</v>
      </c>
      <c r="H169" t="s">
        <v>29</v>
      </c>
      <c r="I169" t="s">
        <v>73</v>
      </c>
      <c r="J169">
        <v>0</v>
      </c>
      <c r="K169">
        <v>1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1</v>
      </c>
      <c r="S169">
        <v>0</v>
      </c>
      <c r="T169">
        <v>0</v>
      </c>
      <c r="U169">
        <v>0</v>
      </c>
      <c r="V169">
        <v>0</v>
      </c>
      <c r="W169">
        <v>1</v>
      </c>
      <c r="X169">
        <v>908.04</v>
      </c>
      <c r="Y169">
        <v>1000</v>
      </c>
      <c r="Z169">
        <f>AVERAGEIFS(Table1[FinalElo], Table1[Country], Table1[[#This Row],[Country]])</f>
        <v>1012.5275373134326</v>
      </c>
      <c r="AA169" cm="1">
        <f t="array" ref="AA169">IF(COUNTIFS(Table1[Country],Table1[[#This Row],[Country]])=1,0, _xlfn.STDEV.S(IF(Table1[Country]=Table1[[#This Row],[Country]],Table1[FinalElo])))</f>
        <v>135.61062237674741</v>
      </c>
      <c r="AB169">
        <f>IF(Table1[[#This Row],[CStd]]=0,0, (Table1[[#This Row],[FinalElo]]-Table1[[#This Row],[CAvg]]) / Table1[[#This Row],[CStd]])</f>
        <v>-0.77049670211784749</v>
      </c>
      <c r="AC169" t="str">
        <f>IF(Table1[[#This Row],[CStd]]=0,"Normal", IF(ABS(Table1[[#This Row],[CZscore]])&gt;2,"Outlier","Normal"))</f>
        <v>Normal</v>
      </c>
    </row>
    <row r="170" spans="1:29" x14ac:dyDescent="0.35">
      <c r="A170" t="s">
        <v>2415</v>
      </c>
      <c r="B170">
        <v>60.8</v>
      </c>
      <c r="C170">
        <v>172</v>
      </c>
      <c r="D170" t="s">
        <v>82</v>
      </c>
      <c r="E170">
        <v>29</v>
      </c>
      <c r="F170" t="s">
        <v>2416</v>
      </c>
      <c r="G170" t="s">
        <v>34</v>
      </c>
      <c r="H170" t="s">
        <v>29</v>
      </c>
      <c r="I170" t="s">
        <v>58</v>
      </c>
      <c r="J170">
        <v>8</v>
      </c>
      <c r="K170">
        <v>6</v>
      </c>
      <c r="L170">
        <v>0</v>
      </c>
      <c r="M170">
        <v>1</v>
      </c>
      <c r="N170">
        <v>0</v>
      </c>
      <c r="O170">
        <v>0</v>
      </c>
      <c r="P170">
        <v>5</v>
      </c>
      <c r="Q170">
        <v>1</v>
      </c>
      <c r="R170">
        <v>0</v>
      </c>
      <c r="S170">
        <v>0</v>
      </c>
      <c r="T170">
        <v>0</v>
      </c>
      <c r="U170">
        <v>5</v>
      </c>
      <c r="V170">
        <v>0</v>
      </c>
      <c r="W170">
        <v>14</v>
      </c>
      <c r="X170">
        <v>1108.07</v>
      </c>
      <c r="Y170">
        <v>1245.6600000000001</v>
      </c>
      <c r="Z170">
        <f>AVERAGEIFS(Table1[FinalElo], Table1[Country], Table1[[#This Row],[Country]])</f>
        <v>1012.5275373134326</v>
      </c>
      <c r="AA170" cm="1">
        <f t="array" ref="AA170">IF(COUNTIFS(Table1[Country],Table1[[#This Row],[Country]])=1,0, _xlfn.STDEV.S(IF(Table1[Country]=Table1[[#This Row],[Country]],Table1[FinalElo])))</f>
        <v>135.61062237674741</v>
      </c>
      <c r="AB170">
        <f>IF(Table1[[#This Row],[CStd]]=0,0, (Table1[[#This Row],[FinalElo]]-Table1[[#This Row],[CAvg]]) / Table1[[#This Row],[CStd]])</f>
        <v>0.70453524224035702</v>
      </c>
      <c r="AC170" t="str">
        <f>IF(Table1[[#This Row],[CStd]]=0,"Normal", IF(ABS(Table1[[#This Row],[CZscore]])&gt;2,"Outlier","Normal"))</f>
        <v>Normal</v>
      </c>
    </row>
    <row r="171" spans="1:29" x14ac:dyDescent="0.35">
      <c r="A171" t="s">
        <v>2413</v>
      </c>
      <c r="B171">
        <v>61.3</v>
      </c>
      <c r="C171">
        <v>168</v>
      </c>
      <c r="D171" t="s">
        <v>89</v>
      </c>
      <c r="E171">
        <v>24</v>
      </c>
      <c r="F171" t="s">
        <v>2414</v>
      </c>
      <c r="G171" t="s">
        <v>34</v>
      </c>
      <c r="H171" t="s">
        <v>29</v>
      </c>
      <c r="I171" t="s">
        <v>73</v>
      </c>
      <c r="J171">
        <v>0</v>
      </c>
      <c r="K171">
        <v>3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3</v>
      </c>
      <c r="X171">
        <v>814.6</v>
      </c>
      <c r="Y171">
        <v>1000</v>
      </c>
      <c r="Z171">
        <f>AVERAGEIFS(Table1[FinalElo], Table1[Country], Table1[[#This Row],[Country]])</f>
        <v>1012.0629025423733</v>
      </c>
      <c r="AA171" cm="1">
        <f t="array" ref="AA171">IF(COUNTIFS(Table1[Country],Table1[[#This Row],[Country]])=1,0, _xlfn.STDEV.S(IF(Table1[Country]=Table1[[#This Row],[Country]],Table1[FinalElo])))</f>
        <v>148.42180446198614</v>
      </c>
      <c r="AB171">
        <f>IF(Table1[[#This Row],[CStd]]=0,0, (Table1[[#This Row],[FinalElo]]-Table1[[#This Row],[CAvg]]) / Table1[[#This Row],[CStd]])</f>
        <v>-1.3304170721960706</v>
      </c>
      <c r="AC171" t="str">
        <f>IF(Table1[[#This Row],[CStd]]=0,"Normal", IF(ABS(Table1[[#This Row],[CZscore]])&gt;2,"Outlier","Normal"))</f>
        <v>Normal</v>
      </c>
    </row>
    <row r="172" spans="1:29" x14ac:dyDescent="0.35">
      <c r="A172" t="s">
        <v>2412</v>
      </c>
      <c r="B172">
        <v>53.5</v>
      </c>
      <c r="C172">
        <v>163</v>
      </c>
      <c r="D172" t="s">
        <v>89</v>
      </c>
      <c r="E172">
        <v>23</v>
      </c>
      <c r="F172" t="s">
        <v>533</v>
      </c>
      <c r="G172" t="s">
        <v>34</v>
      </c>
      <c r="H172" t="s">
        <v>29</v>
      </c>
      <c r="I172" t="s">
        <v>36</v>
      </c>
      <c r="J172">
        <v>4</v>
      </c>
      <c r="K172">
        <v>1</v>
      </c>
      <c r="L172">
        <v>0</v>
      </c>
      <c r="M172">
        <v>1</v>
      </c>
      <c r="N172">
        <v>0</v>
      </c>
      <c r="O172">
        <v>0</v>
      </c>
      <c r="P172">
        <v>0</v>
      </c>
      <c r="Q172">
        <v>2</v>
      </c>
      <c r="R172">
        <v>0</v>
      </c>
      <c r="S172">
        <v>0</v>
      </c>
      <c r="T172">
        <v>0</v>
      </c>
      <c r="U172">
        <v>1</v>
      </c>
      <c r="V172">
        <v>0</v>
      </c>
      <c r="W172">
        <v>5</v>
      </c>
      <c r="X172">
        <v>1159.58</v>
      </c>
      <c r="Y172">
        <v>1211.04</v>
      </c>
      <c r="Z172">
        <f>AVERAGEIFS(Table1[FinalElo], Table1[Country], Table1[[#This Row],[Country]])</f>
        <v>1012.0629025423733</v>
      </c>
      <c r="AA172" cm="1">
        <f t="array" ref="AA172">IF(COUNTIFS(Table1[Country],Table1[[#This Row],[Country]])=1,0, _xlfn.STDEV.S(IF(Table1[Country]=Table1[[#This Row],[Country]],Table1[FinalElo])))</f>
        <v>148.42180446198614</v>
      </c>
      <c r="AB172">
        <f>IF(Table1[[#This Row],[CStd]]=0,0, (Table1[[#This Row],[FinalElo]]-Table1[[#This Row],[CAvg]]) / Table1[[#This Row],[CStd]])</f>
        <v>0.99390448723057245</v>
      </c>
      <c r="AC172" t="str">
        <f>IF(Table1[[#This Row],[CStd]]=0,"Normal", IF(ABS(Table1[[#This Row],[CZscore]])&gt;2,"Outlier","Normal"))</f>
        <v>Normal</v>
      </c>
    </row>
    <row r="173" spans="1:29" x14ac:dyDescent="0.35">
      <c r="A173" t="s">
        <v>2410</v>
      </c>
      <c r="B173">
        <v>61.1</v>
      </c>
      <c r="C173">
        <v>172</v>
      </c>
      <c r="D173" t="s">
        <v>776</v>
      </c>
      <c r="E173">
        <v>32</v>
      </c>
      <c r="F173" t="s">
        <v>2411</v>
      </c>
      <c r="G173" t="s">
        <v>34</v>
      </c>
      <c r="H173" t="s">
        <v>29</v>
      </c>
      <c r="I173" t="s">
        <v>58</v>
      </c>
      <c r="J173">
        <v>4</v>
      </c>
      <c r="K173">
        <v>5</v>
      </c>
      <c r="L173">
        <v>0</v>
      </c>
      <c r="M173">
        <v>1</v>
      </c>
      <c r="N173">
        <v>0</v>
      </c>
      <c r="O173">
        <v>0</v>
      </c>
      <c r="P173">
        <v>1</v>
      </c>
      <c r="Q173">
        <v>1</v>
      </c>
      <c r="R173">
        <v>1</v>
      </c>
      <c r="S173">
        <v>0</v>
      </c>
      <c r="T173">
        <v>0</v>
      </c>
      <c r="U173">
        <v>2</v>
      </c>
      <c r="V173">
        <v>1</v>
      </c>
      <c r="W173">
        <v>9</v>
      </c>
      <c r="X173">
        <v>1173.9100000000001</v>
      </c>
      <c r="Y173">
        <v>1194.8699999999999</v>
      </c>
      <c r="Z173">
        <f>AVERAGEIFS(Table1[FinalElo], Table1[Country], Table1[[#This Row],[Country]])</f>
        <v>1154.83</v>
      </c>
      <c r="AA173" cm="1">
        <f t="array" ref="AA173">IF(COUNTIFS(Table1[Country],Table1[[#This Row],[Country]])=1,0, _xlfn.STDEV.S(IF(Table1[Country]=Table1[[#This Row],[Country]],Table1[FinalElo])))</f>
        <v>26.983194770078711</v>
      </c>
      <c r="AB173">
        <f>IF(Table1[[#This Row],[CStd]]=0,0, (Table1[[#This Row],[FinalElo]]-Table1[[#This Row],[CAvg]]) / Table1[[#This Row],[CStd]])</f>
        <v>0.70710678118655179</v>
      </c>
      <c r="AC173" t="str">
        <f>IF(Table1[[#This Row],[CStd]]=0,"Normal", IF(ABS(Table1[[#This Row],[CZscore]])&gt;2,"Outlier","Normal"))</f>
        <v>Normal</v>
      </c>
    </row>
    <row r="174" spans="1:29" x14ac:dyDescent="0.35">
      <c r="A174" t="s">
        <v>2408</v>
      </c>
      <c r="B174">
        <v>61.2</v>
      </c>
      <c r="C174">
        <v>176</v>
      </c>
      <c r="D174" t="s">
        <v>513</v>
      </c>
      <c r="E174">
        <v>30</v>
      </c>
      <c r="F174" t="s">
        <v>2409</v>
      </c>
      <c r="G174" t="s">
        <v>40</v>
      </c>
      <c r="H174" t="s">
        <v>29</v>
      </c>
      <c r="I174" t="s">
        <v>58</v>
      </c>
      <c r="J174">
        <v>0</v>
      </c>
      <c r="K174">
        <v>3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1</v>
      </c>
      <c r="S174">
        <v>2</v>
      </c>
      <c r="T174">
        <v>0</v>
      </c>
      <c r="U174">
        <v>0</v>
      </c>
      <c r="V174">
        <v>0</v>
      </c>
      <c r="W174">
        <v>3</v>
      </c>
      <c r="X174">
        <v>773.83</v>
      </c>
      <c r="Y174">
        <v>1000</v>
      </c>
      <c r="Z174">
        <f>AVERAGEIFS(Table1[FinalElo], Table1[Country], Table1[[#This Row],[Country]])</f>
        <v>991.92857142857144</v>
      </c>
      <c r="AA174" cm="1">
        <f t="array" ref="AA174">IF(COUNTIFS(Table1[Country],Table1[[#This Row],[Country]])=1,0, _xlfn.STDEV.S(IF(Table1[Country]=Table1[[#This Row],[Country]],Table1[FinalElo])))</f>
        <v>154.84924955929111</v>
      </c>
      <c r="AB174">
        <f>IF(Table1[[#This Row],[CStd]]=0,0, (Table1[[#This Row],[FinalElo]]-Table1[[#This Row],[CAvg]]) / Table1[[#This Row],[CStd]])</f>
        <v>-1.4084574000151187</v>
      </c>
      <c r="AC174" t="str">
        <f>IF(Table1[[#This Row],[CStd]]=0,"Normal", IF(ABS(Table1[[#This Row],[CZscore]])&gt;2,"Outlier","Normal"))</f>
        <v>Normal</v>
      </c>
    </row>
    <row r="175" spans="1:29" x14ac:dyDescent="0.35">
      <c r="A175" t="s">
        <v>2407</v>
      </c>
      <c r="B175">
        <v>52.16</v>
      </c>
      <c r="C175">
        <v>168</v>
      </c>
      <c r="D175" t="s">
        <v>89</v>
      </c>
      <c r="E175">
        <v>25</v>
      </c>
      <c r="F175" t="s">
        <v>337</v>
      </c>
      <c r="G175" t="s">
        <v>34</v>
      </c>
      <c r="H175" t="s">
        <v>29</v>
      </c>
      <c r="I175" t="s">
        <v>36</v>
      </c>
      <c r="J175">
        <v>0</v>
      </c>
      <c r="K175">
        <v>1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1</v>
      </c>
      <c r="X175">
        <v>857.59</v>
      </c>
      <c r="Y175">
        <v>1000</v>
      </c>
      <c r="Z175">
        <f>AVERAGEIFS(Table1[FinalElo], Table1[Country], Table1[[#This Row],[Country]])</f>
        <v>1012.0629025423733</v>
      </c>
      <c r="AA175" cm="1">
        <f t="array" ref="AA175">IF(COUNTIFS(Table1[Country],Table1[[#This Row],[Country]])=1,0, _xlfn.STDEV.S(IF(Table1[Country]=Table1[[#This Row],[Country]],Table1[FinalElo])))</f>
        <v>148.42180446198614</v>
      </c>
      <c r="AB175">
        <f>IF(Table1[[#This Row],[CStd]]=0,0, (Table1[[#This Row],[FinalElo]]-Table1[[#This Row],[CAvg]]) / Table1[[#This Row],[CStd]])</f>
        <v>-1.040769603242069</v>
      </c>
      <c r="AC175" t="str">
        <f>IF(Table1[[#This Row],[CStd]]=0,"Normal", IF(ABS(Table1[[#This Row],[CZscore]])&gt;2,"Outlier","Normal"))</f>
        <v>Normal</v>
      </c>
    </row>
    <row r="176" spans="1:29" hidden="1" x14ac:dyDescent="0.35">
      <c r="A176" t="s">
        <v>409</v>
      </c>
      <c r="B176">
        <v>51.5</v>
      </c>
      <c r="C176">
        <v>157</v>
      </c>
      <c r="D176" t="s">
        <v>82</v>
      </c>
      <c r="E176">
        <v>34</v>
      </c>
      <c r="F176" t="s">
        <v>125</v>
      </c>
      <c r="G176" t="s">
        <v>40</v>
      </c>
      <c r="H176" t="s">
        <v>35</v>
      </c>
      <c r="I176" t="s">
        <v>55</v>
      </c>
      <c r="J176">
        <v>9</v>
      </c>
      <c r="K176">
        <v>4</v>
      </c>
      <c r="L176">
        <v>0</v>
      </c>
      <c r="M176">
        <v>0</v>
      </c>
      <c r="N176">
        <v>8</v>
      </c>
      <c r="O176">
        <v>0</v>
      </c>
      <c r="P176">
        <v>1</v>
      </c>
      <c r="Q176">
        <v>0</v>
      </c>
      <c r="R176">
        <v>2</v>
      </c>
      <c r="S176">
        <v>0</v>
      </c>
      <c r="T176">
        <v>0</v>
      </c>
      <c r="U176">
        <v>2</v>
      </c>
      <c r="V176">
        <v>0</v>
      </c>
      <c r="W176">
        <v>13</v>
      </c>
      <c r="X176">
        <v>1357.62</v>
      </c>
      <c r="Y176">
        <v>1357.62</v>
      </c>
      <c r="Z176">
        <f>AVERAGEIFS(Table1[FinalElo], Table1[Country], Table1[[#This Row],[Country]])</f>
        <v>1012.5275373134326</v>
      </c>
      <c r="AA176" cm="1">
        <f t="array" ref="AA176">IF(COUNTIFS(Table1[Country],Table1[[#This Row],[Country]])=1,0, _xlfn.STDEV.S(IF(Table1[Country]=Table1[[#This Row],[Country]],Table1[FinalElo])))</f>
        <v>135.61062237674741</v>
      </c>
      <c r="AB176">
        <f>IF(Table1[[#This Row],[CStd]]=0,0, (Table1[[#This Row],[FinalElo]]-Table1[[#This Row],[CAvg]]) / Table1[[#This Row],[CStd]])</f>
        <v>2.5447303215514099</v>
      </c>
      <c r="AC176" t="str">
        <f>IF(Table1[[#This Row],[CStd]]=0,"Normal", IF(ABS(Table1[[#This Row],[CZscore]])&gt;2,"Outlier","Normal"))</f>
        <v>Outlier</v>
      </c>
    </row>
    <row r="177" spans="1:29" x14ac:dyDescent="0.35">
      <c r="A177" t="s">
        <v>2405</v>
      </c>
      <c r="B177">
        <v>64.400000000000006</v>
      </c>
      <c r="C177">
        <v>175</v>
      </c>
      <c r="D177" t="s">
        <v>89</v>
      </c>
      <c r="E177">
        <v>28</v>
      </c>
      <c r="F177" t="s">
        <v>2406</v>
      </c>
      <c r="G177" t="s">
        <v>34</v>
      </c>
      <c r="H177" t="s">
        <v>29</v>
      </c>
      <c r="I177" t="s">
        <v>73</v>
      </c>
      <c r="J177">
        <v>1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1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1</v>
      </c>
      <c r="X177">
        <v>1100</v>
      </c>
      <c r="Y177">
        <v>1100</v>
      </c>
      <c r="Z177">
        <f>AVERAGEIFS(Table1[FinalElo], Table1[Country], Table1[[#This Row],[Country]])</f>
        <v>1012.0629025423733</v>
      </c>
      <c r="AA177" cm="1">
        <f t="array" ref="AA177">IF(COUNTIFS(Table1[Country],Table1[[#This Row],[Country]])=1,0, _xlfn.STDEV.S(IF(Table1[Country]=Table1[[#This Row],[Country]],Table1[FinalElo])))</f>
        <v>148.42180446198614</v>
      </c>
      <c r="AB177">
        <f>IF(Table1[[#This Row],[CStd]]=0,0, (Table1[[#This Row],[FinalElo]]-Table1[[#This Row],[CAvg]]) / Table1[[#This Row],[CStd]])</f>
        <v>0.59248098873605315</v>
      </c>
      <c r="AC177" t="str">
        <f>IF(Table1[[#This Row],[CStd]]=0,"Normal", IF(ABS(Table1[[#This Row],[CZscore]])&gt;2,"Outlier","Normal"))</f>
        <v>Normal</v>
      </c>
    </row>
    <row r="178" spans="1:29" x14ac:dyDescent="0.35">
      <c r="A178" t="s">
        <v>2403</v>
      </c>
      <c r="B178">
        <v>57.152591999999999</v>
      </c>
      <c r="C178">
        <v>168</v>
      </c>
      <c r="D178" t="s">
        <v>89</v>
      </c>
      <c r="E178">
        <v>24</v>
      </c>
      <c r="F178" t="s">
        <v>2404</v>
      </c>
      <c r="G178" t="s">
        <v>34</v>
      </c>
      <c r="H178" t="s">
        <v>29</v>
      </c>
      <c r="I178" t="s">
        <v>58</v>
      </c>
      <c r="J178">
        <v>0</v>
      </c>
      <c r="K178">
        <v>1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1</v>
      </c>
      <c r="X178">
        <v>837.5</v>
      </c>
      <c r="Y178">
        <v>1000</v>
      </c>
      <c r="Z178">
        <f>AVERAGEIFS(Table1[FinalElo], Table1[Country], Table1[[#This Row],[Country]])</f>
        <v>1012.0629025423733</v>
      </c>
      <c r="AA178" cm="1">
        <f t="array" ref="AA178">IF(COUNTIFS(Table1[Country],Table1[[#This Row],[Country]])=1,0, _xlfn.STDEV.S(IF(Table1[Country]=Table1[[#This Row],[Country]],Table1[FinalElo])))</f>
        <v>148.42180446198614</v>
      </c>
      <c r="AB178">
        <f>IF(Table1[[#This Row],[CStd]]=0,0, (Table1[[#This Row],[FinalElo]]-Table1[[#This Row],[CAvg]]) / Table1[[#This Row],[CStd]])</f>
        <v>-1.1761270736139207</v>
      </c>
      <c r="AC178" t="str">
        <f>IF(Table1[[#This Row],[CStd]]=0,"Normal", IF(ABS(Table1[[#This Row],[CZscore]])&gt;2,"Outlier","Normal"))</f>
        <v>Normal</v>
      </c>
    </row>
    <row r="179" spans="1:29" x14ac:dyDescent="0.35">
      <c r="A179" t="s">
        <v>2402</v>
      </c>
      <c r="B179">
        <v>59.874144000000001</v>
      </c>
      <c r="C179">
        <v>160</v>
      </c>
      <c r="D179" t="s">
        <v>89</v>
      </c>
      <c r="E179">
        <v>28</v>
      </c>
      <c r="F179" t="s">
        <v>593</v>
      </c>
      <c r="G179" t="s">
        <v>34</v>
      </c>
      <c r="H179" t="s">
        <v>29</v>
      </c>
      <c r="I179" t="s">
        <v>58</v>
      </c>
      <c r="J179">
        <v>8</v>
      </c>
      <c r="K179">
        <v>4</v>
      </c>
      <c r="L179">
        <v>0</v>
      </c>
      <c r="M179">
        <v>1</v>
      </c>
      <c r="N179">
        <v>0</v>
      </c>
      <c r="O179">
        <v>0</v>
      </c>
      <c r="P179">
        <v>1</v>
      </c>
      <c r="Q179">
        <v>0</v>
      </c>
      <c r="R179">
        <v>0</v>
      </c>
      <c r="S179">
        <v>0</v>
      </c>
      <c r="T179">
        <v>0</v>
      </c>
      <c r="U179">
        <v>4</v>
      </c>
      <c r="V179">
        <v>0</v>
      </c>
      <c r="W179">
        <v>12</v>
      </c>
      <c r="X179">
        <v>1247.73</v>
      </c>
      <c r="Y179">
        <v>1313.22</v>
      </c>
      <c r="Z179">
        <f>AVERAGEIFS(Table1[FinalElo], Table1[Country], Table1[[#This Row],[Country]])</f>
        <v>1012.0629025423733</v>
      </c>
      <c r="AA179" cm="1">
        <f t="array" ref="AA179">IF(COUNTIFS(Table1[Country],Table1[[#This Row],[Country]])=1,0, _xlfn.STDEV.S(IF(Table1[Country]=Table1[[#This Row],[Country]],Table1[FinalElo])))</f>
        <v>148.42180446198614</v>
      </c>
      <c r="AB179">
        <f>IF(Table1[[#This Row],[CStd]]=0,0, (Table1[[#This Row],[FinalElo]]-Table1[[#This Row],[CAvg]]) / Table1[[#This Row],[CStd]])</f>
        <v>1.5878199184540023</v>
      </c>
      <c r="AC179" t="str">
        <f>IF(Table1[[#This Row],[CStd]]=0,"Normal", IF(ABS(Table1[[#This Row],[CZscore]])&gt;2,"Outlier","Normal"))</f>
        <v>Normal</v>
      </c>
    </row>
    <row r="180" spans="1:29" x14ac:dyDescent="0.35">
      <c r="A180" t="s">
        <v>2401</v>
      </c>
      <c r="B180">
        <v>57.152591999999999</v>
      </c>
      <c r="C180">
        <v>173</v>
      </c>
      <c r="D180" t="s">
        <v>89</v>
      </c>
      <c r="E180">
        <v>34</v>
      </c>
      <c r="F180" t="s">
        <v>535</v>
      </c>
      <c r="G180" t="s">
        <v>34</v>
      </c>
      <c r="H180" t="s">
        <v>29</v>
      </c>
      <c r="I180" t="s">
        <v>58</v>
      </c>
      <c r="J180">
        <v>0</v>
      </c>
      <c r="K180">
        <v>2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2</v>
      </c>
      <c r="V180">
        <v>0</v>
      </c>
      <c r="W180">
        <v>2</v>
      </c>
      <c r="X180">
        <v>853.62</v>
      </c>
      <c r="Y180">
        <v>1000</v>
      </c>
      <c r="Z180">
        <f>AVERAGEIFS(Table1[FinalElo], Table1[Country], Table1[[#This Row],[Country]])</f>
        <v>1012.0629025423733</v>
      </c>
      <c r="AA180" cm="1">
        <f t="array" ref="AA180">IF(COUNTIFS(Table1[Country],Table1[[#This Row],[Country]])=1,0, _xlfn.STDEV.S(IF(Table1[Country]=Table1[[#This Row],[Country]],Table1[FinalElo])))</f>
        <v>148.42180446198614</v>
      </c>
      <c r="AB180">
        <f>IF(Table1[[#This Row],[CStd]]=0,0, (Table1[[#This Row],[FinalElo]]-Table1[[#This Row],[CAvg]]) / Table1[[#This Row],[CStd]])</f>
        <v>-1.0675176946993241</v>
      </c>
      <c r="AC180" t="str">
        <f>IF(Table1[[#This Row],[CStd]]=0,"Normal", IF(ABS(Table1[[#This Row],[CZscore]])&gt;2,"Outlier","Normal"))</f>
        <v>Normal</v>
      </c>
    </row>
    <row r="181" spans="1:29" x14ac:dyDescent="0.35">
      <c r="A181" t="s">
        <v>2399</v>
      </c>
      <c r="B181">
        <v>58.513368</v>
      </c>
      <c r="C181">
        <v>175</v>
      </c>
      <c r="D181" t="s">
        <v>89</v>
      </c>
      <c r="E181">
        <v>21</v>
      </c>
      <c r="F181" t="s">
        <v>2400</v>
      </c>
      <c r="G181" t="s">
        <v>34</v>
      </c>
      <c r="H181" t="s">
        <v>29</v>
      </c>
      <c r="I181" t="s">
        <v>58</v>
      </c>
      <c r="J181">
        <v>0</v>
      </c>
      <c r="K181">
        <v>1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1</v>
      </c>
      <c r="S181">
        <v>0</v>
      </c>
      <c r="T181">
        <v>0</v>
      </c>
      <c r="U181">
        <v>0</v>
      </c>
      <c r="V181">
        <v>0</v>
      </c>
      <c r="W181">
        <v>1</v>
      </c>
      <c r="X181">
        <v>900</v>
      </c>
      <c r="Y181">
        <v>1000</v>
      </c>
      <c r="Z181">
        <f>AVERAGEIFS(Table1[FinalElo], Table1[Country], Table1[[#This Row],[Country]])</f>
        <v>1012.0629025423733</v>
      </c>
      <c r="AA181" cm="1">
        <f t="array" ref="AA181">IF(COUNTIFS(Table1[Country],Table1[[#This Row],[Country]])=1,0, _xlfn.STDEV.S(IF(Table1[Country]=Table1[[#This Row],[Country]],Table1[FinalElo])))</f>
        <v>148.42180446198614</v>
      </c>
      <c r="AB181">
        <f>IF(Table1[[#This Row],[CStd]]=0,0, (Table1[[#This Row],[FinalElo]]-Table1[[#This Row],[CAvg]]) / Table1[[#This Row],[CStd]])</f>
        <v>-0.75502991591154589</v>
      </c>
      <c r="AC181" t="str">
        <f>IF(Table1[[#This Row],[CStd]]=0,"Normal", IF(ABS(Table1[[#This Row],[CZscore]])&gt;2,"Outlier","Normal"))</f>
        <v>Normal</v>
      </c>
    </row>
    <row r="182" spans="1:29" x14ac:dyDescent="0.35">
      <c r="A182" t="s">
        <v>2397</v>
      </c>
      <c r="B182">
        <v>54</v>
      </c>
      <c r="C182">
        <v>167</v>
      </c>
      <c r="D182" t="s">
        <v>89</v>
      </c>
      <c r="E182">
        <v>20</v>
      </c>
      <c r="F182" t="s">
        <v>2398</v>
      </c>
      <c r="G182" t="s">
        <v>34</v>
      </c>
      <c r="H182" t="s">
        <v>29</v>
      </c>
      <c r="I182" t="s">
        <v>36</v>
      </c>
      <c r="J182">
        <v>1</v>
      </c>
      <c r="K182">
        <v>1</v>
      </c>
      <c r="L182">
        <v>0</v>
      </c>
      <c r="M182">
        <v>0</v>
      </c>
      <c r="N182">
        <v>0</v>
      </c>
      <c r="O182">
        <v>0</v>
      </c>
      <c r="P182">
        <v>1</v>
      </c>
      <c r="Q182">
        <v>0</v>
      </c>
      <c r="R182">
        <v>1</v>
      </c>
      <c r="S182">
        <v>0</v>
      </c>
      <c r="T182">
        <v>0</v>
      </c>
      <c r="U182">
        <v>0</v>
      </c>
      <c r="V182">
        <v>0</v>
      </c>
      <c r="W182">
        <v>2</v>
      </c>
      <c r="X182">
        <v>971.99</v>
      </c>
      <c r="Y182">
        <v>1100</v>
      </c>
      <c r="Z182">
        <f>AVERAGEIFS(Table1[FinalElo], Table1[Country], Table1[[#This Row],[Country]])</f>
        <v>1012.0629025423733</v>
      </c>
      <c r="AA182" cm="1">
        <f t="array" ref="AA182">IF(COUNTIFS(Table1[Country],Table1[[#This Row],[Country]])=1,0, _xlfn.STDEV.S(IF(Table1[Country]=Table1[[#This Row],[Country]],Table1[FinalElo])))</f>
        <v>148.42180446198614</v>
      </c>
      <c r="AB182">
        <f>IF(Table1[[#This Row],[CStd]]=0,0, (Table1[[#This Row],[FinalElo]]-Table1[[#This Row],[CAvg]]) / Table1[[#This Row],[CStd]])</f>
        <v>-0.26999336578364258</v>
      </c>
      <c r="AC182" t="str">
        <f>IF(Table1[[#This Row],[CStd]]=0,"Normal", IF(ABS(Table1[[#This Row],[CZscore]])&gt;2,"Outlier","Normal"))</f>
        <v>Normal</v>
      </c>
    </row>
    <row r="183" spans="1:29" x14ac:dyDescent="0.35">
      <c r="A183" t="s">
        <v>113</v>
      </c>
      <c r="B183">
        <v>61</v>
      </c>
      <c r="C183">
        <v>171</v>
      </c>
      <c r="D183" t="s">
        <v>89</v>
      </c>
      <c r="E183">
        <v>29</v>
      </c>
      <c r="F183" t="s">
        <v>114</v>
      </c>
      <c r="G183" t="s">
        <v>34</v>
      </c>
      <c r="H183" t="s">
        <v>29</v>
      </c>
      <c r="I183" t="s">
        <v>58</v>
      </c>
      <c r="J183">
        <v>15</v>
      </c>
      <c r="K183">
        <v>2</v>
      </c>
      <c r="L183">
        <v>0</v>
      </c>
      <c r="M183">
        <v>1</v>
      </c>
      <c r="N183">
        <v>0</v>
      </c>
      <c r="O183">
        <v>0</v>
      </c>
      <c r="P183">
        <v>9</v>
      </c>
      <c r="Q183">
        <v>1</v>
      </c>
      <c r="R183">
        <v>0</v>
      </c>
      <c r="S183">
        <v>0</v>
      </c>
      <c r="T183">
        <v>0</v>
      </c>
      <c r="U183">
        <v>2</v>
      </c>
      <c r="V183">
        <v>0</v>
      </c>
      <c r="W183">
        <v>17</v>
      </c>
      <c r="X183">
        <v>1590.43</v>
      </c>
      <c r="Y183">
        <v>1733.82</v>
      </c>
      <c r="Z183">
        <f>AVERAGEIFS(Table1[FinalElo], Table1[Country], Table1[[#This Row],[Country]])</f>
        <v>1012.0629025423733</v>
      </c>
      <c r="AA183" cm="1">
        <f t="array" ref="AA183">IF(COUNTIFS(Table1[Country],Table1[[#This Row],[Country]])=1,0, _xlfn.STDEV.S(IF(Table1[Country]=Table1[[#This Row],[Country]],Table1[FinalElo])))</f>
        <v>148.42180446198614</v>
      </c>
      <c r="AB183">
        <f>IF(Table1[[#This Row],[CStd]]=0,0, (Table1[[#This Row],[FinalElo]]-Table1[[#This Row],[CAvg]]) / Table1[[#This Row],[CStd]])</f>
        <v>3.8967798535676637</v>
      </c>
      <c r="AC183" t="str">
        <f>IF(Table1[[#This Row],[CStd]]=0,"Normal", IF(ABS(Table1[[#This Row],[CZscore]])&gt;2,"Outlier","Normal"))</f>
        <v>Outlier</v>
      </c>
    </row>
    <row r="184" spans="1:29" x14ac:dyDescent="0.35">
      <c r="A184" t="s">
        <v>2396</v>
      </c>
      <c r="B184">
        <v>64.863656000000006</v>
      </c>
      <c r="C184">
        <v>170</v>
      </c>
      <c r="D184" t="s">
        <v>89</v>
      </c>
      <c r="E184">
        <v>20</v>
      </c>
      <c r="F184" t="s">
        <v>337</v>
      </c>
      <c r="G184" t="s">
        <v>34</v>
      </c>
      <c r="H184" t="s">
        <v>29</v>
      </c>
      <c r="I184" t="s">
        <v>73</v>
      </c>
      <c r="J184">
        <v>0</v>
      </c>
      <c r="K184">
        <v>2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1</v>
      </c>
      <c r="S184">
        <v>0</v>
      </c>
      <c r="T184">
        <v>0</v>
      </c>
      <c r="U184">
        <v>1</v>
      </c>
      <c r="V184">
        <v>0</v>
      </c>
      <c r="W184">
        <v>2</v>
      </c>
      <c r="X184">
        <v>833.8</v>
      </c>
      <c r="Y184">
        <v>1000</v>
      </c>
      <c r="Z184">
        <f>AVERAGEIFS(Table1[FinalElo], Table1[Country], Table1[[#This Row],[Country]])</f>
        <v>1012.0629025423733</v>
      </c>
      <c r="AA184" cm="1">
        <f t="array" ref="AA184">IF(COUNTIFS(Table1[Country],Table1[[#This Row],[Country]])=1,0, _xlfn.STDEV.S(IF(Table1[Country]=Table1[[#This Row],[Country]],Table1[FinalElo])))</f>
        <v>148.42180446198614</v>
      </c>
      <c r="AB184">
        <f>IF(Table1[[#This Row],[CStd]]=0,0, (Table1[[#This Row],[FinalElo]]-Table1[[#This Row],[CAvg]]) / Table1[[#This Row],[CStd]])</f>
        <v>-1.2010560253499014</v>
      </c>
      <c r="AC184" t="str">
        <f>IF(Table1[[#This Row],[CStd]]=0,"Normal", IF(ABS(Table1[[#This Row],[CZscore]])&gt;2,"Outlier","Normal"))</f>
        <v>Normal</v>
      </c>
    </row>
    <row r="185" spans="1:29" x14ac:dyDescent="0.35">
      <c r="A185" t="s">
        <v>2395</v>
      </c>
      <c r="B185">
        <v>61.6</v>
      </c>
      <c r="C185">
        <v>174</v>
      </c>
      <c r="D185" t="s">
        <v>89</v>
      </c>
      <c r="E185">
        <v>21</v>
      </c>
      <c r="F185" t="s">
        <v>560</v>
      </c>
      <c r="G185" t="s">
        <v>34</v>
      </c>
      <c r="H185" t="s">
        <v>29</v>
      </c>
      <c r="I185" t="s">
        <v>73</v>
      </c>
      <c r="J185">
        <v>0</v>
      </c>
      <c r="K185">
        <v>1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1</v>
      </c>
      <c r="X185">
        <v>891.32</v>
      </c>
      <c r="Y185">
        <v>1000</v>
      </c>
      <c r="Z185">
        <f>AVERAGEIFS(Table1[FinalElo], Table1[Country], Table1[[#This Row],[Country]])</f>
        <v>1012.0629025423733</v>
      </c>
      <c r="AA185" cm="1">
        <f t="array" ref="AA185">IF(COUNTIFS(Table1[Country],Table1[[#This Row],[Country]])=1,0, _xlfn.STDEV.S(IF(Table1[Country]=Table1[[#This Row],[Country]],Table1[FinalElo])))</f>
        <v>148.42180446198614</v>
      </c>
      <c r="AB185">
        <f>IF(Table1[[#This Row],[CStd]]=0,0, (Table1[[#This Row],[FinalElo]]-Table1[[#This Row],[CAvg]]) / Table1[[#This Row],[CStd]])</f>
        <v>-0.81351188917325135</v>
      </c>
      <c r="AC185" t="str">
        <f>IF(Table1[[#This Row],[CStd]]=0,"Normal", IF(ABS(Table1[[#This Row],[CZscore]])&gt;2,"Outlier","Normal"))</f>
        <v>Normal</v>
      </c>
    </row>
    <row r="186" spans="1:29" x14ac:dyDescent="0.35">
      <c r="A186" t="s">
        <v>112</v>
      </c>
      <c r="B186">
        <v>70</v>
      </c>
      <c r="C186">
        <v>177</v>
      </c>
      <c r="D186" t="s">
        <v>89</v>
      </c>
      <c r="E186">
        <v>35</v>
      </c>
      <c r="F186" t="s">
        <v>96</v>
      </c>
      <c r="G186" t="s">
        <v>34</v>
      </c>
      <c r="H186" t="s">
        <v>29</v>
      </c>
      <c r="I186" t="s">
        <v>48</v>
      </c>
      <c r="J186">
        <v>6</v>
      </c>
      <c r="K186">
        <v>3</v>
      </c>
      <c r="L186">
        <v>0</v>
      </c>
      <c r="M186">
        <v>0</v>
      </c>
      <c r="N186">
        <v>0</v>
      </c>
      <c r="O186">
        <v>0</v>
      </c>
      <c r="P186">
        <v>3</v>
      </c>
      <c r="Q186">
        <v>0</v>
      </c>
      <c r="R186">
        <v>1</v>
      </c>
      <c r="S186">
        <v>0</v>
      </c>
      <c r="T186">
        <v>0</v>
      </c>
      <c r="U186">
        <v>0</v>
      </c>
      <c r="V186">
        <v>0</v>
      </c>
      <c r="W186">
        <v>9</v>
      </c>
      <c r="X186">
        <v>1293.48</v>
      </c>
      <c r="Y186">
        <v>1355.37</v>
      </c>
      <c r="Z186">
        <f>AVERAGEIFS(Table1[FinalElo], Table1[Country], Table1[[#This Row],[Country]])</f>
        <v>1012.0629025423733</v>
      </c>
      <c r="AA186" cm="1">
        <f t="array" ref="AA186">IF(COUNTIFS(Table1[Country],Table1[[#This Row],[Country]])=1,0, _xlfn.STDEV.S(IF(Table1[Country]=Table1[[#This Row],[Country]],Table1[FinalElo])))</f>
        <v>148.42180446198614</v>
      </c>
      <c r="AB186">
        <f>IF(Table1[[#This Row],[CStd]]=0,0, (Table1[[#This Row],[FinalElo]]-Table1[[#This Row],[CAvg]]) / Table1[[#This Row],[CStd]])</f>
        <v>1.8960630378921406</v>
      </c>
      <c r="AC186" t="str">
        <f>IF(Table1[[#This Row],[CStd]]=0,"Normal", IF(ABS(Table1[[#This Row],[CZscore]])&gt;2,"Outlier","Normal"))</f>
        <v>Normal</v>
      </c>
    </row>
    <row r="187" spans="1:29" x14ac:dyDescent="0.35">
      <c r="A187" t="s">
        <v>2394</v>
      </c>
      <c r="B187">
        <v>62.595695999999997</v>
      </c>
      <c r="C187">
        <v>174</v>
      </c>
      <c r="D187" t="s">
        <v>89</v>
      </c>
      <c r="E187">
        <v>28</v>
      </c>
      <c r="F187" t="s">
        <v>337</v>
      </c>
      <c r="G187" t="s">
        <v>34</v>
      </c>
      <c r="H187" t="s">
        <v>29</v>
      </c>
      <c r="I187" t="s">
        <v>73</v>
      </c>
      <c r="J187">
        <v>4</v>
      </c>
      <c r="K187">
        <v>2</v>
      </c>
      <c r="L187">
        <v>0</v>
      </c>
      <c r="M187">
        <v>1</v>
      </c>
      <c r="N187">
        <v>0</v>
      </c>
      <c r="O187">
        <v>0</v>
      </c>
      <c r="P187">
        <v>3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6</v>
      </c>
      <c r="X187">
        <v>1125.8900000000001</v>
      </c>
      <c r="Y187">
        <v>1207.8399999999999</v>
      </c>
      <c r="Z187">
        <f>AVERAGEIFS(Table1[FinalElo], Table1[Country], Table1[[#This Row],[Country]])</f>
        <v>1012.0629025423733</v>
      </c>
      <c r="AA187" cm="1">
        <f t="array" ref="AA187">IF(COUNTIFS(Table1[Country],Table1[[#This Row],[Country]])=1,0, _xlfn.STDEV.S(IF(Table1[Country]=Table1[[#This Row],[Country]],Table1[FinalElo])))</f>
        <v>148.42180446198614</v>
      </c>
      <c r="AB187">
        <f>IF(Table1[[#This Row],[CStd]]=0,0, (Table1[[#This Row],[FinalElo]]-Table1[[#This Row],[CAvg]]) / Table1[[#This Row],[CStd]])</f>
        <v>0.76691627534268547</v>
      </c>
      <c r="AC187" t="str">
        <f>IF(Table1[[#This Row],[CStd]]=0,"Normal", IF(ABS(Table1[[#This Row],[CZscore]])&gt;2,"Outlier","Normal"))</f>
        <v>Normal</v>
      </c>
    </row>
    <row r="188" spans="1:29" x14ac:dyDescent="0.35">
      <c r="A188" t="s">
        <v>2392</v>
      </c>
      <c r="B188">
        <v>63.8</v>
      </c>
      <c r="C188">
        <v>165</v>
      </c>
      <c r="D188" t="s">
        <v>396</v>
      </c>
      <c r="E188">
        <v>20</v>
      </c>
      <c r="F188" t="s">
        <v>2393</v>
      </c>
      <c r="G188" t="s">
        <v>34</v>
      </c>
      <c r="H188" t="s">
        <v>29</v>
      </c>
      <c r="I188" t="s">
        <v>73</v>
      </c>
      <c r="J188">
        <v>1</v>
      </c>
      <c r="K188">
        <v>3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2</v>
      </c>
      <c r="V188">
        <v>1</v>
      </c>
      <c r="W188">
        <v>4</v>
      </c>
      <c r="X188">
        <v>850.56</v>
      </c>
      <c r="Y188">
        <v>1028.01</v>
      </c>
      <c r="Z188">
        <f>AVERAGEIFS(Table1[FinalElo], Table1[Country], Table1[[#This Row],[Country]])</f>
        <v>998.29391304347814</v>
      </c>
      <c r="AA188" cm="1">
        <f t="array" ref="AA188">IF(COUNTIFS(Table1[Country],Table1[[#This Row],[Country]])=1,0, _xlfn.STDEV.S(IF(Table1[Country]=Table1[[#This Row],[Country]],Table1[FinalElo])))</f>
        <v>125.31531828802386</v>
      </c>
      <c r="AB188">
        <f>IF(Table1[[#This Row],[CStd]]=0,0, (Table1[[#This Row],[FinalElo]]-Table1[[#This Row],[CAvg]]) / Table1[[#This Row],[CStd]])</f>
        <v>-1.178897480864451</v>
      </c>
      <c r="AC188" t="str">
        <f>IF(Table1[[#This Row],[CStd]]=0,"Normal", IF(ABS(Table1[[#This Row],[CZscore]])&gt;2,"Outlier","Normal"))</f>
        <v>Normal</v>
      </c>
    </row>
    <row r="189" spans="1:29" x14ac:dyDescent="0.35">
      <c r="A189" t="s">
        <v>2391</v>
      </c>
      <c r="B189">
        <v>56.7</v>
      </c>
      <c r="C189">
        <v>175</v>
      </c>
      <c r="D189" t="s">
        <v>89</v>
      </c>
      <c r="E189">
        <v>21</v>
      </c>
      <c r="F189" t="s">
        <v>104</v>
      </c>
      <c r="G189" t="s">
        <v>34</v>
      </c>
      <c r="H189" t="s">
        <v>29</v>
      </c>
      <c r="I189" t="s">
        <v>58</v>
      </c>
      <c r="J189">
        <v>1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1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1</v>
      </c>
      <c r="X189">
        <v>1128.01</v>
      </c>
      <c r="Y189">
        <v>1128.01</v>
      </c>
      <c r="Z189">
        <f>AVERAGEIFS(Table1[FinalElo], Table1[Country], Table1[[#This Row],[Country]])</f>
        <v>1012.0629025423733</v>
      </c>
      <c r="AA189" cm="1">
        <f t="array" ref="AA189">IF(COUNTIFS(Table1[Country],Table1[[#This Row],[Country]])=1,0, _xlfn.STDEV.S(IF(Table1[Country]=Table1[[#This Row],[Country]],Table1[FinalElo])))</f>
        <v>148.42180446198614</v>
      </c>
      <c r="AB189">
        <f>IF(Table1[[#This Row],[CStd]]=0,0, (Table1[[#This Row],[FinalElo]]-Table1[[#This Row],[CAvg]]) / Table1[[#This Row],[CStd]])</f>
        <v>0.7811998909319493</v>
      </c>
      <c r="AC189" t="str">
        <f>IF(Table1[[#This Row],[CStd]]=0,"Normal", IF(ABS(Table1[[#This Row],[CZscore]])&gt;2,"Outlier","Normal"))</f>
        <v>Normal</v>
      </c>
    </row>
    <row r="190" spans="1:29" x14ac:dyDescent="0.35">
      <c r="A190" t="s">
        <v>2390</v>
      </c>
      <c r="B190">
        <v>58.513368</v>
      </c>
      <c r="C190">
        <v>170</v>
      </c>
      <c r="D190" t="s">
        <v>89</v>
      </c>
      <c r="E190">
        <v>22</v>
      </c>
      <c r="F190" t="s">
        <v>337</v>
      </c>
      <c r="G190" t="s">
        <v>34</v>
      </c>
      <c r="H190" t="s">
        <v>29</v>
      </c>
      <c r="I190" t="s">
        <v>58</v>
      </c>
      <c r="J190">
        <v>0</v>
      </c>
      <c r="K190">
        <v>1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1</v>
      </c>
      <c r="V190">
        <v>0</v>
      </c>
      <c r="W190">
        <v>1</v>
      </c>
      <c r="X190">
        <v>928.01</v>
      </c>
      <c r="Y190">
        <v>1000</v>
      </c>
      <c r="Z190">
        <f>AVERAGEIFS(Table1[FinalElo], Table1[Country], Table1[[#This Row],[Country]])</f>
        <v>1012.0629025423733</v>
      </c>
      <c r="AA190" cm="1">
        <f t="array" ref="AA190">IF(COUNTIFS(Table1[Country],Table1[[#This Row],[Country]])=1,0, _xlfn.STDEV.S(IF(Table1[Country]=Table1[[#This Row],[Country]],Table1[FinalElo])))</f>
        <v>148.42180446198614</v>
      </c>
      <c r="AB190">
        <f>IF(Table1[[#This Row],[CStd]]=0,0, (Table1[[#This Row],[FinalElo]]-Table1[[#This Row],[CAvg]]) / Table1[[#This Row],[CStd]])</f>
        <v>-0.56631101371564974</v>
      </c>
      <c r="AC190" t="str">
        <f>IF(Table1[[#This Row],[CStd]]=0,"Normal", IF(ABS(Table1[[#This Row],[CZscore]])&gt;2,"Outlier","Normal"))</f>
        <v>Normal</v>
      </c>
    </row>
    <row r="191" spans="1:29" x14ac:dyDescent="0.35">
      <c r="A191" t="s">
        <v>2388</v>
      </c>
      <c r="B191">
        <v>65.8</v>
      </c>
      <c r="C191">
        <v>175</v>
      </c>
      <c r="D191" t="s">
        <v>150</v>
      </c>
      <c r="E191">
        <v>40</v>
      </c>
      <c r="F191" t="s">
        <v>2389</v>
      </c>
      <c r="G191" t="s">
        <v>40</v>
      </c>
      <c r="H191" t="s">
        <v>29</v>
      </c>
      <c r="I191" t="s">
        <v>48</v>
      </c>
      <c r="J191">
        <v>10</v>
      </c>
      <c r="K191">
        <v>7</v>
      </c>
      <c r="L191">
        <v>1</v>
      </c>
      <c r="M191">
        <v>2</v>
      </c>
      <c r="N191">
        <v>3</v>
      </c>
      <c r="O191">
        <v>0</v>
      </c>
      <c r="P191">
        <v>5</v>
      </c>
      <c r="Q191">
        <v>0</v>
      </c>
      <c r="R191">
        <v>3</v>
      </c>
      <c r="S191">
        <v>2</v>
      </c>
      <c r="T191">
        <v>0</v>
      </c>
      <c r="U191">
        <v>1</v>
      </c>
      <c r="V191">
        <v>0</v>
      </c>
      <c r="W191">
        <v>18</v>
      </c>
      <c r="X191">
        <v>1005.88</v>
      </c>
      <c r="Y191">
        <v>1266.76</v>
      </c>
      <c r="Z191">
        <f>AVERAGEIFS(Table1[FinalElo], Table1[Country], Table1[[#This Row],[Country]])</f>
        <v>983.37272727272716</v>
      </c>
      <c r="AA191" cm="1">
        <f t="array" ref="AA191">IF(COUNTIFS(Table1[Country],Table1[[#This Row],[Country]])=1,0, _xlfn.STDEV.S(IF(Table1[Country]=Table1[[#This Row],[Country]],Table1[FinalElo])))</f>
        <v>121.78204088377996</v>
      </c>
      <c r="AB191">
        <f>IF(Table1[[#This Row],[CStd]]=0,0, (Table1[[#This Row],[FinalElo]]-Table1[[#This Row],[CAvg]]) / Table1[[#This Row],[CStd]])</f>
        <v>0.18481602512107809</v>
      </c>
      <c r="AC191" t="str">
        <f>IF(Table1[[#This Row],[CStd]]=0,"Normal", IF(ABS(Table1[[#This Row],[CZscore]])&gt;2,"Outlier","Normal"))</f>
        <v>Normal</v>
      </c>
    </row>
    <row r="192" spans="1:29" x14ac:dyDescent="0.35">
      <c r="A192" t="s">
        <v>2386</v>
      </c>
      <c r="B192">
        <v>52.2</v>
      </c>
      <c r="C192">
        <v>155</v>
      </c>
      <c r="D192" t="s">
        <v>89</v>
      </c>
      <c r="E192">
        <v>24</v>
      </c>
      <c r="F192" t="s">
        <v>2387</v>
      </c>
      <c r="G192" t="s">
        <v>40</v>
      </c>
      <c r="H192" t="s">
        <v>29</v>
      </c>
      <c r="I192" t="s">
        <v>36</v>
      </c>
      <c r="J192">
        <v>1</v>
      </c>
      <c r="K192">
        <v>2</v>
      </c>
      <c r="L192">
        <v>0</v>
      </c>
      <c r="M192">
        <v>0</v>
      </c>
      <c r="N192">
        <v>0</v>
      </c>
      <c r="O192">
        <v>0</v>
      </c>
      <c r="P192">
        <v>1</v>
      </c>
      <c r="Q192">
        <v>0</v>
      </c>
      <c r="R192">
        <v>1</v>
      </c>
      <c r="S192">
        <v>1</v>
      </c>
      <c r="T192">
        <v>0</v>
      </c>
      <c r="U192">
        <v>0</v>
      </c>
      <c r="V192">
        <v>0</v>
      </c>
      <c r="W192">
        <v>3</v>
      </c>
      <c r="X192">
        <v>927.99</v>
      </c>
      <c r="Y192">
        <v>1039.23</v>
      </c>
      <c r="Z192">
        <f>AVERAGEIFS(Table1[FinalElo], Table1[Country], Table1[[#This Row],[Country]])</f>
        <v>1012.0629025423733</v>
      </c>
      <c r="AA192" cm="1">
        <f t="array" ref="AA192">IF(COUNTIFS(Table1[Country],Table1[[#This Row],[Country]])=1,0, _xlfn.STDEV.S(IF(Table1[Country]=Table1[[#This Row],[Country]],Table1[FinalElo])))</f>
        <v>148.42180446198614</v>
      </c>
      <c r="AB192">
        <f>IF(Table1[[#This Row],[CStd]]=0,0, (Table1[[#This Row],[FinalElo]]-Table1[[#This Row],[CAvg]]) / Table1[[#This Row],[CStd]])</f>
        <v>-0.56644576480611442</v>
      </c>
      <c r="AC192" t="str">
        <f>IF(Table1[[#This Row],[CStd]]=0,"Normal", IF(ABS(Table1[[#This Row],[CZscore]])&gt;2,"Outlier","Normal"))</f>
        <v>Normal</v>
      </c>
    </row>
    <row r="193" spans="1:29" x14ac:dyDescent="0.35">
      <c r="A193" t="s">
        <v>2384</v>
      </c>
      <c r="B193">
        <v>50.802303999999999</v>
      </c>
      <c r="C193">
        <v>156</v>
      </c>
      <c r="D193" t="s">
        <v>89</v>
      </c>
      <c r="E193">
        <v>22</v>
      </c>
      <c r="F193" t="s">
        <v>2385</v>
      </c>
      <c r="G193" t="s">
        <v>34</v>
      </c>
      <c r="H193" t="s">
        <v>29</v>
      </c>
      <c r="I193" t="s">
        <v>55</v>
      </c>
      <c r="J193">
        <v>2</v>
      </c>
      <c r="K193">
        <v>1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3</v>
      </c>
      <c r="X193">
        <v>1026.17</v>
      </c>
      <c r="Y193">
        <v>1171.99</v>
      </c>
      <c r="Z193">
        <f>AVERAGEIFS(Table1[FinalElo], Table1[Country], Table1[[#This Row],[Country]])</f>
        <v>1012.0629025423733</v>
      </c>
      <c r="AA193" cm="1">
        <f t="array" ref="AA193">IF(COUNTIFS(Table1[Country],Table1[[#This Row],[Country]])=1,0, _xlfn.STDEV.S(IF(Table1[Country]=Table1[[#This Row],[Country]],Table1[FinalElo])))</f>
        <v>148.42180446198614</v>
      </c>
      <c r="AB193">
        <f>IF(Table1[[#This Row],[CStd]]=0,0, (Table1[[#This Row],[FinalElo]]-Table1[[#This Row],[CAvg]]) / Table1[[#This Row],[CStd]])</f>
        <v>9.5047338285392427E-2</v>
      </c>
      <c r="AC193" t="str">
        <f>IF(Table1[[#This Row],[CStd]]=0,"Normal", IF(ABS(Table1[[#This Row],[CZscore]])&gt;2,"Outlier","Normal"))</f>
        <v>Normal</v>
      </c>
    </row>
    <row r="194" spans="1:29" x14ac:dyDescent="0.35">
      <c r="A194" t="s">
        <v>2383</v>
      </c>
      <c r="B194">
        <v>53.3</v>
      </c>
      <c r="C194">
        <v>165</v>
      </c>
      <c r="D194" t="s">
        <v>89</v>
      </c>
      <c r="E194">
        <v>28</v>
      </c>
      <c r="F194" t="s">
        <v>1311</v>
      </c>
      <c r="G194" t="s">
        <v>34</v>
      </c>
      <c r="H194" t="s">
        <v>29</v>
      </c>
      <c r="I194" t="s">
        <v>36</v>
      </c>
      <c r="J194">
        <v>3</v>
      </c>
      <c r="K194">
        <v>2</v>
      </c>
      <c r="L194">
        <v>0</v>
      </c>
      <c r="M194">
        <v>1</v>
      </c>
      <c r="N194">
        <v>0</v>
      </c>
      <c r="O194">
        <v>0</v>
      </c>
      <c r="P194">
        <v>1</v>
      </c>
      <c r="Q194">
        <v>0</v>
      </c>
      <c r="R194">
        <v>0</v>
      </c>
      <c r="S194">
        <v>0</v>
      </c>
      <c r="T194">
        <v>0</v>
      </c>
      <c r="U194">
        <v>1</v>
      </c>
      <c r="V194">
        <v>0</v>
      </c>
      <c r="W194">
        <v>5</v>
      </c>
      <c r="X194">
        <v>1107.92</v>
      </c>
      <c r="Y194">
        <v>1148.05</v>
      </c>
      <c r="Z194">
        <f>AVERAGEIFS(Table1[FinalElo], Table1[Country], Table1[[#This Row],[Country]])</f>
        <v>1012.0629025423733</v>
      </c>
      <c r="AA194" cm="1">
        <f t="array" ref="AA194">IF(COUNTIFS(Table1[Country],Table1[[#This Row],[Country]])=1,0, _xlfn.STDEV.S(IF(Table1[Country]=Table1[[#This Row],[Country]],Table1[FinalElo])))</f>
        <v>148.42180446198614</v>
      </c>
      <c r="AB194">
        <f>IF(Table1[[#This Row],[CStd]]=0,0, (Table1[[#This Row],[FinalElo]]-Table1[[#This Row],[CAvg]]) / Table1[[#This Row],[CStd]])</f>
        <v>0.64584242056009855</v>
      </c>
      <c r="AC194" t="str">
        <f>IF(Table1[[#This Row],[CStd]]=0,"Normal", IF(ABS(Table1[[#This Row],[CZscore]])&gt;2,"Outlier","Normal"))</f>
        <v>Normal</v>
      </c>
    </row>
    <row r="195" spans="1:29" x14ac:dyDescent="0.35">
      <c r="A195" t="s">
        <v>2382</v>
      </c>
      <c r="B195">
        <v>77.099999999999994</v>
      </c>
      <c r="C195">
        <v>183</v>
      </c>
      <c r="D195" t="s">
        <v>116</v>
      </c>
      <c r="E195">
        <v>25</v>
      </c>
      <c r="F195" t="s">
        <v>117</v>
      </c>
      <c r="G195" t="s">
        <v>40</v>
      </c>
      <c r="H195" t="s">
        <v>29</v>
      </c>
      <c r="I195" t="s">
        <v>30</v>
      </c>
      <c r="J195">
        <v>1</v>
      </c>
      <c r="K195">
        <v>2</v>
      </c>
      <c r="L195">
        <v>0</v>
      </c>
      <c r="M195">
        <v>0</v>
      </c>
      <c r="N195">
        <v>1</v>
      </c>
      <c r="O195">
        <v>0</v>
      </c>
      <c r="P195">
        <v>0</v>
      </c>
      <c r="Q195">
        <v>0</v>
      </c>
      <c r="R195">
        <v>1</v>
      </c>
      <c r="S195">
        <v>0</v>
      </c>
      <c r="T195">
        <v>0</v>
      </c>
      <c r="U195">
        <v>1</v>
      </c>
      <c r="V195">
        <v>0</v>
      </c>
      <c r="W195">
        <v>3</v>
      </c>
      <c r="X195">
        <v>851.56</v>
      </c>
      <c r="Y195">
        <v>1100</v>
      </c>
      <c r="Z195">
        <f>AVERAGEIFS(Table1[FinalElo], Table1[Country], Table1[[#This Row],[Country]])</f>
        <v>980.88090909090931</v>
      </c>
      <c r="AA195" cm="1">
        <f t="array" ref="AA195">IF(COUNTIFS(Table1[Country],Table1[[#This Row],[Country]])=1,0, _xlfn.STDEV.S(IF(Table1[Country]=Table1[[#This Row],[Country]],Table1[FinalElo])))</f>
        <v>133.41794796376408</v>
      </c>
      <c r="AB195">
        <f>IF(Table1[[#This Row],[CStd]]=0,0, (Table1[[#This Row],[FinalElo]]-Table1[[#This Row],[CAvg]]) / Table1[[#This Row],[CStd]])</f>
        <v>-0.96929169624189204</v>
      </c>
      <c r="AC195" t="str">
        <f>IF(Table1[[#This Row],[CStd]]=0,"Normal", IF(ABS(Table1[[#This Row],[CZscore]])&gt;2,"Outlier","Normal"))</f>
        <v>Normal</v>
      </c>
    </row>
    <row r="196" spans="1:29" x14ac:dyDescent="0.35">
      <c r="A196" t="s">
        <v>2380</v>
      </c>
      <c r="B196">
        <v>70.31</v>
      </c>
      <c r="C196">
        <v>185</v>
      </c>
      <c r="D196" t="s">
        <v>368</v>
      </c>
      <c r="E196">
        <v>28</v>
      </c>
      <c r="F196" t="s">
        <v>2381</v>
      </c>
      <c r="G196" t="s">
        <v>40</v>
      </c>
      <c r="H196" t="s">
        <v>29</v>
      </c>
      <c r="I196" t="s">
        <v>30</v>
      </c>
      <c r="J196">
        <v>1</v>
      </c>
      <c r="K196">
        <v>2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1</v>
      </c>
      <c r="R196">
        <v>2</v>
      </c>
      <c r="S196">
        <v>0</v>
      </c>
      <c r="T196">
        <v>0</v>
      </c>
      <c r="U196">
        <v>0</v>
      </c>
      <c r="V196">
        <v>0</v>
      </c>
      <c r="W196">
        <v>3</v>
      </c>
      <c r="X196">
        <v>919.97</v>
      </c>
      <c r="Y196">
        <v>1028.01</v>
      </c>
      <c r="Z196">
        <f>AVERAGEIFS(Table1[FinalElo], Table1[Country], Table1[[#This Row],[Country]])</f>
        <v>980.53583333333336</v>
      </c>
      <c r="AA196" cm="1">
        <f t="array" ref="AA196">IF(COUNTIFS(Table1[Country],Table1[[#This Row],[Country]])=1,0, _xlfn.STDEV.S(IF(Table1[Country]=Table1[[#This Row],[Country]],Table1[FinalElo])))</f>
        <v>85.643213227725752</v>
      </c>
      <c r="AB196">
        <f>IF(Table1[[#This Row],[CStd]]=0,0, (Table1[[#This Row],[FinalElo]]-Table1[[#This Row],[CAvg]]) / Table1[[#This Row],[CStd]])</f>
        <v>-0.70718777414724576</v>
      </c>
      <c r="AC196" t="str">
        <f>IF(Table1[[#This Row],[CStd]]=0,"Normal", IF(ABS(Table1[[#This Row],[CZscore]])&gt;2,"Outlier","Normal"))</f>
        <v>Normal</v>
      </c>
    </row>
    <row r="197" spans="1:29" x14ac:dyDescent="0.35">
      <c r="A197" t="s">
        <v>2379</v>
      </c>
      <c r="B197">
        <v>65.77</v>
      </c>
      <c r="C197">
        <v>177</v>
      </c>
      <c r="D197" t="s">
        <v>202</v>
      </c>
      <c r="E197">
        <v>32</v>
      </c>
      <c r="F197" t="s">
        <v>884</v>
      </c>
      <c r="G197" t="s">
        <v>40</v>
      </c>
      <c r="H197" t="s">
        <v>29</v>
      </c>
      <c r="I197" t="s">
        <v>48</v>
      </c>
      <c r="J197">
        <v>1</v>
      </c>
      <c r="K197">
        <v>1</v>
      </c>
      <c r="L197">
        <v>0</v>
      </c>
      <c r="M197">
        <v>0</v>
      </c>
      <c r="N197">
        <v>1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1</v>
      </c>
      <c r="V197">
        <v>0</v>
      </c>
      <c r="W197">
        <v>2</v>
      </c>
      <c r="X197">
        <v>1015.7</v>
      </c>
      <c r="Y197">
        <v>1100</v>
      </c>
      <c r="Z197">
        <f>AVERAGEIFS(Table1[FinalElo], Table1[Country], Table1[[#This Row],[Country]])</f>
        <v>984.11142857142863</v>
      </c>
      <c r="AA197" cm="1">
        <f t="array" ref="AA197">IF(COUNTIFS(Table1[Country],Table1[[#This Row],[Country]])=1,0, _xlfn.STDEV.S(IF(Table1[Country]=Table1[[#This Row],[Country]],Table1[FinalElo])))</f>
        <v>173.54746521039206</v>
      </c>
      <c r="AB197">
        <f>IF(Table1[[#This Row],[CStd]]=0,0, (Table1[[#This Row],[FinalElo]]-Table1[[#This Row],[CAvg]]) / Table1[[#This Row],[CStd]])</f>
        <v>0.18201689889435435</v>
      </c>
      <c r="AC197" t="str">
        <f>IF(Table1[[#This Row],[CStd]]=0,"Normal", IF(ABS(Table1[[#This Row],[CZscore]])&gt;2,"Outlier","Normal"))</f>
        <v>Normal</v>
      </c>
    </row>
    <row r="198" spans="1:29" x14ac:dyDescent="0.35">
      <c r="A198" t="s">
        <v>2378</v>
      </c>
      <c r="B198">
        <v>60.1</v>
      </c>
      <c r="C198">
        <v>165</v>
      </c>
      <c r="D198" t="s">
        <v>396</v>
      </c>
      <c r="E198">
        <v>22</v>
      </c>
      <c r="F198">
        <v>1</v>
      </c>
      <c r="G198" t="s">
        <v>34</v>
      </c>
      <c r="H198" t="s">
        <v>29</v>
      </c>
      <c r="I198" t="s">
        <v>58</v>
      </c>
      <c r="J198">
        <v>4</v>
      </c>
      <c r="K198">
        <v>3</v>
      </c>
      <c r="L198">
        <v>0</v>
      </c>
      <c r="M198">
        <v>1</v>
      </c>
      <c r="N198">
        <v>0</v>
      </c>
      <c r="O198">
        <v>0</v>
      </c>
      <c r="P198">
        <v>2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7</v>
      </c>
      <c r="X198">
        <v>991.01</v>
      </c>
      <c r="Y198">
        <v>1192.75</v>
      </c>
      <c r="Z198">
        <f>AVERAGEIFS(Table1[FinalElo], Table1[Country], Table1[[#This Row],[Country]])</f>
        <v>998.29391304347814</v>
      </c>
      <c r="AA198" cm="1">
        <f t="array" ref="AA198">IF(COUNTIFS(Table1[Country],Table1[[#This Row],[Country]])=1,0, _xlfn.STDEV.S(IF(Table1[Country]=Table1[[#This Row],[Country]],Table1[FinalElo])))</f>
        <v>125.31531828802386</v>
      </c>
      <c r="AB198">
        <f>IF(Table1[[#This Row],[CStd]]=0,0, (Table1[[#This Row],[FinalElo]]-Table1[[#This Row],[CAvg]]) / Table1[[#This Row],[CStd]])</f>
        <v>-5.8124682145696313E-2</v>
      </c>
      <c r="AC198" t="str">
        <f>IF(Table1[[#This Row],[CStd]]=0,"Normal", IF(ABS(Table1[[#This Row],[CZscore]])&gt;2,"Outlier","Normal"))</f>
        <v>Normal</v>
      </c>
    </row>
    <row r="199" spans="1:29" x14ac:dyDescent="0.35">
      <c r="A199" t="s">
        <v>2377</v>
      </c>
      <c r="B199">
        <v>63.956471999999998</v>
      </c>
      <c r="C199">
        <v>176</v>
      </c>
      <c r="D199" t="s">
        <v>89</v>
      </c>
      <c r="E199">
        <v>24</v>
      </c>
      <c r="F199" t="s">
        <v>99</v>
      </c>
      <c r="G199" t="s">
        <v>34</v>
      </c>
      <c r="H199" t="s">
        <v>29</v>
      </c>
      <c r="I199" t="s">
        <v>73</v>
      </c>
      <c r="J199">
        <v>0</v>
      </c>
      <c r="K199">
        <v>2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1</v>
      </c>
      <c r="V199">
        <v>0</v>
      </c>
      <c r="W199">
        <v>2</v>
      </c>
      <c r="X199">
        <v>870.97</v>
      </c>
      <c r="Y199">
        <v>1000</v>
      </c>
      <c r="Z199">
        <f>AVERAGEIFS(Table1[FinalElo], Table1[Country], Table1[[#This Row],[Country]])</f>
        <v>1012.0629025423733</v>
      </c>
      <c r="AA199" cm="1">
        <f t="array" ref="AA199">IF(COUNTIFS(Table1[Country],Table1[[#This Row],[Country]])=1,0, _xlfn.STDEV.S(IF(Table1[Country]=Table1[[#This Row],[Country]],Table1[FinalElo])))</f>
        <v>148.42180446198614</v>
      </c>
      <c r="AB199">
        <f>IF(Table1[[#This Row],[CStd]]=0,0, (Table1[[#This Row],[FinalElo]]-Table1[[#This Row],[CAvg]]) / Table1[[#This Row],[CStd]])</f>
        <v>-0.95062112372114471</v>
      </c>
      <c r="AC199" t="str">
        <f>IF(Table1[[#This Row],[CStd]]=0,"Normal", IF(ABS(Table1[[#This Row],[CZscore]])&gt;2,"Outlier","Normal"))</f>
        <v>Normal</v>
      </c>
    </row>
    <row r="200" spans="1:29" x14ac:dyDescent="0.35">
      <c r="A200" t="s">
        <v>2375</v>
      </c>
      <c r="B200">
        <v>56.4</v>
      </c>
      <c r="C200">
        <v>167</v>
      </c>
      <c r="D200" t="s">
        <v>89</v>
      </c>
      <c r="E200">
        <v>32</v>
      </c>
      <c r="F200" t="s">
        <v>2376</v>
      </c>
      <c r="G200" t="s">
        <v>34</v>
      </c>
      <c r="H200" t="s">
        <v>29</v>
      </c>
      <c r="I200" t="s">
        <v>36</v>
      </c>
      <c r="J200">
        <v>1</v>
      </c>
      <c r="K200">
        <v>2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2</v>
      </c>
      <c r="V200">
        <v>0</v>
      </c>
      <c r="W200">
        <v>3</v>
      </c>
      <c r="X200">
        <v>1030.5899999999999</v>
      </c>
      <c r="Y200">
        <v>1030.5899999999999</v>
      </c>
      <c r="Z200">
        <f>AVERAGEIFS(Table1[FinalElo], Table1[Country], Table1[[#This Row],[Country]])</f>
        <v>1012.0629025423733</v>
      </c>
      <c r="AA200" cm="1">
        <f t="array" ref="AA200">IF(COUNTIFS(Table1[Country],Table1[[#This Row],[Country]])=1,0, _xlfn.STDEV.S(IF(Table1[Country]=Table1[[#This Row],[Country]],Table1[FinalElo])))</f>
        <v>148.42180446198614</v>
      </c>
      <c r="AB200">
        <f>IF(Table1[[#This Row],[CStd]]=0,0, (Table1[[#This Row],[FinalElo]]-Table1[[#This Row],[CAvg]]) / Table1[[#This Row],[CStd]])</f>
        <v>0.12482732927810333</v>
      </c>
      <c r="AC200" t="str">
        <f>IF(Table1[[#This Row],[CStd]]=0,"Normal", IF(ABS(Table1[[#This Row],[CZscore]])&gt;2,"Outlier","Normal"))</f>
        <v>Normal</v>
      </c>
    </row>
    <row r="201" spans="1:29" x14ac:dyDescent="0.35">
      <c r="A201" t="s">
        <v>2374</v>
      </c>
      <c r="B201">
        <v>57.606183999999999</v>
      </c>
      <c r="C201">
        <v>174</v>
      </c>
      <c r="D201" t="s">
        <v>89</v>
      </c>
      <c r="E201">
        <v>20</v>
      </c>
      <c r="F201" t="s">
        <v>535</v>
      </c>
      <c r="G201" t="s">
        <v>34</v>
      </c>
      <c r="H201" t="s">
        <v>29</v>
      </c>
      <c r="I201" t="s">
        <v>58</v>
      </c>
      <c r="J201">
        <v>0</v>
      </c>
      <c r="K201">
        <v>1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1</v>
      </c>
      <c r="X201">
        <v>900</v>
      </c>
      <c r="Y201">
        <v>1000</v>
      </c>
      <c r="Z201">
        <f>AVERAGEIFS(Table1[FinalElo], Table1[Country], Table1[[#This Row],[Country]])</f>
        <v>1012.0629025423733</v>
      </c>
      <c r="AA201" cm="1">
        <f t="array" ref="AA201">IF(COUNTIFS(Table1[Country],Table1[[#This Row],[Country]])=1,0, _xlfn.STDEV.S(IF(Table1[Country]=Table1[[#This Row],[Country]],Table1[FinalElo])))</f>
        <v>148.42180446198614</v>
      </c>
      <c r="AB201">
        <f>IF(Table1[[#This Row],[CStd]]=0,0, (Table1[[#This Row],[FinalElo]]-Table1[[#This Row],[CAvg]]) / Table1[[#This Row],[CStd]])</f>
        <v>-0.75502991591154589</v>
      </c>
      <c r="AC201" t="str">
        <f>IF(Table1[[#This Row],[CStd]]=0,"Normal", IF(ABS(Table1[[#This Row],[CZscore]])&gt;2,"Outlier","Normal"))</f>
        <v>Normal</v>
      </c>
    </row>
    <row r="202" spans="1:29" x14ac:dyDescent="0.35">
      <c r="A202" t="s">
        <v>2372</v>
      </c>
      <c r="B202">
        <v>50.802303999999999</v>
      </c>
      <c r="C202">
        <v>156</v>
      </c>
      <c r="D202" t="s">
        <v>89</v>
      </c>
      <c r="E202">
        <v>32</v>
      </c>
      <c r="F202" t="s">
        <v>2373</v>
      </c>
      <c r="G202" t="s">
        <v>34</v>
      </c>
      <c r="H202" t="s">
        <v>29</v>
      </c>
      <c r="I202" t="s">
        <v>55</v>
      </c>
      <c r="J202">
        <v>0</v>
      </c>
      <c r="K202">
        <v>1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1</v>
      </c>
      <c r="X202">
        <v>900</v>
      </c>
      <c r="Y202">
        <v>1000</v>
      </c>
      <c r="Z202">
        <f>AVERAGEIFS(Table1[FinalElo], Table1[Country], Table1[[#This Row],[Country]])</f>
        <v>1012.0629025423733</v>
      </c>
      <c r="AA202" cm="1">
        <f t="array" ref="AA202">IF(COUNTIFS(Table1[Country],Table1[[#This Row],[Country]])=1,0, _xlfn.STDEV.S(IF(Table1[Country]=Table1[[#This Row],[Country]],Table1[FinalElo])))</f>
        <v>148.42180446198614</v>
      </c>
      <c r="AB202">
        <f>IF(Table1[[#This Row],[CStd]]=0,0, (Table1[[#This Row],[FinalElo]]-Table1[[#This Row],[CAvg]]) / Table1[[#This Row],[CStd]])</f>
        <v>-0.75502991591154589</v>
      </c>
      <c r="AC202" t="str">
        <f>IF(Table1[[#This Row],[CStd]]=0,"Normal", IF(ABS(Table1[[#This Row],[CZscore]])&gt;2,"Outlier","Normal"))</f>
        <v>Normal</v>
      </c>
    </row>
    <row r="203" spans="1:29" x14ac:dyDescent="0.35">
      <c r="A203" t="s">
        <v>2370</v>
      </c>
      <c r="B203">
        <v>63.2</v>
      </c>
      <c r="C203">
        <v>175</v>
      </c>
      <c r="D203" t="s">
        <v>89</v>
      </c>
      <c r="E203">
        <v>30</v>
      </c>
      <c r="F203" t="s">
        <v>2371</v>
      </c>
      <c r="G203" t="s">
        <v>34</v>
      </c>
      <c r="H203" t="s">
        <v>29</v>
      </c>
      <c r="I203" t="s">
        <v>73</v>
      </c>
      <c r="J203">
        <v>6</v>
      </c>
      <c r="K203">
        <v>2</v>
      </c>
      <c r="L203">
        <v>0</v>
      </c>
      <c r="M203">
        <v>1</v>
      </c>
      <c r="N203">
        <v>0</v>
      </c>
      <c r="O203">
        <v>0</v>
      </c>
      <c r="P203">
        <v>1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8</v>
      </c>
      <c r="X203">
        <v>1412.82</v>
      </c>
      <c r="Y203">
        <v>1412.82</v>
      </c>
      <c r="Z203">
        <f>AVERAGEIFS(Table1[FinalElo], Table1[Country], Table1[[#This Row],[Country]])</f>
        <v>1012.0629025423733</v>
      </c>
      <c r="AA203" cm="1">
        <f t="array" ref="AA203">IF(COUNTIFS(Table1[Country],Table1[[#This Row],[Country]])=1,0, _xlfn.STDEV.S(IF(Table1[Country]=Table1[[#This Row],[Country]],Table1[FinalElo])))</f>
        <v>148.42180446198614</v>
      </c>
      <c r="AB203">
        <f>IF(Table1[[#This Row],[CStd]]=0,0, (Table1[[#This Row],[FinalElo]]-Table1[[#This Row],[CAvg]]) / Table1[[#This Row],[CStd]])</f>
        <v>2.7001227946953623</v>
      </c>
      <c r="AC203" t="str">
        <f>IF(Table1[[#This Row],[CStd]]=0,"Normal", IF(ABS(Table1[[#This Row],[CZscore]])&gt;2,"Outlier","Normal"))</f>
        <v>Outlier</v>
      </c>
    </row>
    <row r="204" spans="1:29" x14ac:dyDescent="0.35">
      <c r="A204" t="s">
        <v>2369</v>
      </c>
      <c r="B204">
        <v>53.8</v>
      </c>
      <c r="C204">
        <v>172</v>
      </c>
      <c r="D204" t="s">
        <v>89</v>
      </c>
      <c r="E204">
        <v>18</v>
      </c>
      <c r="F204" t="s">
        <v>1858</v>
      </c>
      <c r="G204" t="s">
        <v>34</v>
      </c>
      <c r="H204" t="s">
        <v>29</v>
      </c>
      <c r="I204" t="s">
        <v>36</v>
      </c>
      <c r="J204">
        <v>1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1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1</v>
      </c>
      <c r="X204">
        <v>1107.52</v>
      </c>
      <c r="Y204">
        <v>1107.52</v>
      </c>
      <c r="Z204">
        <f>AVERAGEIFS(Table1[FinalElo], Table1[Country], Table1[[#This Row],[Country]])</f>
        <v>1012.0629025423733</v>
      </c>
      <c r="AA204" cm="1">
        <f t="array" ref="AA204">IF(COUNTIFS(Table1[Country],Table1[[#This Row],[Country]])=1,0, _xlfn.STDEV.S(IF(Table1[Country]=Table1[[#This Row],[Country]],Table1[FinalElo])))</f>
        <v>148.42180446198614</v>
      </c>
      <c r="AB204">
        <f>IF(Table1[[#This Row],[CStd]]=0,0, (Table1[[#This Row],[FinalElo]]-Table1[[#This Row],[CAvg]]) / Table1[[#This Row],[CStd]])</f>
        <v>0.64314739875080273</v>
      </c>
      <c r="AC204" t="str">
        <f>IF(Table1[[#This Row],[CStd]]=0,"Normal", IF(ABS(Table1[[#This Row],[CZscore]])&gt;2,"Outlier","Normal"))</f>
        <v>Normal</v>
      </c>
    </row>
    <row r="205" spans="1:29" hidden="1" x14ac:dyDescent="0.35">
      <c r="A205" t="s">
        <v>465</v>
      </c>
      <c r="B205">
        <v>59.4</v>
      </c>
      <c r="C205">
        <v>160</v>
      </c>
      <c r="D205" t="s">
        <v>32</v>
      </c>
      <c r="E205">
        <v>29</v>
      </c>
      <c r="F205" t="s">
        <v>466</v>
      </c>
      <c r="G205" t="s">
        <v>54</v>
      </c>
      <c r="H205" t="s">
        <v>35</v>
      </c>
      <c r="I205" t="s">
        <v>58</v>
      </c>
      <c r="J205">
        <v>2</v>
      </c>
      <c r="K205">
        <v>1</v>
      </c>
      <c r="L205">
        <v>0</v>
      </c>
      <c r="M205">
        <v>0</v>
      </c>
      <c r="N205">
        <v>2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1</v>
      </c>
      <c r="V205">
        <v>0</v>
      </c>
      <c r="W205">
        <v>3</v>
      </c>
      <c r="X205">
        <v>1080.03</v>
      </c>
      <c r="Y205">
        <v>1100</v>
      </c>
      <c r="Z205">
        <f>AVERAGEIFS(Table1[FinalElo], Table1[Country], Table1[[#This Row],[Country]])</f>
        <v>1025.3786885245902</v>
      </c>
      <c r="AA205" cm="1">
        <f t="array" ref="AA205">IF(COUNTIFS(Table1[Country],Table1[[#This Row],[Country]])=1,0, _xlfn.STDEV.S(IF(Table1[Country]=Table1[[#This Row],[Country]],Table1[FinalElo])))</f>
        <v>144.71595558743479</v>
      </c>
      <c r="AB205">
        <f>IF(Table1[[#This Row],[CStd]]=0,0, (Table1[[#This Row],[FinalElo]]-Table1[[#This Row],[CAvg]]) / Table1[[#This Row],[CStd]])</f>
        <v>0.37764537609946153</v>
      </c>
      <c r="AC205" t="str">
        <f>IF(Table1[[#This Row],[CStd]]=0,"Normal", IF(ABS(Table1[[#This Row],[CZscore]])&gt;2,"Outlier","Normal"))</f>
        <v>Normal</v>
      </c>
    </row>
    <row r="206" spans="1:29" x14ac:dyDescent="0.35">
      <c r="A206" t="s">
        <v>2367</v>
      </c>
      <c r="B206">
        <v>65.8</v>
      </c>
      <c r="C206">
        <v>170</v>
      </c>
      <c r="D206" t="s">
        <v>89</v>
      </c>
      <c r="E206">
        <v>29</v>
      </c>
      <c r="F206" t="s">
        <v>2368</v>
      </c>
      <c r="G206" t="s">
        <v>28</v>
      </c>
      <c r="H206" t="s">
        <v>29</v>
      </c>
      <c r="I206" t="s">
        <v>48</v>
      </c>
      <c r="J206">
        <v>7</v>
      </c>
      <c r="K206">
        <v>3</v>
      </c>
      <c r="L206">
        <v>0</v>
      </c>
      <c r="M206">
        <v>1</v>
      </c>
      <c r="N206">
        <v>0</v>
      </c>
      <c r="O206">
        <v>0</v>
      </c>
      <c r="P206">
        <v>3</v>
      </c>
      <c r="Q206">
        <v>0</v>
      </c>
      <c r="R206">
        <v>0</v>
      </c>
      <c r="S206">
        <v>0</v>
      </c>
      <c r="T206">
        <v>0</v>
      </c>
      <c r="U206">
        <v>1</v>
      </c>
      <c r="V206">
        <v>0</v>
      </c>
      <c r="W206">
        <v>10</v>
      </c>
      <c r="X206">
        <v>1128.42</v>
      </c>
      <c r="Y206">
        <v>1364.65</v>
      </c>
      <c r="Z206">
        <f>AVERAGEIFS(Table1[FinalElo], Table1[Country], Table1[[#This Row],[Country]])</f>
        <v>1012.0629025423733</v>
      </c>
      <c r="AA206" cm="1">
        <f t="array" ref="AA206">IF(COUNTIFS(Table1[Country],Table1[[#This Row],[Country]])=1,0, _xlfn.STDEV.S(IF(Table1[Country]=Table1[[#This Row],[Country]],Table1[FinalElo])))</f>
        <v>148.42180446198614</v>
      </c>
      <c r="AB206">
        <f>IF(Table1[[#This Row],[CStd]]=0,0, (Table1[[#This Row],[FinalElo]]-Table1[[#This Row],[CAvg]]) / Table1[[#This Row],[CStd]])</f>
        <v>0.7839622882864774</v>
      </c>
      <c r="AC206" t="str">
        <f>IF(Table1[[#This Row],[CStd]]=0,"Normal", IF(ABS(Table1[[#This Row],[CZscore]])&gt;2,"Outlier","Normal"))</f>
        <v>Normal</v>
      </c>
    </row>
    <row r="207" spans="1:29" x14ac:dyDescent="0.35">
      <c r="A207" t="s">
        <v>2366</v>
      </c>
      <c r="B207">
        <v>58.96696</v>
      </c>
      <c r="C207">
        <v>170</v>
      </c>
      <c r="D207" t="s">
        <v>286</v>
      </c>
      <c r="E207">
        <v>25</v>
      </c>
      <c r="F207" t="s">
        <v>1755</v>
      </c>
      <c r="G207" t="s">
        <v>34</v>
      </c>
      <c r="H207" t="s">
        <v>29</v>
      </c>
      <c r="I207" t="s">
        <v>58</v>
      </c>
      <c r="J207">
        <v>6</v>
      </c>
      <c r="K207">
        <v>1</v>
      </c>
      <c r="L207">
        <v>0</v>
      </c>
      <c r="M207">
        <v>1</v>
      </c>
      <c r="N207">
        <v>0</v>
      </c>
      <c r="O207">
        <v>0</v>
      </c>
      <c r="P207">
        <v>3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7</v>
      </c>
      <c r="X207">
        <v>1391.79</v>
      </c>
      <c r="Y207">
        <v>1391.79</v>
      </c>
      <c r="Z207">
        <f>AVERAGEIFS(Table1[FinalElo], Table1[Country], Table1[[#This Row],[Country]])</f>
        <v>1087.97</v>
      </c>
      <c r="AA207" cm="1">
        <f t="array" ref="AA207">IF(COUNTIFS(Table1[Country],Table1[[#This Row],[Country]])=1,0, _xlfn.STDEV.S(IF(Table1[Country]=Table1[[#This Row],[Country]],Table1[FinalElo])))</f>
        <v>209.70246125675953</v>
      </c>
      <c r="AB207">
        <f>IF(Table1[[#This Row],[CStd]]=0,0, (Table1[[#This Row],[FinalElo]]-Table1[[#This Row],[CAvg]]) / Table1[[#This Row],[CStd]])</f>
        <v>1.4488146594903479</v>
      </c>
      <c r="AC207" t="str">
        <f>IF(Table1[[#This Row],[CStd]]=0,"Normal", IF(ABS(Table1[[#This Row],[CZscore]])&gt;2,"Outlier","Normal"))</f>
        <v>Normal</v>
      </c>
    </row>
    <row r="208" spans="1:29" x14ac:dyDescent="0.35">
      <c r="A208" t="s">
        <v>2364</v>
      </c>
      <c r="B208">
        <v>56.1</v>
      </c>
      <c r="C208">
        <v>170</v>
      </c>
      <c r="D208" t="s">
        <v>1069</v>
      </c>
      <c r="E208">
        <v>26</v>
      </c>
      <c r="F208" t="s">
        <v>2365</v>
      </c>
      <c r="G208" t="s">
        <v>34</v>
      </c>
      <c r="H208" t="s">
        <v>29</v>
      </c>
      <c r="I208" t="s">
        <v>36</v>
      </c>
      <c r="J208">
        <v>3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2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3</v>
      </c>
      <c r="X208">
        <v>1213.27</v>
      </c>
      <c r="Y208">
        <v>1213.27</v>
      </c>
      <c r="Z208">
        <f>AVERAGEIFS(Table1[FinalElo], Table1[Country], Table1[[#This Row],[Country]])</f>
        <v>1056.635</v>
      </c>
      <c r="AA208" cm="1">
        <f t="array" ref="AA208">IF(COUNTIFS(Table1[Country],Table1[[#This Row],[Country]])=1,0, _xlfn.STDEV.S(IF(Table1[Country]=Table1[[#This Row],[Country]],Table1[FinalElo])))</f>
        <v>221.51534134231031</v>
      </c>
      <c r="AB208">
        <f>IF(Table1[[#This Row],[CStd]]=0,0, (Table1[[#This Row],[FinalElo]]-Table1[[#This Row],[CAvg]]) / Table1[[#This Row],[CStd]])</f>
        <v>0.70710678118654569</v>
      </c>
      <c r="AC208" t="str">
        <f>IF(Table1[[#This Row],[CStd]]=0,"Normal", IF(ABS(Table1[[#This Row],[CZscore]])&gt;2,"Outlier","Normal"))</f>
        <v>Normal</v>
      </c>
    </row>
    <row r="209" spans="1:29" x14ac:dyDescent="0.35">
      <c r="A209" t="s">
        <v>2363</v>
      </c>
      <c r="B209">
        <v>56.7</v>
      </c>
      <c r="C209">
        <v>169</v>
      </c>
      <c r="D209" t="s">
        <v>150</v>
      </c>
      <c r="E209">
        <v>38</v>
      </c>
      <c r="F209" t="s">
        <v>678</v>
      </c>
      <c r="G209" t="s">
        <v>40</v>
      </c>
      <c r="H209" t="s">
        <v>29</v>
      </c>
      <c r="I209" t="s">
        <v>58</v>
      </c>
      <c r="J209">
        <v>6</v>
      </c>
      <c r="K209">
        <v>4</v>
      </c>
      <c r="L209">
        <v>0</v>
      </c>
      <c r="M209">
        <v>0</v>
      </c>
      <c r="N209">
        <v>2</v>
      </c>
      <c r="O209">
        <v>0</v>
      </c>
      <c r="P209">
        <v>4</v>
      </c>
      <c r="Q209">
        <v>0</v>
      </c>
      <c r="R209">
        <v>0</v>
      </c>
      <c r="S209">
        <v>1</v>
      </c>
      <c r="T209">
        <v>0</v>
      </c>
      <c r="U209">
        <v>3</v>
      </c>
      <c r="V209">
        <v>0</v>
      </c>
      <c r="W209">
        <v>10</v>
      </c>
      <c r="X209">
        <v>1019.35</v>
      </c>
      <c r="Y209">
        <v>1309.1199999999999</v>
      </c>
      <c r="Z209">
        <f>AVERAGEIFS(Table1[FinalElo], Table1[Country], Table1[[#This Row],[Country]])</f>
        <v>983.37272727272716</v>
      </c>
      <c r="AA209" cm="1">
        <f t="array" ref="AA209">IF(COUNTIFS(Table1[Country],Table1[[#This Row],[Country]])=1,0, _xlfn.STDEV.S(IF(Table1[Country]=Table1[[#This Row],[Country]],Table1[FinalElo])))</f>
        <v>121.78204088377996</v>
      </c>
      <c r="AB209">
        <f>IF(Table1[[#This Row],[CStd]]=0,0, (Table1[[#This Row],[FinalElo]]-Table1[[#This Row],[CAvg]]) / Table1[[#This Row],[CStd]])</f>
        <v>0.29542346692651494</v>
      </c>
      <c r="AC209" t="str">
        <f>IF(Table1[[#This Row],[CStd]]=0,"Normal", IF(ABS(Table1[[#This Row],[CZscore]])&gt;2,"Outlier","Normal"))</f>
        <v>Normal</v>
      </c>
    </row>
    <row r="210" spans="1:29" x14ac:dyDescent="0.35">
      <c r="A210" t="s">
        <v>2361</v>
      </c>
      <c r="B210">
        <v>65.8</v>
      </c>
      <c r="C210">
        <v>174</v>
      </c>
      <c r="D210" t="s">
        <v>626</v>
      </c>
      <c r="E210">
        <v>31</v>
      </c>
      <c r="F210" t="s">
        <v>2362</v>
      </c>
      <c r="G210" t="s">
        <v>34</v>
      </c>
      <c r="H210" t="s">
        <v>29</v>
      </c>
      <c r="I210" t="s">
        <v>48</v>
      </c>
      <c r="J210">
        <v>1</v>
      </c>
      <c r="K210">
        <v>3</v>
      </c>
      <c r="L210">
        <v>0</v>
      </c>
      <c r="M210">
        <v>0</v>
      </c>
      <c r="N210">
        <v>0</v>
      </c>
      <c r="O210">
        <v>0</v>
      </c>
      <c r="P210">
        <v>1</v>
      </c>
      <c r="Q210">
        <v>0</v>
      </c>
      <c r="R210">
        <v>0</v>
      </c>
      <c r="S210">
        <v>0</v>
      </c>
      <c r="T210">
        <v>0</v>
      </c>
      <c r="U210">
        <v>2</v>
      </c>
      <c r="V210">
        <v>0</v>
      </c>
      <c r="W210">
        <v>4</v>
      </c>
      <c r="X210">
        <v>958.53</v>
      </c>
      <c r="Y210">
        <v>1042.44</v>
      </c>
      <c r="Z210">
        <f>AVERAGEIFS(Table1[FinalElo], Table1[Country], Table1[[#This Row],[Country]])</f>
        <v>932.03999999999985</v>
      </c>
      <c r="AA210" cm="1">
        <f t="array" ref="AA210">IF(COUNTIFS(Table1[Country],Table1[[#This Row],[Country]])=1,0, _xlfn.STDEV.S(IF(Table1[Country]=Table1[[#This Row],[Country]],Table1[FinalElo])))</f>
        <v>135.23570706979393</v>
      </c>
      <c r="AB210">
        <f>IF(Table1[[#This Row],[CStd]]=0,0, (Table1[[#This Row],[FinalElo]]-Table1[[#This Row],[CAvg]]) / Table1[[#This Row],[CStd]])</f>
        <v>0.19588021961040861</v>
      </c>
      <c r="AC210" t="str">
        <f>IF(Table1[[#This Row],[CStd]]=0,"Normal", IF(ABS(Table1[[#This Row],[CZscore]])&gt;2,"Outlier","Normal"))</f>
        <v>Normal</v>
      </c>
    </row>
    <row r="211" spans="1:29" x14ac:dyDescent="0.35">
      <c r="A211" t="s">
        <v>2359</v>
      </c>
      <c r="B211">
        <v>61.2</v>
      </c>
      <c r="C211">
        <v>164</v>
      </c>
      <c r="D211" t="s">
        <v>1157</v>
      </c>
      <c r="E211">
        <v>33</v>
      </c>
      <c r="F211" t="s">
        <v>2360</v>
      </c>
      <c r="G211" t="s">
        <v>40</v>
      </c>
      <c r="H211" t="s">
        <v>29</v>
      </c>
      <c r="I211" t="s">
        <v>58</v>
      </c>
      <c r="J211">
        <v>2</v>
      </c>
      <c r="K211">
        <v>1</v>
      </c>
      <c r="L211">
        <v>0</v>
      </c>
      <c r="M211">
        <v>2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1</v>
      </c>
      <c r="T211">
        <v>0</v>
      </c>
      <c r="U211">
        <v>0</v>
      </c>
      <c r="V211">
        <v>0</v>
      </c>
      <c r="W211">
        <v>3</v>
      </c>
      <c r="X211">
        <v>1038.28</v>
      </c>
      <c r="Y211">
        <v>1083.56</v>
      </c>
      <c r="Z211">
        <f>AVERAGEIFS(Table1[FinalElo], Table1[Country], Table1[[#This Row],[Country]])</f>
        <v>993.06</v>
      </c>
      <c r="AA211" cm="1">
        <f t="array" ref="AA211">IF(COUNTIFS(Table1[Country],Table1[[#This Row],[Country]])=1,0, _xlfn.STDEV.S(IF(Table1[Country]=Table1[[#This Row],[Country]],Table1[FinalElo])))</f>
        <v>63.950737290511313</v>
      </c>
      <c r="AB211">
        <f>IF(Table1[[#This Row],[CStd]]=0,0, (Table1[[#This Row],[FinalElo]]-Table1[[#This Row],[CAvg]]) / Table1[[#This Row],[CStd]])</f>
        <v>0.70710678118654846</v>
      </c>
      <c r="AC211" t="str">
        <f>IF(Table1[[#This Row],[CStd]]=0,"Normal", IF(ABS(Table1[[#This Row],[CZscore]])&gt;2,"Outlier","Normal"))</f>
        <v>Normal</v>
      </c>
    </row>
    <row r="212" spans="1:29" x14ac:dyDescent="0.35">
      <c r="A212" t="s">
        <v>2358</v>
      </c>
      <c r="B212">
        <v>57.152591999999999</v>
      </c>
      <c r="C212">
        <v>171</v>
      </c>
      <c r="D212" t="s">
        <v>146</v>
      </c>
      <c r="E212">
        <v>20</v>
      </c>
      <c r="F212" t="s">
        <v>963</v>
      </c>
      <c r="G212" t="s">
        <v>34</v>
      </c>
      <c r="H212" t="s">
        <v>29</v>
      </c>
      <c r="I212" t="s">
        <v>58</v>
      </c>
      <c r="J212">
        <v>1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1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1</v>
      </c>
      <c r="X212">
        <v>1100</v>
      </c>
      <c r="Y212">
        <v>1100</v>
      </c>
      <c r="Z212">
        <f>AVERAGEIFS(Table1[FinalElo], Table1[Country], Table1[[#This Row],[Country]])</f>
        <v>971.46103448275846</v>
      </c>
      <c r="AA212" cm="1">
        <f t="array" ref="AA212">IF(COUNTIFS(Table1[Country],Table1[[#This Row],[Country]])=1,0, _xlfn.STDEV.S(IF(Table1[Country]=Table1[[#This Row],[Country]],Table1[FinalElo])))</f>
        <v>107.62263899334665</v>
      </c>
      <c r="AB212">
        <f>IF(Table1[[#This Row],[CStd]]=0,0, (Table1[[#This Row],[FinalElo]]-Table1[[#This Row],[CAvg]]) / Table1[[#This Row],[CStd]])</f>
        <v>1.1943487608140508</v>
      </c>
      <c r="AC212" t="str">
        <f>IF(Table1[[#This Row],[CStd]]=0,"Normal", IF(ABS(Table1[[#This Row],[CZscore]])&gt;2,"Outlier","Normal"))</f>
        <v>Normal</v>
      </c>
    </row>
    <row r="213" spans="1:29" x14ac:dyDescent="0.35">
      <c r="A213" t="s">
        <v>2357</v>
      </c>
      <c r="B213">
        <v>57.9</v>
      </c>
      <c r="C213">
        <v>165</v>
      </c>
      <c r="D213" t="s">
        <v>89</v>
      </c>
      <c r="E213">
        <v>30</v>
      </c>
      <c r="F213" t="s">
        <v>653</v>
      </c>
      <c r="G213" t="s">
        <v>34</v>
      </c>
      <c r="H213" t="s">
        <v>29</v>
      </c>
      <c r="I213" t="s">
        <v>58</v>
      </c>
      <c r="J213">
        <v>5</v>
      </c>
      <c r="K213">
        <v>2</v>
      </c>
      <c r="L213">
        <v>0</v>
      </c>
      <c r="M213">
        <v>1</v>
      </c>
      <c r="N213">
        <v>0</v>
      </c>
      <c r="O213">
        <v>0</v>
      </c>
      <c r="P213">
        <v>1</v>
      </c>
      <c r="Q213">
        <v>1</v>
      </c>
      <c r="R213">
        <v>0</v>
      </c>
      <c r="S213">
        <v>0</v>
      </c>
      <c r="T213">
        <v>0</v>
      </c>
      <c r="U213">
        <v>1</v>
      </c>
      <c r="V213">
        <v>0</v>
      </c>
      <c r="W213">
        <v>7</v>
      </c>
      <c r="X213">
        <v>1153.23</v>
      </c>
      <c r="Y213">
        <v>1228.3399999999999</v>
      </c>
      <c r="Z213">
        <f>AVERAGEIFS(Table1[FinalElo], Table1[Country], Table1[[#This Row],[Country]])</f>
        <v>1012.0629025423733</v>
      </c>
      <c r="AA213" cm="1">
        <f t="array" ref="AA213">IF(COUNTIFS(Table1[Country],Table1[[#This Row],[Country]])=1,0, _xlfn.STDEV.S(IF(Table1[Country]=Table1[[#This Row],[Country]],Table1[FinalElo])))</f>
        <v>148.42180446198614</v>
      </c>
      <c r="AB213">
        <f>IF(Table1[[#This Row],[CStd]]=0,0, (Table1[[#This Row],[FinalElo]]-Table1[[#This Row],[CAvg]]) / Table1[[#This Row],[CStd]])</f>
        <v>0.9511210160080118</v>
      </c>
      <c r="AC213" t="str">
        <f>IF(Table1[[#This Row],[CStd]]=0,"Normal", IF(ABS(Table1[[#This Row],[CZscore]])&gt;2,"Outlier","Normal"))</f>
        <v>Normal</v>
      </c>
    </row>
    <row r="214" spans="1:29" x14ac:dyDescent="0.35">
      <c r="A214" t="s">
        <v>2356</v>
      </c>
      <c r="B214">
        <v>63.3</v>
      </c>
      <c r="C214">
        <v>170</v>
      </c>
      <c r="D214" t="s">
        <v>396</v>
      </c>
      <c r="E214">
        <v>28</v>
      </c>
      <c r="F214" t="s">
        <v>110</v>
      </c>
      <c r="G214" t="s">
        <v>34</v>
      </c>
      <c r="H214" t="s">
        <v>29</v>
      </c>
      <c r="I214" t="s">
        <v>73</v>
      </c>
      <c r="J214">
        <v>7</v>
      </c>
      <c r="K214">
        <v>6</v>
      </c>
      <c r="L214">
        <v>0</v>
      </c>
      <c r="M214">
        <v>0</v>
      </c>
      <c r="N214">
        <v>0</v>
      </c>
      <c r="O214">
        <v>0</v>
      </c>
      <c r="P214">
        <v>4</v>
      </c>
      <c r="Q214">
        <v>0</v>
      </c>
      <c r="R214">
        <v>0</v>
      </c>
      <c r="S214">
        <v>0</v>
      </c>
      <c r="T214">
        <v>0</v>
      </c>
      <c r="U214">
        <v>3</v>
      </c>
      <c r="V214">
        <v>1</v>
      </c>
      <c r="W214">
        <v>13</v>
      </c>
      <c r="X214">
        <v>1107.3800000000001</v>
      </c>
      <c r="Y214">
        <v>1250.3800000000001</v>
      </c>
      <c r="Z214">
        <f>AVERAGEIFS(Table1[FinalElo], Table1[Country], Table1[[#This Row],[Country]])</f>
        <v>998.29391304347814</v>
      </c>
      <c r="AA214" cm="1">
        <f t="array" ref="AA214">IF(COUNTIFS(Table1[Country],Table1[[#This Row],[Country]])=1,0, _xlfn.STDEV.S(IF(Table1[Country]=Table1[[#This Row],[Country]],Table1[FinalElo])))</f>
        <v>125.31531828802386</v>
      </c>
      <c r="AB214">
        <f>IF(Table1[[#This Row],[CStd]]=0,0, (Table1[[#This Row],[FinalElo]]-Table1[[#This Row],[CAvg]]) / Table1[[#This Row],[CStd]])</f>
        <v>0.87049283716296566</v>
      </c>
      <c r="AC214" t="str">
        <f>IF(Table1[[#This Row],[CStd]]=0,"Normal", IF(ABS(Table1[[#This Row],[CZscore]])&gt;2,"Outlier","Normal"))</f>
        <v>Normal</v>
      </c>
    </row>
    <row r="215" spans="1:29" x14ac:dyDescent="0.35">
      <c r="A215" t="s">
        <v>2355</v>
      </c>
      <c r="B215">
        <v>56.245407999999998</v>
      </c>
      <c r="C215">
        <v>175</v>
      </c>
      <c r="D215" t="s">
        <v>89</v>
      </c>
      <c r="E215">
        <v>17</v>
      </c>
      <c r="F215" t="s">
        <v>1860</v>
      </c>
      <c r="G215" t="s">
        <v>34</v>
      </c>
      <c r="H215" t="s">
        <v>29</v>
      </c>
      <c r="I215" t="s">
        <v>36</v>
      </c>
      <c r="J215">
        <v>0</v>
      </c>
      <c r="K215">
        <v>1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1</v>
      </c>
      <c r="X215">
        <v>908.04</v>
      </c>
      <c r="Y215">
        <v>1000</v>
      </c>
      <c r="Z215">
        <f>AVERAGEIFS(Table1[FinalElo], Table1[Country], Table1[[#This Row],[Country]])</f>
        <v>1012.0629025423733</v>
      </c>
      <c r="AA215" cm="1">
        <f t="array" ref="AA215">IF(COUNTIFS(Table1[Country],Table1[[#This Row],[Country]])=1,0, _xlfn.STDEV.S(IF(Table1[Country]=Table1[[#This Row],[Country]],Table1[FinalElo])))</f>
        <v>148.42180446198614</v>
      </c>
      <c r="AB215">
        <f>IF(Table1[[#This Row],[CStd]]=0,0, (Table1[[#This Row],[FinalElo]]-Table1[[#This Row],[CAvg]]) / Table1[[#This Row],[CStd]])</f>
        <v>-0.70085997754471274</v>
      </c>
      <c r="AC215" t="str">
        <f>IF(Table1[[#This Row],[CStd]]=0,"Normal", IF(ABS(Table1[[#This Row],[CZscore]])&gt;2,"Outlier","Normal"))</f>
        <v>Normal</v>
      </c>
    </row>
    <row r="216" spans="1:29" x14ac:dyDescent="0.35">
      <c r="A216" t="s">
        <v>2353</v>
      </c>
      <c r="B216">
        <v>56.4</v>
      </c>
      <c r="C216">
        <v>169</v>
      </c>
      <c r="D216" t="s">
        <v>1366</v>
      </c>
      <c r="E216">
        <v>18</v>
      </c>
      <c r="F216" t="s">
        <v>2354</v>
      </c>
      <c r="G216" t="s">
        <v>34</v>
      </c>
      <c r="H216" t="s">
        <v>29</v>
      </c>
      <c r="I216" t="s">
        <v>36</v>
      </c>
      <c r="J216">
        <v>2</v>
      </c>
      <c r="K216">
        <v>2</v>
      </c>
      <c r="L216">
        <v>0</v>
      </c>
      <c r="M216">
        <v>0</v>
      </c>
      <c r="N216">
        <v>0</v>
      </c>
      <c r="O216">
        <v>0</v>
      </c>
      <c r="P216">
        <v>2</v>
      </c>
      <c r="Q216">
        <v>0</v>
      </c>
      <c r="R216">
        <v>0</v>
      </c>
      <c r="S216">
        <v>0</v>
      </c>
      <c r="T216">
        <v>0</v>
      </c>
      <c r="U216">
        <v>1</v>
      </c>
      <c r="V216">
        <v>0</v>
      </c>
      <c r="W216">
        <v>4</v>
      </c>
      <c r="X216">
        <v>925.61</v>
      </c>
      <c r="Y216">
        <v>1195.6600000000001</v>
      </c>
      <c r="Z216">
        <f>AVERAGEIFS(Table1[FinalElo], Table1[Country], Table1[[#This Row],[Country]])</f>
        <v>956.19333333333327</v>
      </c>
      <c r="AA216" cm="1">
        <f t="array" ref="AA216">IF(COUNTIFS(Table1[Country],Table1[[#This Row],[Country]])=1,0, _xlfn.STDEV.S(IF(Table1[Country]=Table1[[#This Row],[Country]],Table1[FinalElo])))</f>
        <v>95.923712266571499</v>
      </c>
      <c r="AB216">
        <f>IF(Table1[[#This Row],[CStd]]=0,0, (Table1[[#This Row],[FinalElo]]-Table1[[#This Row],[CAvg]]) / Table1[[#This Row],[CStd]])</f>
        <v>-0.31882975137932873</v>
      </c>
      <c r="AC216" t="str">
        <f>IF(Table1[[#This Row],[CStd]]=0,"Normal", IF(ABS(Table1[[#This Row],[CZscore]])&gt;2,"Outlier","Normal"))</f>
        <v>Normal</v>
      </c>
    </row>
    <row r="217" spans="1:29" x14ac:dyDescent="0.35">
      <c r="A217" t="s">
        <v>2352</v>
      </c>
      <c r="B217">
        <v>60.1</v>
      </c>
      <c r="C217">
        <v>170</v>
      </c>
      <c r="D217" t="s">
        <v>89</v>
      </c>
      <c r="E217">
        <v>22</v>
      </c>
      <c r="F217" t="s">
        <v>653</v>
      </c>
      <c r="G217" t="s">
        <v>34</v>
      </c>
      <c r="H217" t="s">
        <v>29</v>
      </c>
      <c r="I217" t="s">
        <v>58</v>
      </c>
      <c r="J217">
        <v>2</v>
      </c>
      <c r="K217">
        <v>4</v>
      </c>
      <c r="L217">
        <v>0</v>
      </c>
      <c r="M217">
        <v>1</v>
      </c>
      <c r="N217">
        <v>0</v>
      </c>
      <c r="O217">
        <v>0</v>
      </c>
      <c r="P217">
        <v>1</v>
      </c>
      <c r="Q217">
        <v>0</v>
      </c>
      <c r="R217">
        <v>0</v>
      </c>
      <c r="S217">
        <v>0</v>
      </c>
      <c r="T217">
        <v>0</v>
      </c>
      <c r="U217">
        <v>1</v>
      </c>
      <c r="V217">
        <v>1</v>
      </c>
      <c r="W217">
        <v>6</v>
      </c>
      <c r="X217">
        <v>923.94</v>
      </c>
      <c r="Y217">
        <v>1033.58</v>
      </c>
      <c r="Z217">
        <f>AVERAGEIFS(Table1[FinalElo], Table1[Country], Table1[[#This Row],[Country]])</f>
        <v>1012.0629025423733</v>
      </c>
      <c r="AA217" cm="1">
        <f t="array" ref="AA217">IF(COUNTIFS(Table1[Country],Table1[[#This Row],[Country]])=1,0, _xlfn.STDEV.S(IF(Table1[Country]=Table1[[#This Row],[Country]],Table1[FinalElo])))</f>
        <v>148.42180446198614</v>
      </c>
      <c r="AB217">
        <f>IF(Table1[[#This Row],[CStd]]=0,0, (Table1[[#This Row],[FinalElo]]-Table1[[#This Row],[CAvg]]) / Table1[[#This Row],[CStd]])</f>
        <v>-0.5937328606252279</v>
      </c>
      <c r="AC217" t="str">
        <f>IF(Table1[[#This Row],[CStd]]=0,"Normal", IF(ABS(Table1[[#This Row],[CZscore]])&gt;2,"Outlier","Normal"))</f>
        <v>Normal</v>
      </c>
    </row>
    <row r="218" spans="1:29" x14ac:dyDescent="0.35">
      <c r="A218" t="s">
        <v>2351</v>
      </c>
      <c r="B218">
        <v>52.616672000000001</v>
      </c>
      <c r="C218">
        <v>156</v>
      </c>
      <c r="D218" t="s">
        <v>89</v>
      </c>
      <c r="E218">
        <v>24</v>
      </c>
      <c r="F218" t="s">
        <v>1974</v>
      </c>
      <c r="G218" t="s">
        <v>34</v>
      </c>
      <c r="H218" t="s">
        <v>29</v>
      </c>
      <c r="I218" t="s">
        <v>36</v>
      </c>
      <c r="J218">
        <v>9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5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9</v>
      </c>
      <c r="X218">
        <v>1559.68</v>
      </c>
      <c r="Y218">
        <v>1559.68</v>
      </c>
      <c r="Z218">
        <f>AVERAGEIFS(Table1[FinalElo], Table1[Country], Table1[[#This Row],[Country]])</f>
        <v>1012.0629025423733</v>
      </c>
      <c r="AA218" cm="1">
        <f t="array" ref="AA218">IF(COUNTIFS(Table1[Country],Table1[[#This Row],[Country]])=1,0, _xlfn.STDEV.S(IF(Table1[Country]=Table1[[#This Row],[Country]],Table1[FinalElo])))</f>
        <v>148.42180446198614</v>
      </c>
      <c r="AB218">
        <f>IF(Table1[[#This Row],[CStd]]=0,0, (Table1[[#This Row],[FinalElo]]-Table1[[#This Row],[CAvg]]) / Table1[[#This Row],[CStd]])</f>
        <v>3.6896000519780952</v>
      </c>
      <c r="AC218" t="str">
        <f>IF(Table1[[#This Row],[CStd]]=0,"Normal", IF(ABS(Table1[[#This Row],[CZscore]])&gt;2,"Outlier","Normal"))</f>
        <v>Outlier</v>
      </c>
    </row>
    <row r="219" spans="1:29" x14ac:dyDescent="0.35">
      <c r="A219" t="s">
        <v>2349</v>
      </c>
      <c r="B219">
        <v>63</v>
      </c>
      <c r="C219">
        <v>176</v>
      </c>
      <c r="D219" t="s">
        <v>116</v>
      </c>
      <c r="E219">
        <v>35</v>
      </c>
      <c r="F219" t="s">
        <v>2350</v>
      </c>
      <c r="G219" t="s">
        <v>28</v>
      </c>
      <c r="H219" t="s">
        <v>29</v>
      </c>
      <c r="I219" t="s">
        <v>73</v>
      </c>
      <c r="J219">
        <v>0</v>
      </c>
      <c r="K219">
        <v>1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1</v>
      </c>
      <c r="X219">
        <v>900</v>
      </c>
      <c r="Y219">
        <v>1000</v>
      </c>
      <c r="Z219">
        <f>AVERAGEIFS(Table1[FinalElo], Table1[Country], Table1[[#This Row],[Country]])</f>
        <v>980.88090909090931</v>
      </c>
      <c r="AA219" cm="1">
        <f t="array" ref="AA219">IF(COUNTIFS(Table1[Country],Table1[[#This Row],[Country]])=1,0, _xlfn.STDEV.S(IF(Table1[Country]=Table1[[#This Row],[Country]],Table1[FinalElo])))</f>
        <v>133.41794796376408</v>
      </c>
      <c r="AB219">
        <f>IF(Table1[[#This Row],[CStd]]=0,0, (Table1[[#This Row],[FinalElo]]-Table1[[#This Row],[CAvg]]) / Table1[[#This Row],[CStd]])</f>
        <v>-0.60622210373731977</v>
      </c>
      <c r="AC219" t="str">
        <f>IF(Table1[[#This Row],[CStd]]=0,"Normal", IF(ABS(Table1[[#This Row],[CZscore]])&gt;2,"Outlier","Normal"))</f>
        <v>Normal</v>
      </c>
    </row>
    <row r="220" spans="1:29" x14ac:dyDescent="0.35">
      <c r="A220" t="s">
        <v>1649</v>
      </c>
      <c r="B220">
        <v>64.900000000000006</v>
      </c>
      <c r="C220">
        <v>172</v>
      </c>
      <c r="D220" t="s">
        <v>513</v>
      </c>
      <c r="E220">
        <v>33</v>
      </c>
      <c r="F220" t="s">
        <v>1650</v>
      </c>
      <c r="G220" t="s">
        <v>40</v>
      </c>
      <c r="H220" t="s">
        <v>29</v>
      </c>
      <c r="I220" t="s">
        <v>73</v>
      </c>
      <c r="J220">
        <v>4</v>
      </c>
      <c r="K220">
        <v>3</v>
      </c>
      <c r="L220">
        <v>0</v>
      </c>
      <c r="M220">
        <v>0</v>
      </c>
      <c r="N220">
        <v>2</v>
      </c>
      <c r="O220">
        <v>0</v>
      </c>
      <c r="P220">
        <v>2</v>
      </c>
      <c r="Q220">
        <v>0</v>
      </c>
      <c r="R220">
        <v>1</v>
      </c>
      <c r="S220">
        <v>0</v>
      </c>
      <c r="T220">
        <v>0</v>
      </c>
      <c r="U220">
        <v>2</v>
      </c>
      <c r="V220">
        <v>0</v>
      </c>
      <c r="W220">
        <v>7</v>
      </c>
      <c r="X220">
        <v>1127.54</v>
      </c>
      <c r="Y220">
        <v>1234.5899999999999</v>
      </c>
      <c r="Z220">
        <f>AVERAGEIFS(Table1[FinalElo], Table1[Country], Table1[[#This Row],[Country]])</f>
        <v>991.92857142857144</v>
      </c>
      <c r="AA220" cm="1">
        <f t="array" ref="AA220">IF(COUNTIFS(Table1[Country],Table1[[#This Row],[Country]])=1,0, _xlfn.STDEV.S(IF(Table1[Country]=Table1[[#This Row],[Country]],Table1[FinalElo])))</f>
        <v>154.84924955929111</v>
      </c>
      <c r="AB220">
        <f>IF(Table1[[#This Row],[CStd]]=0,0, (Table1[[#This Row],[FinalElo]]-Table1[[#This Row],[CAvg]]) / Table1[[#This Row],[CStd]])</f>
        <v>0.87576419619330148</v>
      </c>
      <c r="AC220" t="str">
        <f>IF(Table1[[#This Row],[CStd]]=0,"Normal", IF(ABS(Table1[[#This Row],[CZscore]])&gt;2,"Outlier","Normal"))</f>
        <v>Normal</v>
      </c>
    </row>
    <row r="221" spans="1:29" x14ac:dyDescent="0.35">
      <c r="A221" t="s">
        <v>2347</v>
      </c>
      <c r="B221">
        <v>61.2</v>
      </c>
      <c r="C221">
        <v>174</v>
      </c>
      <c r="D221" t="s">
        <v>116</v>
      </c>
      <c r="E221">
        <v>28</v>
      </c>
      <c r="F221" t="s">
        <v>2348</v>
      </c>
      <c r="G221" t="s">
        <v>28</v>
      </c>
      <c r="H221" t="s">
        <v>29</v>
      </c>
      <c r="I221" t="s">
        <v>58</v>
      </c>
      <c r="J221">
        <v>0</v>
      </c>
      <c r="K221">
        <v>1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1</v>
      </c>
      <c r="V221">
        <v>0</v>
      </c>
      <c r="W221">
        <v>1</v>
      </c>
      <c r="X221">
        <v>900</v>
      </c>
      <c r="Y221">
        <v>1000</v>
      </c>
      <c r="Z221">
        <f>AVERAGEIFS(Table1[FinalElo], Table1[Country], Table1[[#This Row],[Country]])</f>
        <v>980.88090909090931</v>
      </c>
      <c r="AA221" cm="1">
        <f t="array" ref="AA221">IF(COUNTIFS(Table1[Country],Table1[[#This Row],[Country]])=1,0, _xlfn.STDEV.S(IF(Table1[Country]=Table1[[#This Row],[Country]],Table1[FinalElo])))</f>
        <v>133.41794796376408</v>
      </c>
      <c r="AB221">
        <f>IF(Table1[[#This Row],[CStd]]=0,0, (Table1[[#This Row],[FinalElo]]-Table1[[#This Row],[CAvg]]) / Table1[[#This Row],[CStd]])</f>
        <v>-0.60622210373731977</v>
      </c>
      <c r="AC221" t="str">
        <f>IF(Table1[[#This Row],[CStd]]=0,"Normal", IF(ABS(Table1[[#This Row],[CZscore]])&gt;2,"Outlier","Normal"))</f>
        <v>Normal</v>
      </c>
    </row>
    <row r="222" spans="1:29" x14ac:dyDescent="0.35">
      <c r="A222" t="s">
        <v>2346</v>
      </c>
      <c r="B222">
        <v>64.410064000000006</v>
      </c>
      <c r="C222">
        <v>178</v>
      </c>
      <c r="D222" t="s">
        <v>247</v>
      </c>
      <c r="E222">
        <v>29</v>
      </c>
      <c r="F222" t="s">
        <v>87</v>
      </c>
      <c r="G222" t="s">
        <v>34</v>
      </c>
      <c r="H222" t="s">
        <v>29</v>
      </c>
      <c r="I222" t="s">
        <v>73</v>
      </c>
      <c r="J222">
        <v>6</v>
      </c>
      <c r="K222">
        <v>4</v>
      </c>
      <c r="L222">
        <v>0</v>
      </c>
      <c r="M222">
        <v>1</v>
      </c>
      <c r="N222">
        <v>0</v>
      </c>
      <c r="O222">
        <v>0</v>
      </c>
      <c r="P222">
        <v>2</v>
      </c>
      <c r="Q222">
        <v>0</v>
      </c>
      <c r="R222">
        <v>0</v>
      </c>
      <c r="S222">
        <v>0</v>
      </c>
      <c r="T222">
        <v>0</v>
      </c>
      <c r="U222">
        <v>3</v>
      </c>
      <c r="V222">
        <v>0</v>
      </c>
      <c r="W222">
        <v>10</v>
      </c>
      <c r="X222">
        <v>1047.28</v>
      </c>
      <c r="Y222">
        <v>1168.01</v>
      </c>
      <c r="Z222">
        <f>AVERAGEIFS(Table1[FinalElo], Table1[Country], Table1[[#This Row],[Country]])</f>
        <v>1050.0176190476191</v>
      </c>
      <c r="AA222" cm="1">
        <f t="array" ref="AA222">IF(COUNTIFS(Table1[Country],Table1[[#This Row],[Country]])=1,0, _xlfn.STDEV.S(IF(Table1[Country]=Table1[[#This Row],[Country]],Table1[FinalElo])))</f>
        <v>127.00578096703971</v>
      </c>
      <c r="AB222">
        <f>IF(Table1[[#This Row],[CStd]]=0,0, (Table1[[#This Row],[FinalElo]]-Table1[[#This Row],[CAvg]]) / Table1[[#This Row],[CStd]])</f>
        <v>-2.1555074318463919E-2</v>
      </c>
      <c r="AC222" t="str">
        <f>IF(Table1[[#This Row],[CStd]]=0,"Normal", IF(ABS(Table1[[#This Row],[CZscore]])&gt;2,"Outlier","Normal"))</f>
        <v>Normal</v>
      </c>
    </row>
    <row r="223" spans="1:29" x14ac:dyDescent="0.35">
      <c r="A223" t="s">
        <v>2345</v>
      </c>
      <c r="B223">
        <v>56.7</v>
      </c>
      <c r="C223">
        <v>179</v>
      </c>
      <c r="D223" t="s">
        <v>82</v>
      </c>
      <c r="E223">
        <v>29</v>
      </c>
      <c r="F223" t="s">
        <v>986</v>
      </c>
      <c r="G223" t="s">
        <v>34</v>
      </c>
      <c r="H223" t="s">
        <v>29</v>
      </c>
      <c r="I223" t="s">
        <v>58</v>
      </c>
      <c r="J223">
        <v>0</v>
      </c>
      <c r="K223">
        <v>2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1</v>
      </c>
      <c r="V223">
        <v>0</v>
      </c>
      <c r="W223">
        <v>2</v>
      </c>
      <c r="X223">
        <v>814.26</v>
      </c>
      <c r="Y223">
        <v>1000</v>
      </c>
      <c r="Z223">
        <f>AVERAGEIFS(Table1[FinalElo], Table1[Country], Table1[[#This Row],[Country]])</f>
        <v>1012.5275373134326</v>
      </c>
      <c r="AA223" cm="1">
        <f t="array" ref="AA223">IF(COUNTIFS(Table1[Country],Table1[[#This Row],[Country]])=1,0, _xlfn.STDEV.S(IF(Table1[Country]=Table1[[#This Row],[Country]],Table1[FinalElo])))</f>
        <v>135.61062237674741</v>
      </c>
      <c r="AB223">
        <f>IF(Table1[[#This Row],[CStd]]=0,0, (Table1[[#This Row],[FinalElo]]-Table1[[#This Row],[CAvg]]) / Table1[[#This Row],[CStd]])</f>
        <v>-1.4620354500152248</v>
      </c>
      <c r="AC223" t="str">
        <f>IF(Table1[[#This Row],[CStd]]=0,"Normal", IF(ABS(Table1[[#This Row],[CZscore]])&gt;2,"Outlier","Normal"))</f>
        <v>Normal</v>
      </c>
    </row>
    <row r="224" spans="1:29" x14ac:dyDescent="0.35">
      <c r="A224" t="s">
        <v>2343</v>
      </c>
      <c r="B224">
        <v>57.7</v>
      </c>
      <c r="C224">
        <v>165</v>
      </c>
      <c r="D224" t="s">
        <v>396</v>
      </c>
      <c r="E224">
        <v>23</v>
      </c>
      <c r="F224" t="s">
        <v>2344</v>
      </c>
      <c r="G224" t="s">
        <v>34</v>
      </c>
      <c r="H224" t="s">
        <v>29</v>
      </c>
      <c r="I224" t="s">
        <v>58</v>
      </c>
      <c r="J224">
        <v>0</v>
      </c>
      <c r="K224">
        <v>1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1</v>
      </c>
      <c r="V224">
        <v>0</v>
      </c>
      <c r="W224">
        <v>1</v>
      </c>
      <c r="X224">
        <v>865.91</v>
      </c>
      <c r="Y224">
        <v>1000</v>
      </c>
      <c r="Z224">
        <f>AVERAGEIFS(Table1[FinalElo], Table1[Country], Table1[[#This Row],[Country]])</f>
        <v>998.29391304347814</v>
      </c>
      <c r="AA224" cm="1">
        <f t="array" ref="AA224">IF(COUNTIFS(Table1[Country],Table1[[#This Row],[Country]])=1,0, _xlfn.STDEV.S(IF(Table1[Country]=Table1[[#This Row],[Country]],Table1[FinalElo])))</f>
        <v>125.31531828802386</v>
      </c>
      <c r="AB224">
        <f>IF(Table1[[#This Row],[CStd]]=0,0, (Table1[[#This Row],[FinalElo]]-Table1[[#This Row],[CAvg]]) / Table1[[#This Row],[CStd]])</f>
        <v>-1.0564064701109237</v>
      </c>
      <c r="AC224" t="str">
        <f>IF(Table1[[#This Row],[CStd]]=0,"Normal", IF(ABS(Table1[[#This Row],[CZscore]])&gt;2,"Outlier","Normal"))</f>
        <v>Normal</v>
      </c>
    </row>
    <row r="225" spans="1:29" x14ac:dyDescent="0.35">
      <c r="A225" t="s">
        <v>2341</v>
      </c>
      <c r="B225">
        <v>65.5</v>
      </c>
      <c r="C225">
        <v>171</v>
      </c>
      <c r="D225" t="s">
        <v>396</v>
      </c>
      <c r="E225">
        <v>33</v>
      </c>
      <c r="F225" t="s">
        <v>2342</v>
      </c>
      <c r="G225" t="s">
        <v>34</v>
      </c>
      <c r="H225" t="s">
        <v>29</v>
      </c>
      <c r="I225" t="s">
        <v>73</v>
      </c>
      <c r="J225">
        <v>3</v>
      </c>
      <c r="K225">
        <v>3</v>
      </c>
      <c r="L225">
        <v>0</v>
      </c>
      <c r="M225">
        <v>1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3</v>
      </c>
      <c r="V225">
        <v>0</v>
      </c>
      <c r="W225">
        <v>6</v>
      </c>
      <c r="X225">
        <v>1015.64</v>
      </c>
      <c r="Y225">
        <v>1215.3900000000001</v>
      </c>
      <c r="Z225">
        <f>AVERAGEIFS(Table1[FinalElo], Table1[Country], Table1[[#This Row],[Country]])</f>
        <v>998.29391304347814</v>
      </c>
      <c r="AA225" cm="1">
        <f t="array" ref="AA225">IF(COUNTIFS(Table1[Country],Table1[[#This Row],[Country]])=1,0, _xlfn.STDEV.S(IF(Table1[Country]=Table1[[#This Row],[Country]],Table1[FinalElo])))</f>
        <v>125.31531828802386</v>
      </c>
      <c r="AB225">
        <f>IF(Table1[[#This Row],[CStd]]=0,0, (Table1[[#This Row],[FinalElo]]-Table1[[#This Row],[CAvg]]) / Table1[[#This Row],[CStd]])</f>
        <v>0.13841952598846471</v>
      </c>
      <c r="AC225" t="str">
        <f>IF(Table1[[#This Row],[CStd]]=0,"Normal", IF(ABS(Table1[[#This Row],[CZscore]])&gt;2,"Outlier","Normal"))</f>
        <v>Normal</v>
      </c>
    </row>
    <row r="226" spans="1:29" x14ac:dyDescent="0.35">
      <c r="A226" t="s">
        <v>2339</v>
      </c>
      <c r="B226">
        <v>52.2</v>
      </c>
      <c r="C226">
        <v>158</v>
      </c>
      <c r="D226" t="s">
        <v>513</v>
      </c>
      <c r="E226">
        <v>30</v>
      </c>
      <c r="F226" t="s">
        <v>2340</v>
      </c>
      <c r="G226" t="s">
        <v>40</v>
      </c>
      <c r="H226" t="s">
        <v>29</v>
      </c>
      <c r="I226" t="s">
        <v>36</v>
      </c>
      <c r="J226">
        <v>4</v>
      </c>
      <c r="K226">
        <v>0</v>
      </c>
      <c r="L226">
        <v>0</v>
      </c>
      <c r="M226">
        <v>0</v>
      </c>
      <c r="N226">
        <v>2</v>
      </c>
      <c r="O226">
        <v>0</v>
      </c>
      <c r="P226">
        <v>2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4</v>
      </c>
      <c r="X226">
        <v>1291.3699999999999</v>
      </c>
      <c r="Y226">
        <v>1291.3699999999999</v>
      </c>
      <c r="Z226">
        <f>AVERAGEIFS(Table1[FinalElo], Table1[Country], Table1[[#This Row],[Country]])</f>
        <v>991.92857142857144</v>
      </c>
      <c r="AA226" cm="1">
        <f t="array" ref="AA226">IF(COUNTIFS(Table1[Country],Table1[[#This Row],[Country]])=1,0, _xlfn.STDEV.S(IF(Table1[Country]=Table1[[#This Row],[Country]],Table1[FinalElo])))</f>
        <v>154.84924955929111</v>
      </c>
      <c r="AB226">
        <f>IF(Table1[[#This Row],[CStd]]=0,0, (Table1[[#This Row],[FinalElo]]-Table1[[#This Row],[CAvg]]) / Table1[[#This Row],[CStd]])</f>
        <v>1.9337609282812418</v>
      </c>
      <c r="AC226" t="str">
        <f>IF(Table1[[#This Row],[CStd]]=0,"Normal", IF(ABS(Table1[[#This Row],[CZscore]])&gt;2,"Outlier","Normal"))</f>
        <v>Normal</v>
      </c>
    </row>
    <row r="227" spans="1:29" x14ac:dyDescent="0.35">
      <c r="A227" t="s">
        <v>2338</v>
      </c>
      <c r="B227">
        <v>63.502879999999998</v>
      </c>
      <c r="C227">
        <v>167</v>
      </c>
      <c r="D227" t="s">
        <v>89</v>
      </c>
      <c r="E227">
        <v>27</v>
      </c>
      <c r="F227" t="s">
        <v>104</v>
      </c>
      <c r="G227" t="s">
        <v>34</v>
      </c>
      <c r="H227" t="s">
        <v>29</v>
      </c>
      <c r="I227" t="s">
        <v>73</v>
      </c>
      <c r="J227">
        <v>0</v>
      </c>
      <c r="K227">
        <v>1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1</v>
      </c>
      <c r="X227">
        <v>871.99</v>
      </c>
      <c r="Y227">
        <v>1000</v>
      </c>
      <c r="Z227">
        <f>AVERAGEIFS(Table1[FinalElo], Table1[Country], Table1[[#This Row],[Country]])</f>
        <v>1012.0629025423733</v>
      </c>
      <c r="AA227" cm="1">
        <f t="array" ref="AA227">IF(COUNTIFS(Table1[Country],Table1[[#This Row],[Country]])=1,0, _xlfn.STDEV.S(IF(Table1[Country]=Table1[[#This Row],[Country]],Table1[FinalElo])))</f>
        <v>148.42180446198614</v>
      </c>
      <c r="AB227">
        <f>IF(Table1[[#This Row],[CStd]]=0,0, (Table1[[#This Row],[FinalElo]]-Table1[[#This Row],[CAvg]]) / Table1[[#This Row],[CStd]])</f>
        <v>-0.94374881810744216</v>
      </c>
      <c r="AC227" t="str">
        <f>IF(Table1[[#This Row],[CStd]]=0,"Normal", IF(ABS(Table1[[#This Row],[CZscore]])&gt;2,"Outlier","Normal"))</f>
        <v>Normal</v>
      </c>
    </row>
    <row r="228" spans="1:29" x14ac:dyDescent="0.35">
      <c r="A228" t="s">
        <v>2337</v>
      </c>
      <c r="B228">
        <v>63</v>
      </c>
      <c r="C228">
        <v>170</v>
      </c>
      <c r="D228" t="s">
        <v>89</v>
      </c>
      <c r="E228">
        <v>25</v>
      </c>
      <c r="F228" t="s">
        <v>99</v>
      </c>
      <c r="G228" t="s">
        <v>34</v>
      </c>
      <c r="H228" t="s">
        <v>29</v>
      </c>
      <c r="I228" t="s">
        <v>73</v>
      </c>
      <c r="J228">
        <v>2</v>
      </c>
      <c r="K228">
        <v>1</v>
      </c>
      <c r="L228">
        <v>0</v>
      </c>
      <c r="M228">
        <v>0</v>
      </c>
      <c r="N228">
        <v>0</v>
      </c>
      <c r="O228">
        <v>0</v>
      </c>
      <c r="P228">
        <v>2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1</v>
      </c>
      <c r="W228">
        <v>3</v>
      </c>
      <c r="X228">
        <v>1011.61</v>
      </c>
      <c r="Y228">
        <v>1152.4100000000001</v>
      </c>
      <c r="Z228">
        <f>AVERAGEIFS(Table1[FinalElo], Table1[Country], Table1[[#This Row],[Country]])</f>
        <v>1012.0629025423733</v>
      </c>
      <c r="AA228" cm="1">
        <f t="array" ref="AA228">IF(COUNTIFS(Table1[Country],Table1[[#This Row],[Country]])=1,0, _xlfn.STDEV.S(IF(Table1[Country]=Table1[[#This Row],[Country]],Table1[FinalElo])))</f>
        <v>148.42180446198614</v>
      </c>
      <c r="AB228">
        <f>IF(Table1[[#This Row],[CStd]]=0,0, (Table1[[#This Row],[FinalElo]]-Table1[[#This Row],[CAvg]]) / Table1[[#This Row],[CStd]])</f>
        <v>-3.0514555729531791E-3</v>
      </c>
      <c r="AC228" t="str">
        <f>IF(Table1[[#This Row],[CStd]]=0,"Normal", IF(ABS(Table1[[#This Row],[CZscore]])&gt;2,"Outlier","Normal"))</f>
        <v>Normal</v>
      </c>
    </row>
    <row r="229" spans="1:29" hidden="1" x14ac:dyDescent="0.35">
      <c r="A229" t="s">
        <v>505</v>
      </c>
      <c r="B229">
        <v>56.7</v>
      </c>
      <c r="C229">
        <v>168</v>
      </c>
      <c r="D229" t="s">
        <v>278</v>
      </c>
      <c r="E229">
        <v>27</v>
      </c>
      <c r="F229" t="s">
        <v>90</v>
      </c>
      <c r="G229" t="s">
        <v>34</v>
      </c>
      <c r="I229" t="s">
        <v>58</v>
      </c>
      <c r="J229">
        <v>0</v>
      </c>
      <c r="K229">
        <v>1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1</v>
      </c>
      <c r="X229">
        <v>900</v>
      </c>
      <c r="Y229">
        <v>1000</v>
      </c>
      <c r="Z229">
        <f>AVERAGEIFS(Table1[FinalElo], Table1[Country], Table1[[#This Row],[Country]])</f>
        <v>1014.0250000000001</v>
      </c>
      <c r="AA229" cm="1">
        <f t="array" ref="AA229">IF(COUNTIFS(Table1[Country],Table1[[#This Row],[Country]])=1,0, _xlfn.STDEV.S(IF(Table1[Country]=Table1[[#This Row],[Country]],Table1[FinalElo])))</f>
        <v>234.33829911760722</v>
      </c>
      <c r="AB229">
        <f>IF(Table1[[#This Row],[CStd]]=0,0, (Table1[[#This Row],[FinalElo]]-Table1[[#This Row],[CAvg]]) / Table1[[#This Row],[CStd]])</f>
        <v>-0.4865828608868345</v>
      </c>
      <c r="AC229" t="str">
        <f>IF(Table1[[#This Row],[CStd]]=0,"Normal", IF(ABS(Table1[[#This Row],[CZscore]])&gt;2,"Outlier","Normal"))</f>
        <v>Normal</v>
      </c>
    </row>
    <row r="230" spans="1:29" x14ac:dyDescent="0.35">
      <c r="A230" t="s">
        <v>2336</v>
      </c>
      <c r="B230">
        <v>55.791815999999997</v>
      </c>
      <c r="C230">
        <v>173</v>
      </c>
      <c r="D230" t="s">
        <v>89</v>
      </c>
      <c r="E230">
        <v>21</v>
      </c>
      <c r="F230" t="s">
        <v>154</v>
      </c>
      <c r="G230" t="s">
        <v>34</v>
      </c>
      <c r="H230" t="s">
        <v>29</v>
      </c>
      <c r="I230" t="s">
        <v>36</v>
      </c>
      <c r="J230">
        <v>0</v>
      </c>
      <c r="K230">
        <v>1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1</v>
      </c>
      <c r="S230">
        <v>0</v>
      </c>
      <c r="T230">
        <v>0</v>
      </c>
      <c r="U230">
        <v>0</v>
      </c>
      <c r="V230">
        <v>0</v>
      </c>
      <c r="W230">
        <v>1</v>
      </c>
      <c r="X230">
        <v>900</v>
      </c>
      <c r="Y230">
        <v>1000</v>
      </c>
      <c r="Z230">
        <f>AVERAGEIFS(Table1[FinalElo], Table1[Country], Table1[[#This Row],[Country]])</f>
        <v>1012.0629025423733</v>
      </c>
      <c r="AA230" cm="1">
        <f t="array" ref="AA230">IF(COUNTIFS(Table1[Country],Table1[[#This Row],[Country]])=1,0, _xlfn.STDEV.S(IF(Table1[Country]=Table1[[#This Row],[Country]],Table1[FinalElo])))</f>
        <v>148.42180446198614</v>
      </c>
      <c r="AB230">
        <f>IF(Table1[[#This Row],[CStd]]=0,0, (Table1[[#This Row],[FinalElo]]-Table1[[#This Row],[CAvg]]) / Table1[[#This Row],[CStd]])</f>
        <v>-0.75502991591154589</v>
      </c>
      <c r="AC230" t="str">
        <f>IF(Table1[[#This Row],[CStd]]=0,"Normal", IF(ABS(Table1[[#This Row],[CZscore]])&gt;2,"Outlier","Normal"))</f>
        <v>Normal</v>
      </c>
    </row>
    <row r="231" spans="1:29" x14ac:dyDescent="0.35">
      <c r="A231" t="s">
        <v>2334</v>
      </c>
      <c r="B231">
        <v>70.3</v>
      </c>
      <c r="C231">
        <v>174</v>
      </c>
      <c r="D231" t="s">
        <v>89</v>
      </c>
      <c r="E231">
        <v>33</v>
      </c>
      <c r="F231" t="s">
        <v>2335</v>
      </c>
      <c r="G231" t="s">
        <v>34</v>
      </c>
      <c r="H231" t="s">
        <v>29</v>
      </c>
      <c r="I231" t="s">
        <v>48</v>
      </c>
      <c r="J231">
        <v>6</v>
      </c>
      <c r="K231">
        <v>6</v>
      </c>
      <c r="L231">
        <v>0</v>
      </c>
      <c r="M231">
        <v>0</v>
      </c>
      <c r="N231">
        <v>0</v>
      </c>
      <c r="O231">
        <v>0</v>
      </c>
      <c r="P231">
        <v>4</v>
      </c>
      <c r="Q231">
        <v>2</v>
      </c>
      <c r="R231">
        <v>0</v>
      </c>
      <c r="S231">
        <v>0</v>
      </c>
      <c r="T231">
        <v>0</v>
      </c>
      <c r="U231">
        <v>4</v>
      </c>
      <c r="V231">
        <v>0</v>
      </c>
      <c r="W231">
        <v>12</v>
      </c>
      <c r="X231">
        <v>1039.3599999999999</v>
      </c>
      <c r="Y231">
        <v>1255.83</v>
      </c>
      <c r="Z231">
        <f>AVERAGEIFS(Table1[FinalElo], Table1[Country], Table1[[#This Row],[Country]])</f>
        <v>1012.0629025423733</v>
      </c>
      <c r="AA231" cm="1">
        <f t="array" ref="AA231">IF(COUNTIFS(Table1[Country],Table1[[#This Row],[Country]])=1,0, _xlfn.STDEV.S(IF(Table1[Country]=Table1[[#This Row],[Country]],Table1[FinalElo])))</f>
        <v>148.42180446198614</v>
      </c>
      <c r="AB231">
        <f>IF(Table1[[#This Row],[CStd]]=0,0, (Table1[[#This Row],[FinalElo]]-Table1[[#This Row],[CAvg]]) / Table1[[#This Row],[CStd]])</f>
        <v>0.18391568244690043</v>
      </c>
      <c r="AC231" t="str">
        <f>IF(Table1[[#This Row],[CStd]]=0,"Normal", IF(ABS(Table1[[#This Row],[CZscore]])&gt;2,"Outlier","Normal"))</f>
        <v>Normal</v>
      </c>
    </row>
    <row r="232" spans="1:29" x14ac:dyDescent="0.35">
      <c r="A232" t="s">
        <v>2332</v>
      </c>
      <c r="B232">
        <v>51.1</v>
      </c>
      <c r="C232">
        <v>163</v>
      </c>
      <c r="D232" t="s">
        <v>89</v>
      </c>
      <c r="E232">
        <v>20</v>
      </c>
      <c r="F232" t="s">
        <v>2333</v>
      </c>
      <c r="G232" t="s">
        <v>34</v>
      </c>
      <c r="H232" t="s">
        <v>29</v>
      </c>
      <c r="I232" t="s">
        <v>55</v>
      </c>
      <c r="J232">
        <v>0</v>
      </c>
      <c r="K232">
        <v>1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1</v>
      </c>
      <c r="V232">
        <v>0</v>
      </c>
      <c r="W232">
        <v>1</v>
      </c>
      <c r="X232">
        <v>900</v>
      </c>
      <c r="Y232">
        <v>1000</v>
      </c>
      <c r="Z232">
        <f>AVERAGEIFS(Table1[FinalElo], Table1[Country], Table1[[#This Row],[Country]])</f>
        <v>1012.0629025423733</v>
      </c>
      <c r="AA232" cm="1">
        <f t="array" ref="AA232">IF(COUNTIFS(Table1[Country],Table1[[#This Row],[Country]])=1,0, _xlfn.STDEV.S(IF(Table1[Country]=Table1[[#This Row],[Country]],Table1[FinalElo])))</f>
        <v>148.42180446198614</v>
      </c>
      <c r="AB232">
        <f>IF(Table1[[#This Row],[CStd]]=0,0, (Table1[[#This Row],[FinalElo]]-Table1[[#This Row],[CAvg]]) / Table1[[#This Row],[CStd]])</f>
        <v>-0.75502991591154589</v>
      </c>
      <c r="AC232" t="str">
        <f>IF(Table1[[#This Row],[CStd]]=0,"Normal", IF(ABS(Table1[[#This Row],[CZscore]])&gt;2,"Outlier","Normal"))</f>
        <v>Normal</v>
      </c>
    </row>
    <row r="233" spans="1:29" x14ac:dyDescent="0.35">
      <c r="A233" t="s">
        <v>2330</v>
      </c>
      <c r="B233">
        <v>55.3</v>
      </c>
      <c r="C233">
        <v>167</v>
      </c>
      <c r="D233" t="s">
        <v>146</v>
      </c>
      <c r="E233">
        <v>27</v>
      </c>
      <c r="F233" t="s">
        <v>2331</v>
      </c>
      <c r="G233" t="s">
        <v>34</v>
      </c>
      <c r="H233" t="s">
        <v>29</v>
      </c>
      <c r="I233" t="s">
        <v>36</v>
      </c>
      <c r="J233">
        <v>0</v>
      </c>
      <c r="K233">
        <v>1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1</v>
      </c>
      <c r="V233">
        <v>0</v>
      </c>
      <c r="W233">
        <v>1</v>
      </c>
      <c r="X233">
        <v>900</v>
      </c>
      <c r="Y233">
        <v>1000</v>
      </c>
      <c r="Z233">
        <f>AVERAGEIFS(Table1[FinalElo], Table1[Country], Table1[[#This Row],[Country]])</f>
        <v>971.46103448275846</v>
      </c>
      <c r="AA233" cm="1">
        <f t="array" ref="AA233">IF(COUNTIFS(Table1[Country],Table1[[#This Row],[Country]])=1,0, _xlfn.STDEV.S(IF(Table1[Country]=Table1[[#This Row],[Country]],Table1[FinalElo])))</f>
        <v>107.62263899334665</v>
      </c>
      <c r="AB233">
        <f>IF(Table1[[#This Row],[CStd]]=0,0, (Table1[[#This Row],[FinalElo]]-Table1[[#This Row],[CAvg]]) / Table1[[#This Row],[CStd]])</f>
        <v>-0.66399630366967921</v>
      </c>
      <c r="AC233" t="str">
        <f>IF(Table1[[#This Row],[CStd]]=0,"Normal", IF(ABS(Table1[[#This Row],[CZscore]])&gt;2,"Outlier","Normal"))</f>
        <v>Normal</v>
      </c>
    </row>
    <row r="234" spans="1:29" x14ac:dyDescent="0.35">
      <c r="A234" t="s">
        <v>2329</v>
      </c>
      <c r="B234">
        <v>58.96696</v>
      </c>
      <c r="C234">
        <v>168</v>
      </c>
      <c r="D234" t="s">
        <v>89</v>
      </c>
      <c r="E234">
        <v>22</v>
      </c>
      <c r="F234" t="s">
        <v>535</v>
      </c>
      <c r="G234" t="s">
        <v>34</v>
      </c>
      <c r="H234" t="s">
        <v>29</v>
      </c>
      <c r="I234" t="s">
        <v>58</v>
      </c>
      <c r="J234">
        <v>2</v>
      </c>
      <c r="K234">
        <v>1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1</v>
      </c>
      <c r="R234">
        <v>0</v>
      </c>
      <c r="S234">
        <v>0</v>
      </c>
      <c r="T234">
        <v>0</v>
      </c>
      <c r="U234">
        <v>1</v>
      </c>
      <c r="V234">
        <v>0</v>
      </c>
      <c r="W234">
        <v>3</v>
      </c>
      <c r="X234">
        <v>1058.94</v>
      </c>
      <c r="Y234">
        <v>1182.1600000000001</v>
      </c>
      <c r="Z234">
        <f>AVERAGEIFS(Table1[FinalElo], Table1[Country], Table1[[#This Row],[Country]])</f>
        <v>1012.0629025423733</v>
      </c>
      <c r="AA234" cm="1">
        <f t="array" ref="AA234">IF(COUNTIFS(Table1[Country],Table1[[#This Row],[Country]])=1,0, _xlfn.STDEV.S(IF(Table1[Country]=Table1[[#This Row],[Country]],Table1[FinalElo])))</f>
        <v>148.42180446198614</v>
      </c>
      <c r="AB234">
        <f>IF(Table1[[#This Row],[CStd]]=0,0, (Table1[[#This Row],[FinalElo]]-Table1[[#This Row],[CAvg]]) / Table1[[#This Row],[CStd]])</f>
        <v>0.3158370000119014</v>
      </c>
      <c r="AC234" t="str">
        <f>IF(Table1[[#This Row],[CStd]]=0,"Normal", IF(ABS(Table1[[#This Row],[CZscore]])&gt;2,"Outlier","Normal"))</f>
        <v>Normal</v>
      </c>
    </row>
    <row r="235" spans="1:29" x14ac:dyDescent="0.35">
      <c r="A235" t="s">
        <v>2328</v>
      </c>
      <c r="B235">
        <v>75.5</v>
      </c>
      <c r="C235">
        <v>182</v>
      </c>
      <c r="D235" t="s">
        <v>89</v>
      </c>
      <c r="E235">
        <v>29</v>
      </c>
      <c r="F235" t="s">
        <v>408</v>
      </c>
      <c r="G235" t="s">
        <v>28</v>
      </c>
      <c r="H235" t="s">
        <v>29</v>
      </c>
      <c r="I235" t="s">
        <v>30</v>
      </c>
      <c r="J235">
        <v>5</v>
      </c>
      <c r="K235">
        <v>5</v>
      </c>
      <c r="L235">
        <v>0</v>
      </c>
      <c r="M235">
        <v>2</v>
      </c>
      <c r="N235">
        <v>0</v>
      </c>
      <c r="O235">
        <v>0</v>
      </c>
      <c r="P235">
        <v>1</v>
      </c>
      <c r="Q235">
        <v>0</v>
      </c>
      <c r="R235">
        <v>0</v>
      </c>
      <c r="S235">
        <v>0</v>
      </c>
      <c r="T235">
        <v>0</v>
      </c>
      <c r="U235">
        <v>1</v>
      </c>
      <c r="V235">
        <v>1</v>
      </c>
      <c r="W235">
        <v>10</v>
      </c>
      <c r="X235">
        <v>1029.06</v>
      </c>
      <c r="Y235">
        <v>1274.74</v>
      </c>
      <c r="Z235">
        <f>AVERAGEIFS(Table1[FinalElo], Table1[Country], Table1[[#This Row],[Country]])</f>
        <v>1012.0629025423733</v>
      </c>
      <c r="AA235" cm="1">
        <f t="array" ref="AA235">IF(COUNTIFS(Table1[Country],Table1[[#This Row],[Country]])=1,0, _xlfn.STDEV.S(IF(Table1[Country]=Table1[[#This Row],[Country]],Table1[FinalElo])))</f>
        <v>148.42180446198614</v>
      </c>
      <c r="AB235">
        <f>IF(Table1[[#This Row],[CStd]]=0,0, (Table1[[#This Row],[FinalElo]]-Table1[[#This Row],[CAvg]]) / Table1[[#This Row],[CStd]])</f>
        <v>0.11451887085754937</v>
      </c>
      <c r="AC235" t="str">
        <f>IF(Table1[[#This Row],[CStd]]=0,"Normal", IF(ABS(Table1[[#This Row],[CZscore]])&gt;2,"Outlier","Normal"))</f>
        <v>Normal</v>
      </c>
    </row>
    <row r="236" spans="1:29" x14ac:dyDescent="0.35">
      <c r="A236" t="s">
        <v>2326</v>
      </c>
      <c r="B236">
        <v>60.4</v>
      </c>
      <c r="C236">
        <v>171</v>
      </c>
      <c r="D236" t="s">
        <v>89</v>
      </c>
      <c r="E236">
        <v>25</v>
      </c>
      <c r="F236" t="s">
        <v>2327</v>
      </c>
      <c r="G236" t="s">
        <v>34</v>
      </c>
      <c r="H236" t="s">
        <v>29</v>
      </c>
      <c r="I236" t="s">
        <v>58</v>
      </c>
      <c r="J236">
        <v>0</v>
      </c>
      <c r="K236">
        <v>1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1</v>
      </c>
      <c r="W236">
        <v>1</v>
      </c>
      <c r="X236">
        <v>900</v>
      </c>
      <c r="Y236">
        <v>1000</v>
      </c>
      <c r="Z236">
        <f>AVERAGEIFS(Table1[FinalElo], Table1[Country], Table1[[#This Row],[Country]])</f>
        <v>1012.0629025423733</v>
      </c>
      <c r="AA236" cm="1">
        <f t="array" ref="AA236">IF(COUNTIFS(Table1[Country],Table1[[#This Row],[Country]])=1,0, _xlfn.STDEV.S(IF(Table1[Country]=Table1[[#This Row],[Country]],Table1[FinalElo])))</f>
        <v>148.42180446198614</v>
      </c>
      <c r="AB236">
        <f>IF(Table1[[#This Row],[CStd]]=0,0, (Table1[[#This Row],[FinalElo]]-Table1[[#This Row],[CAvg]]) / Table1[[#This Row],[CStd]])</f>
        <v>-0.75502991591154589</v>
      </c>
      <c r="AC236" t="str">
        <f>IF(Table1[[#This Row],[CStd]]=0,"Normal", IF(ABS(Table1[[#This Row],[CZscore]])&gt;2,"Outlier","Normal"))</f>
        <v>Normal</v>
      </c>
    </row>
    <row r="237" spans="1:29" x14ac:dyDescent="0.35">
      <c r="A237" t="s">
        <v>2324</v>
      </c>
      <c r="B237">
        <v>59.5</v>
      </c>
      <c r="C237">
        <v>180</v>
      </c>
      <c r="D237" t="s">
        <v>82</v>
      </c>
      <c r="E237">
        <v>20</v>
      </c>
      <c r="F237" t="s">
        <v>2325</v>
      </c>
      <c r="G237" t="s">
        <v>34</v>
      </c>
      <c r="H237" t="s">
        <v>29</v>
      </c>
      <c r="I237" t="s">
        <v>58</v>
      </c>
      <c r="J237">
        <v>0</v>
      </c>
      <c r="K237">
        <v>1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1</v>
      </c>
      <c r="X237">
        <v>900</v>
      </c>
      <c r="Y237">
        <v>1000</v>
      </c>
      <c r="Z237">
        <f>AVERAGEIFS(Table1[FinalElo], Table1[Country], Table1[[#This Row],[Country]])</f>
        <v>1012.5275373134326</v>
      </c>
      <c r="AA237" cm="1">
        <f t="array" ref="AA237">IF(COUNTIFS(Table1[Country],Table1[[#This Row],[Country]])=1,0, _xlfn.STDEV.S(IF(Table1[Country]=Table1[[#This Row],[Country]],Table1[FinalElo])))</f>
        <v>135.61062237674741</v>
      </c>
      <c r="AB237">
        <f>IF(Table1[[#This Row],[CStd]]=0,0, (Table1[[#This Row],[FinalElo]]-Table1[[#This Row],[CAvg]]) / Table1[[#This Row],[CStd]])</f>
        <v>-0.82978409317238888</v>
      </c>
      <c r="AC237" t="str">
        <f>IF(Table1[[#This Row],[CStd]]=0,"Normal", IF(ABS(Table1[[#This Row],[CZscore]])&gt;2,"Outlier","Normal"))</f>
        <v>Normal</v>
      </c>
    </row>
    <row r="238" spans="1:29" x14ac:dyDescent="0.35">
      <c r="A238" t="s">
        <v>2323</v>
      </c>
      <c r="B238">
        <v>57.152591999999999</v>
      </c>
      <c r="C238">
        <v>167</v>
      </c>
      <c r="D238" t="s">
        <v>89</v>
      </c>
      <c r="E238">
        <v>27</v>
      </c>
      <c r="F238" t="s">
        <v>2017</v>
      </c>
      <c r="G238" t="s">
        <v>34</v>
      </c>
      <c r="H238" t="s">
        <v>29</v>
      </c>
      <c r="I238" t="s">
        <v>58</v>
      </c>
      <c r="J238">
        <v>3</v>
      </c>
      <c r="K238">
        <v>2</v>
      </c>
      <c r="L238">
        <v>0</v>
      </c>
      <c r="M238">
        <v>1</v>
      </c>
      <c r="N238">
        <v>0</v>
      </c>
      <c r="O238">
        <v>0</v>
      </c>
      <c r="P238">
        <v>2</v>
      </c>
      <c r="Q238">
        <v>0</v>
      </c>
      <c r="R238">
        <v>1</v>
      </c>
      <c r="S238">
        <v>0</v>
      </c>
      <c r="T238">
        <v>0</v>
      </c>
      <c r="U238">
        <v>1</v>
      </c>
      <c r="V238">
        <v>0</v>
      </c>
      <c r="W238">
        <v>5</v>
      </c>
      <c r="X238">
        <v>1171.17</v>
      </c>
      <c r="Y238">
        <v>1176.3599999999999</v>
      </c>
      <c r="Z238">
        <f>AVERAGEIFS(Table1[FinalElo], Table1[Country], Table1[[#This Row],[Country]])</f>
        <v>1012.0629025423733</v>
      </c>
      <c r="AA238" cm="1">
        <f t="array" ref="AA238">IF(COUNTIFS(Table1[Country],Table1[[#This Row],[Country]])=1,0, _xlfn.STDEV.S(IF(Table1[Country]=Table1[[#This Row],[Country]],Table1[FinalElo])))</f>
        <v>148.42180446198614</v>
      </c>
      <c r="AB238">
        <f>IF(Table1[[#This Row],[CStd]]=0,0, (Table1[[#This Row],[FinalElo]]-Table1[[#This Row],[CAvg]]) / Table1[[#This Row],[CStd]])</f>
        <v>1.0719927441549018</v>
      </c>
      <c r="AC238" t="str">
        <f>IF(Table1[[#This Row],[CStd]]=0,"Normal", IF(ABS(Table1[[#This Row],[CZscore]])&gt;2,"Outlier","Normal"))</f>
        <v>Normal</v>
      </c>
    </row>
    <row r="239" spans="1:29" x14ac:dyDescent="0.35">
      <c r="A239" t="s">
        <v>2321</v>
      </c>
      <c r="B239">
        <v>55.2</v>
      </c>
      <c r="C239">
        <v>168</v>
      </c>
      <c r="D239" t="s">
        <v>89</v>
      </c>
      <c r="E239">
        <v>19</v>
      </c>
      <c r="F239" t="s">
        <v>2322</v>
      </c>
      <c r="G239" t="s">
        <v>34</v>
      </c>
      <c r="H239" t="s">
        <v>29</v>
      </c>
      <c r="I239" t="s">
        <v>36</v>
      </c>
      <c r="J239">
        <v>0</v>
      </c>
      <c r="K239">
        <v>1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1</v>
      </c>
      <c r="X239">
        <v>900</v>
      </c>
      <c r="Y239">
        <v>1000</v>
      </c>
      <c r="Z239">
        <f>AVERAGEIFS(Table1[FinalElo], Table1[Country], Table1[[#This Row],[Country]])</f>
        <v>1012.0629025423733</v>
      </c>
      <c r="AA239" cm="1">
        <f t="array" ref="AA239">IF(COUNTIFS(Table1[Country],Table1[[#This Row],[Country]])=1,0, _xlfn.STDEV.S(IF(Table1[Country]=Table1[[#This Row],[Country]],Table1[FinalElo])))</f>
        <v>148.42180446198614</v>
      </c>
      <c r="AB239">
        <f>IF(Table1[[#This Row],[CStd]]=0,0, (Table1[[#This Row],[FinalElo]]-Table1[[#This Row],[CAvg]]) / Table1[[#This Row],[CStd]])</f>
        <v>-0.75502991591154589</v>
      </c>
      <c r="AC239" t="str">
        <f>IF(Table1[[#This Row],[CStd]]=0,"Normal", IF(ABS(Table1[[#This Row],[CZscore]])&gt;2,"Outlier","Normal"))</f>
        <v>Normal</v>
      </c>
    </row>
    <row r="240" spans="1:29" x14ac:dyDescent="0.35">
      <c r="A240" t="s">
        <v>2319</v>
      </c>
      <c r="B240">
        <v>54.431040000000003</v>
      </c>
      <c r="C240">
        <v>168</v>
      </c>
      <c r="D240" t="s">
        <v>89</v>
      </c>
      <c r="E240">
        <v>25</v>
      </c>
      <c r="F240" t="s">
        <v>2320</v>
      </c>
      <c r="G240" t="s">
        <v>34</v>
      </c>
      <c r="H240" t="s">
        <v>29</v>
      </c>
      <c r="I240" t="s">
        <v>36</v>
      </c>
      <c r="J240">
        <v>0</v>
      </c>
      <c r="K240">
        <v>1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1</v>
      </c>
      <c r="X240">
        <v>900</v>
      </c>
      <c r="Y240">
        <v>1000</v>
      </c>
      <c r="Z240">
        <f>AVERAGEIFS(Table1[FinalElo], Table1[Country], Table1[[#This Row],[Country]])</f>
        <v>1012.0629025423733</v>
      </c>
      <c r="AA240" cm="1">
        <f t="array" ref="AA240">IF(COUNTIFS(Table1[Country],Table1[[#This Row],[Country]])=1,0, _xlfn.STDEV.S(IF(Table1[Country]=Table1[[#This Row],[Country]],Table1[FinalElo])))</f>
        <v>148.42180446198614</v>
      </c>
      <c r="AB240">
        <f>IF(Table1[[#This Row],[CStd]]=0,0, (Table1[[#This Row],[FinalElo]]-Table1[[#This Row],[CAvg]]) / Table1[[#This Row],[CStd]])</f>
        <v>-0.75502991591154589</v>
      </c>
      <c r="AC240" t="str">
        <f>IF(Table1[[#This Row],[CStd]]=0,"Normal", IF(ABS(Table1[[#This Row],[CZscore]])&gt;2,"Outlier","Normal"))</f>
        <v>Normal</v>
      </c>
    </row>
    <row r="241" spans="1:29" x14ac:dyDescent="0.35">
      <c r="A241" t="s">
        <v>2318</v>
      </c>
      <c r="B241">
        <v>57.3</v>
      </c>
      <c r="C241">
        <v>175</v>
      </c>
      <c r="D241" t="s">
        <v>89</v>
      </c>
      <c r="E241">
        <v>25</v>
      </c>
      <c r="F241" t="s">
        <v>2017</v>
      </c>
      <c r="G241" t="s">
        <v>34</v>
      </c>
      <c r="H241" t="s">
        <v>29</v>
      </c>
      <c r="I241" t="s">
        <v>58</v>
      </c>
      <c r="J241">
        <v>6</v>
      </c>
      <c r="K241">
        <v>2</v>
      </c>
      <c r="L241">
        <v>0</v>
      </c>
      <c r="M241">
        <v>0</v>
      </c>
      <c r="N241">
        <v>0</v>
      </c>
      <c r="O241">
        <v>0</v>
      </c>
      <c r="P241">
        <v>3</v>
      </c>
      <c r="Q241">
        <v>1</v>
      </c>
      <c r="R241">
        <v>0</v>
      </c>
      <c r="S241">
        <v>0</v>
      </c>
      <c r="T241">
        <v>0</v>
      </c>
      <c r="U241">
        <v>0</v>
      </c>
      <c r="V241">
        <v>1</v>
      </c>
      <c r="W241">
        <v>8</v>
      </c>
      <c r="X241">
        <v>1199.3399999999999</v>
      </c>
      <c r="Y241">
        <v>1320.3</v>
      </c>
      <c r="Z241">
        <f>AVERAGEIFS(Table1[FinalElo], Table1[Country], Table1[[#This Row],[Country]])</f>
        <v>1012.0629025423733</v>
      </c>
      <c r="AA241" cm="1">
        <f t="array" ref="AA241">IF(COUNTIFS(Table1[Country],Table1[[#This Row],[Country]])=1,0, _xlfn.STDEV.S(IF(Table1[Country]=Table1[[#This Row],[Country]],Table1[FinalElo])))</f>
        <v>148.42180446198614</v>
      </c>
      <c r="AB241">
        <f>IF(Table1[[#This Row],[CStd]]=0,0, (Table1[[#This Row],[FinalElo]]-Table1[[#This Row],[CAvg]]) / Table1[[#This Row],[CStd]])</f>
        <v>1.2617896550745151</v>
      </c>
      <c r="AC241" t="str">
        <f>IF(Table1[[#This Row],[CStd]]=0,"Normal", IF(ABS(Table1[[#This Row],[CZscore]])&gt;2,"Outlier","Normal"))</f>
        <v>Normal</v>
      </c>
    </row>
    <row r="242" spans="1:29" x14ac:dyDescent="0.35">
      <c r="A242" t="s">
        <v>2317</v>
      </c>
      <c r="B242">
        <v>54.431040000000003</v>
      </c>
      <c r="C242">
        <v>169</v>
      </c>
      <c r="D242" t="s">
        <v>89</v>
      </c>
      <c r="E242">
        <v>23</v>
      </c>
      <c r="F242" t="s">
        <v>718</v>
      </c>
      <c r="G242" t="s">
        <v>34</v>
      </c>
      <c r="H242" t="s">
        <v>29</v>
      </c>
      <c r="I242" t="s">
        <v>36</v>
      </c>
      <c r="J242">
        <v>1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1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1</v>
      </c>
      <c r="X242">
        <v>1100</v>
      </c>
      <c r="Y242">
        <v>1100</v>
      </c>
      <c r="Z242">
        <f>AVERAGEIFS(Table1[FinalElo], Table1[Country], Table1[[#This Row],[Country]])</f>
        <v>1012.0629025423733</v>
      </c>
      <c r="AA242" cm="1">
        <f t="array" ref="AA242">IF(COUNTIFS(Table1[Country],Table1[[#This Row],[Country]])=1,0, _xlfn.STDEV.S(IF(Table1[Country]=Table1[[#This Row],[Country]],Table1[FinalElo])))</f>
        <v>148.42180446198614</v>
      </c>
      <c r="AB242">
        <f>IF(Table1[[#This Row],[CStd]]=0,0, (Table1[[#This Row],[FinalElo]]-Table1[[#This Row],[CAvg]]) / Table1[[#This Row],[CStd]])</f>
        <v>0.59248098873605315</v>
      </c>
      <c r="AC242" t="str">
        <f>IF(Table1[[#This Row],[CStd]]=0,"Normal", IF(ABS(Table1[[#This Row],[CZscore]])&gt;2,"Outlier","Normal"))</f>
        <v>Normal</v>
      </c>
    </row>
    <row r="243" spans="1:29" x14ac:dyDescent="0.35">
      <c r="A243" t="s">
        <v>2316</v>
      </c>
      <c r="B243">
        <v>59.420552000000001</v>
      </c>
      <c r="C243">
        <v>170</v>
      </c>
      <c r="D243" t="s">
        <v>89</v>
      </c>
      <c r="E243">
        <v>22</v>
      </c>
      <c r="F243" t="s">
        <v>533</v>
      </c>
      <c r="G243" t="s">
        <v>34</v>
      </c>
      <c r="H243" t="s">
        <v>29</v>
      </c>
      <c r="I243" t="s">
        <v>58</v>
      </c>
      <c r="J243">
        <v>1</v>
      </c>
      <c r="K243">
        <v>1</v>
      </c>
      <c r="L243">
        <v>0</v>
      </c>
      <c r="M243">
        <v>0</v>
      </c>
      <c r="N243">
        <v>0</v>
      </c>
      <c r="O243">
        <v>0</v>
      </c>
      <c r="P243">
        <v>1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1</v>
      </c>
      <c r="W243">
        <v>2</v>
      </c>
      <c r="X243">
        <v>1011.39</v>
      </c>
      <c r="Y243">
        <v>1100</v>
      </c>
      <c r="Z243">
        <f>AVERAGEIFS(Table1[FinalElo], Table1[Country], Table1[[#This Row],[Country]])</f>
        <v>1012.0629025423733</v>
      </c>
      <c r="AA243" cm="1">
        <f t="array" ref="AA243">IF(COUNTIFS(Table1[Country],Table1[[#This Row],[Country]])=1,0, _xlfn.STDEV.S(IF(Table1[Country]=Table1[[#This Row],[Country]],Table1[FinalElo])))</f>
        <v>148.42180446198614</v>
      </c>
      <c r="AB243">
        <f>IF(Table1[[#This Row],[CStd]]=0,0, (Table1[[#This Row],[FinalElo]]-Table1[[#This Row],[CAvg]]) / Table1[[#This Row],[CStd]])</f>
        <v>-4.5337175680657217E-3</v>
      </c>
      <c r="AC243" t="str">
        <f>IF(Table1[[#This Row],[CStd]]=0,"Normal", IF(ABS(Table1[[#This Row],[CZscore]])&gt;2,"Outlier","Normal"))</f>
        <v>Normal</v>
      </c>
    </row>
    <row r="244" spans="1:29" x14ac:dyDescent="0.35">
      <c r="A244" t="s">
        <v>2314</v>
      </c>
      <c r="B244">
        <v>105.5</v>
      </c>
      <c r="C244">
        <v>183</v>
      </c>
      <c r="D244" t="s">
        <v>174</v>
      </c>
      <c r="E244">
        <v>48</v>
      </c>
      <c r="F244" t="s">
        <v>2315</v>
      </c>
      <c r="G244" t="s">
        <v>40</v>
      </c>
      <c r="H244" t="s">
        <v>29</v>
      </c>
      <c r="I244" t="s">
        <v>94</v>
      </c>
      <c r="J244">
        <v>0</v>
      </c>
      <c r="K244">
        <v>1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1</v>
      </c>
      <c r="S244">
        <v>0</v>
      </c>
      <c r="T244">
        <v>0</v>
      </c>
      <c r="U244">
        <v>0</v>
      </c>
      <c r="V244">
        <v>0</v>
      </c>
      <c r="W244">
        <v>1</v>
      </c>
      <c r="X244">
        <v>955.26</v>
      </c>
      <c r="Y244">
        <v>1000</v>
      </c>
      <c r="Z244">
        <f>AVERAGEIFS(Table1[FinalElo], Table1[Country], Table1[[#This Row],[Country]])</f>
        <v>980.52444444444427</v>
      </c>
      <c r="AA244" cm="1">
        <f t="array" ref="AA244">IF(COUNTIFS(Table1[Country],Table1[[#This Row],[Country]])=1,0, _xlfn.STDEV.S(IF(Table1[Country]=Table1[[#This Row],[Country]],Table1[FinalElo])))</f>
        <v>143.66034832022171</v>
      </c>
      <c r="AB244">
        <f>IF(Table1[[#This Row],[CStd]]=0,0, (Table1[[#This Row],[FinalElo]]-Table1[[#This Row],[CAvg]]) / Table1[[#This Row],[CStd]])</f>
        <v>-0.17586233598800236</v>
      </c>
      <c r="AC244" t="str">
        <f>IF(Table1[[#This Row],[CStd]]=0,"Normal", IF(ABS(Table1[[#This Row],[CZscore]])&gt;2,"Outlier","Normal"))</f>
        <v>Normal</v>
      </c>
    </row>
    <row r="245" spans="1:29" x14ac:dyDescent="0.35">
      <c r="A245" t="s">
        <v>2312</v>
      </c>
      <c r="B245">
        <v>60.2</v>
      </c>
      <c r="C245">
        <v>171</v>
      </c>
      <c r="D245" t="s">
        <v>230</v>
      </c>
      <c r="E245">
        <v>31</v>
      </c>
      <c r="F245" t="s">
        <v>2313</v>
      </c>
      <c r="G245" t="s">
        <v>34</v>
      </c>
      <c r="H245" t="s">
        <v>29</v>
      </c>
      <c r="I245" t="s">
        <v>58</v>
      </c>
      <c r="J245">
        <v>2</v>
      </c>
      <c r="K245">
        <v>6</v>
      </c>
      <c r="L245">
        <v>0</v>
      </c>
      <c r="M245">
        <v>1</v>
      </c>
      <c r="N245">
        <v>0</v>
      </c>
      <c r="O245">
        <v>0</v>
      </c>
      <c r="P245">
        <v>1</v>
      </c>
      <c r="Q245">
        <v>0</v>
      </c>
      <c r="R245">
        <v>3</v>
      </c>
      <c r="S245">
        <v>0</v>
      </c>
      <c r="T245">
        <v>0</v>
      </c>
      <c r="U245">
        <v>3</v>
      </c>
      <c r="V245">
        <v>0</v>
      </c>
      <c r="W245">
        <v>8</v>
      </c>
      <c r="X245">
        <v>821.07</v>
      </c>
      <c r="Y245">
        <v>1000</v>
      </c>
      <c r="Z245">
        <f>AVERAGEIFS(Table1[FinalElo], Table1[Country], Table1[[#This Row],[Country]])</f>
        <v>963.06500000000005</v>
      </c>
      <c r="AA245" cm="1">
        <f t="array" ref="AA245">IF(COUNTIFS(Table1[Country],Table1[[#This Row],[Country]])=1,0, _xlfn.STDEV.S(IF(Table1[Country]=Table1[[#This Row],[Country]],Table1[FinalElo])))</f>
        <v>123.22301205537823</v>
      </c>
      <c r="AB245">
        <f>IF(Table1[[#This Row],[CStd]]=0,0, (Table1[[#This Row],[FinalElo]]-Table1[[#This Row],[CAvg]]) / Table1[[#This Row],[CStd]])</f>
        <v>-1.1523415767193337</v>
      </c>
      <c r="AC245" t="str">
        <f>IF(Table1[[#This Row],[CStd]]=0,"Normal", IF(ABS(Table1[[#This Row],[CZscore]])&gt;2,"Outlier","Normal"))</f>
        <v>Normal</v>
      </c>
    </row>
    <row r="246" spans="1:29" x14ac:dyDescent="0.35">
      <c r="A246" t="s">
        <v>2310</v>
      </c>
      <c r="B246">
        <v>57.152591999999999</v>
      </c>
      <c r="C246">
        <v>169</v>
      </c>
      <c r="D246" t="s">
        <v>89</v>
      </c>
      <c r="E246">
        <v>19</v>
      </c>
      <c r="F246" t="s">
        <v>2311</v>
      </c>
      <c r="G246" t="s">
        <v>34</v>
      </c>
      <c r="H246" t="s">
        <v>29</v>
      </c>
      <c r="I246" t="s">
        <v>58</v>
      </c>
      <c r="J246">
        <v>0</v>
      </c>
      <c r="K246">
        <v>1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1</v>
      </c>
      <c r="X246">
        <v>900</v>
      </c>
      <c r="Y246">
        <v>1000</v>
      </c>
      <c r="Z246">
        <f>AVERAGEIFS(Table1[FinalElo], Table1[Country], Table1[[#This Row],[Country]])</f>
        <v>1012.0629025423733</v>
      </c>
      <c r="AA246" cm="1">
        <f t="array" ref="AA246">IF(COUNTIFS(Table1[Country],Table1[[#This Row],[Country]])=1,0, _xlfn.STDEV.S(IF(Table1[Country]=Table1[[#This Row],[Country]],Table1[FinalElo])))</f>
        <v>148.42180446198614</v>
      </c>
      <c r="AB246">
        <f>IF(Table1[[#This Row],[CStd]]=0,0, (Table1[[#This Row],[FinalElo]]-Table1[[#This Row],[CAvg]]) / Table1[[#This Row],[CStd]])</f>
        <v>-0.75502991591154589</v>
      </c>
      <c r="AC246" t="str">
        <f>IF(Table1[[#This Row],[CStd]]=0,"Normal", IF(ABS(Table1[[#This Row],[CZscore]])&gt;2,"Outlier","Normal"))</f>
        <v>Normal</v>
      </c>
    </row>
    <row r="247" spans="1:29" x14ac:dyDescent="0.35">
      <c r="A247" t="s">
        <v>2308</v>
      </c>
      <c r="B247">
        <v>57.6</v>
      </c>
      <c r="C247">
        <v>173</v>
      </c>
      <c r="D247" t="s">
        <v>89</v>
      </c>
      <c r="E247">
        <v>22</v>
      </c>
      <c r="F247" t="s">
        <v>2309</v>
      </c>
      <c r="G247" t="s">
        <v>34</v>
      </c>
      <c r="H247" t="s">
        <v>29</v>
      </c>
      <c r="I247" t="s">
        <v>58</v>
      </c>
      <c r="J247">
        <v>0</v>
      </c>
      <c r="K247">
        <v>1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1</v>
      </c>
      <c r="S247">
        <v>0</v>
      </c>
      <c r="T247">
        <v>0</v>
      </c>
      <c r="U247">
        <v>0</v>
      </c>
      <c r="V247">
        <v>0</v>
      </c>
      <c r="W247">
        <v>1</v>
      </c>
      <c r="X247">
        <v>964.93</v>
      </c>
      <c r="Y247">
        <v>1000</v>
      </c>
      <c r="Z247">
        <f>AVERAGEIFS(Table1[FinalElo], Table1[Country], Table1[[#This Row],[Country]])</f>
        <v>1012.0629025423733</v>
      </c>
      <c r="AA247" cm="1">
        <f t="array" ref="AA247">IF(COUNTIFS(Table1[Country],Table1[[#This Row],[Country]])=1,0, _xlfn.STDEV.S(IF(Table1[Country]=Table1[[#This Row],[Country]],Table1[FinalElo])))</f>
        <v>148.42180446198614</v>
      </c>
      <c r="AB247">
        <f>IF(Table1[[#This Row],[CStd]]=0,0, (Table1[[#This Row],[FinalElo]]-Table1[[#This Row],[CAvg]]) / Table1[[#This Row],[CStd]])</f>
        <v>-0.31756050071770325</v>
      </c>
      <c r="AC247" t="str">
        <f>IF(Table1[[#This Row],[CStd]]=0,"Normal", IF(ABS(Table1[[#This Row],[CZscore]])&gt;2,"Outlier","Normal"))</f>
        <v>Normal</v>
      </c>
    </row>
    <row r="248" spans="1:29" x14ac:dyDescent="0.35">
      <c r="A248" t="s">
        <v>2307</v>
      </c>
      <c r="B248">
        <v>62.3</v>
      </c>
      <c r="C248">
        <v>170</v>
      </c>
      <c r="D248" t="s">
        <v>89</v>
      </c>
      <c r="E248">
        <v>30</v>
      </c>
      <c r="F248" t="s">
        <v>662</v>
      </c>
      <c r="G248" t="s">
        <v>34</v>
      </c>
      <c r="H248" t="s">
        <v>29</v>
      </c>
      <c r="I248" t="s">
        <v>73</v>
      </c>
      <c r="J248">
        <v>4</v>
      </c>
      <c r="K248">
        <v>1</v>
      </c>
      <c r="L248">
        <v>0</v>
      </c>
      <c r="M248">
        <v>0</v>
      </c>
      <c r="N248">
        <v>0</v>
      </c>
      <c r="O248">
        <v>0</v>
      </c>
      <c r="P248">
        <v>1</v>
      </c>
      <c r="Q248">
        <v>2</v>
      </c>
      <c r="R248">
        <v>0</v>
      </c>
      <c r="S248">
        <v>0</v>
      </c>
      <c r="T248">
        <v>0</v>
      </c>
      <c r="U248">
        <v>1</v>
      </c>
      <c r="V248">
        <v>0</v>
      </c>
      <c r="W248">
        <v>5</v>
      </c>
      <c r="X248">
        <v>1096.17</v>
      </c>
      <c r="Y248">
        <v>1275.52</v>
      </c>
      <c r="Z248">
        <f>AVERAGEIFS(Table1[FinalElo], Table1[Country], Table1[[#This Row],[Country]])</f>
        <v>1012.0629025423733</v>
      </c>
      <c r="AA248" cm="1">
        <f t="array" ref="AA248">IF(COUNTIFS(Table1[Country],Table1[[#This Row],[Country]])=1,0, _xlfn.STDEV.S(IF(Table1[Country]=Table1[[#This Row],[Country]],Table1[FinalElo])))</f>
        <v>148.42180446198614</v>
      </c>
      <c r="AB248">
        <f>IF(Table1[[#This Row],[CStd]]=0,0, (Table1[[#This Row],[FinalElo]]-Table1[[#This Row],[CAvg]]) / Table1[[#This Row],[CStd]])</f>
        <v>0.56667615491205214</v>
      </c>
      <c r="AC248" t="str">
        <f>IF(Table1[[#This Row],[CStd]]=0,"Normal", IF(ABS(Table1[[#This Row],[CZscore]])&gt;2,"Outlier","Normal"))</f>
        <v>Normal</v>
      </c>
    </row>
    <row r="249" spans="1:29" x14ac:dyDescent="0.35">
      <c r="A249" t="s">
        <v>2305</v>
      </c>
      <c r="B249">
        <v>66.678023999999994</v>
      </c>
      <c r="C249">
        <v>178</v>
      </c>
      <c r="D249" t="s">
        <v>89</v>
      </c>
      <c r="E249">
        <v>30</v>
      </c>
      <c r="F249" t="s">
        <v>2306</v>
      </c>
      <c r="G249" t="s">
        <v>34</v>
      </c>
      <c r="H249" t="s">
        <v>29</v>
      </c>
      <c r="I249" t="s">
        <v>48</v>
      </c>
      <c r="J249">
        <v>0</v>
      </c>
      <c r="K249">
        <v>3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1</v>
      </c>
      <c r="W249">
        <v>3</v>
      </c>
      <c r="X249">
        <v>793.53</v>
      </c>
      <c r="Y249">
        <v>1000</v>
      </c>
      <c r="Z249">
        <f>AVERAGEIFS(Table1[FinalElo], Table1[Country], Table1[[#This Row],[Country]])</f>
        <v>1012.0629025423733</v>
      </c>
      <c r="AA249" cm="1">
        <f t="array" ref="AA249">IF(COUNTIFS(Table1[Country],Table1[[#This Row],[Country]])=1,0, _xlfn.STDEV.S(IF(Table1[Country]=Table1[[#This Row],[Country]],Table1[FinalElo])))</f>
        <v>148.42180446198614</v>
      </c>
      <c r="AB249">
        <f>IF(Table1[[#This Row],[CStd]]=0,0, (Table1[[#This Row],[FinalElo]]-Table1[[#This Row],[CAvg]]) / Table1[[#This Row],[CStd]])</f>
        <v>-1.4723773460006955</v>
      </c>
      <c r="AC249" t="str">
        <f>IF(Table1[[#This Row],[CStd]]=0,"Normal", IF(ABS(Table1[[#This Row],[CZscore]])&gt;2,"Outlier","Normal"))</f>
        <v>Normal</v>
      </c>
    </row>
    <row r="250" spans="1:29" x14ac:dyDescent="0.35">
      <c r="A250" t="s">
        <v>2303</v>
      </c>
      <c r="B250">
        <v>65.8</v>
      </c>
      <c r="C250">
        <v>165</v>
      </c>
      <c r="D250" t="s">
        <v>82</v>
      </c>
      <c r="E250">
        <v>31</v>
      </c>
      <c r="F250" t="s">
        <v>2304</v>
      </c>
      <c r="G250" t="s">
        <v>40</v>
      </c>
      <c r="H250" t="s">
        <v>29</v>
      </c>
      <c r="I250" t="s">
        <v>48</v>
      </c>
      <c r="J250">
        <v>6</v>
      </c>
      <c r="K250">
        <v>0</v>
      </c>
      <c r="L250">
        <v>0</v>
      </c>
      <c r="M250">
        <v>1</v>
      </c>
      <c r="N250">
        <v>2</v>
      </c>
      <c r="O250">
        <v>0</v>
      </c>
      <c r="P250">
        <v>3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6</v>
      </c>
      <c r="X250">
        <v>1391.4</v>
      </c>
      <c r="Y250">
        <v>1391.4</v>
      </c>
      <c r="Z250">
        <f>AVERAGEIFS(Table1[FinalElo], Table1[Country], Table1[[#This Row],[Country]])</f>
        <v>1012.5275373134326</v>
      </c>
      <c r="AA250" cm="1">
        <f t="array" ref="AA250">IF(COUNTIFS(Table1[Country],Table1[[#This Row],[Country]])=1,0, _xlfn.STDEV.S(IF(Table1[Country]=Table1[[#This Row],[Country]],Table1[FinalElo])))</f>
        <v>135.61062237674741</v>
      </c>
      <c r="AB250">
        <f>IF(Table1[[#This Row],[CStd]]=0,0, (Table1[[#This Row],[FinalElo]]-Table1[[#This Row],[CAvg]]) / Table1[[#This Row],[CStd]])</f>
        <v>2.7938258526238511</v>
      </c>
      <c r="AC250" t="str">
        <f>IF(Table1[[#This Row],[CStd]]=0,"Normal", IF(ABS(Table1[[#This Row],[CZscore]])&gt;2,"Outlier","Normal"))</f>
        <v>Outlier</v>
      </c>
    </row>
    <row r="251" spans="1:29" x14ac:dyDescent="0.35">
      <c r="A251" t="s">
        <v>2301</v>
      </c>
      <c r="B251">
        <v>52.6</v>
      </c>
      <c r="C251">
        <v>163</v>
      </c>
      <c r="D251" t="s">
        <v>89</v>
      </c>
      <c r="E251">
        <v>27</v>
      </c>
      <c r="F251" t="s">
        <v>2302</v>
      </c>
      <c r="G251" t="s">
        <v>34</v>
      </c>
      <c r="H251" t="s">
        <v>29</v>
      </c>
      <c r="I251" t="s">
        <v>36</v>
      </c>
      <c r="J251">
        <v>0</v>
      </c>
      <c r="K251">
        <v>2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2</v>
      </c>
      <c r="X251">
        <v>871.84</v>
      </c>
      <c r="Y251">
        <v>1000</v>
      </c>
      <c r="Z251">
        <f>AVERAGEIFS(Table1[FinalElo], Table1[Country], Table1[[#This Row],[Country]])</f>
        <v>1012.0629025423733</v>
      </c>
      <c r="AA251" cm="1">
        <f t="array" ref="AA251">IF(COUNTIFS(Table1[Country],Table1[[#This Row],[Country]])=1,0, _xlfn.STDEV.S(IF(Table1[Country]=Table1[[#This Row],[Country]],Table1[FinalElo])))</f>
        <v>148.42180446198614</v>
      </c>
      <c r="AB251">
        <f>IF(Table1[[#This Row],[CStd]]=0,0, (Table1[[#This Row],[FinalElo]]-Table1[[#This Row],[CAvg]]) / Table1[[#This Row],[CStd]])</f>
        <v>-0.94475945128592764</v>
      </c>
      <c r="AC251" t="str">
        <f>IF(Table1[[#This Row],[CStd]]=0,"Normal", IF(ABS(Table1[[#This Row],[CZscore]])&gt;2,"Outlier","Normal"))</f>
        <v>Normal</v>
      </c>
    </row>
    <row r="252" spans="1:29" x14ac:dyDescent="0.35">
      <c r="A252" t="s">
        <v>2300</v>
      </c>
      <c r="B252">
        <v>53.523856000000002</v>
      </c>
      <c r="C252">
        <v>166</v>
      </c>
      <c r="D252" t="s">
        <v>82</v>
      </c>
      <c r="E252">
        <v>23</v>
      </c>
      <c r="F252" t="s">
        <v>1351</v>
      </c>
      <c r="G252" t="s">
        <v>28</v>
      </c>
      <c r="H252" t="s">
        <v>29</v>
      </c>
      <c r="I252" t="s">
        <v>36</v>
      </c>
      <c r="J252">
        <v>1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1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1</v>
      </c>
      <c r="X252">
        <v>1100</v>
      </c>
      <c r="Y252">
        <v>1100</v>
      </c>
      <c r="Z252">
        <f>AVERAGEIFS(Table1[FinalElo], Table1[Country], Table1[[#This Row],[Country]])</f>
        <v>1012.5275373134326</v>
      </c>
      <c r="AA252" cm="1">
        <f t="array" ref="AA252">IF(COUNTIFS(Table1[Country],Table1[[#This Row],[Country]])=1,0, _xlfn.STDEV.S(IF(Table1[Country]=Table1[[#This Row],[Country]],Table1[FinalElo])))</f>
        <v>135.61062237674741</v>
      </c>
      <c r="AB252">
        <f>IF(Table1[[#This Row],[CStd]]=0,0, (Table1[[#This Row],[FinalElo]]-Table1[[#This Row],[CAvg]]) / Table1[[#This Row],[CStd]])</f>
        <v>0.64502662957740331</v>
      </c>
      <c r="AC252" t="str">
        <f>IF(Table1[[#This Row],[CStd]]=0,"Normal", IF(ABS(Table1[[#This Row],[CZscore]])&gt;2,"Outlier","Normal"))</f>
        <v>Normal</v>
      </c>
    </row>
    <row r="253" spans="1:29" x14ac:dyDescent="0.35">
      <c r="A253" t="s">
        <v>2298</v>
      </c>
      <c r="B253">
        <v>61.23</v>
      </c>
      <c r="C253">
        <v>167</v>
      </c>
      <c r="D253" t="s">
        <v>82</v>
      </c>
      <c r="E253">
        <v>28</v>
      </c>
      <c r="F253" t="s">
        <v>2299</v>
      </c>
      <c r="G253" t="s">
        <v>54</v>
      </c>
      <c r="H253" t="s">
        <v>29</v>
      </c>
      <c r="I253" t="s">
        <v>73</v>
      </c>
      <c r="J253">
        <v>4</v>
      </c>
      <c r="K253">
        <v>1</v>
      </c>
      <c r="L253">
        <v>0</v>
      </c>
      <c r="M253">
        <v>0</v>
      </c>
      <c r="N253">
        <v>2</v>
      </c>
      <c r="O253">
        <v>0</v>
      </c>
      <c r="P253">
        <v>2</v>
      </c>
      <c r="Q253">
        <v>0</v>
      </c>
      <c r="R253">
        <v>0</v>
      </c>
      <c r="S253">
        <v>1</v>
      </c>
      <c r="T253">
        <v>0</v>
      </c>
      <c r="U253">
        <v>0</v>
      </c>
      <c r="V253">
        <v>0</v>
      </c>
      <c r="W253">
        <v>5</v>
      </c>
      <c r="X253">
        <v>1198.56</v>
      </c>
      <c r="Y253">
        <v>1248.05</v>
      </c>
      <c r="Z253">
        <f>AVERAGEIFS(Table1[FinalElo], Table1[Country], Table1[[#This Row],[Country]])</f>
        <v>1012.5275373134326</v>
      </c>
      <c r="AA253" cm="1">
        <f t="array" ref="AA253">IF(COUNTIFS(Table1[Country],Table1[[#This Row],[Country]])=1,0, _xlfn.STDEV.S(IF(Table1[Country]=Table1[[#This Row],[Country]],Table1[FinalElo])))</f>
        <v>135.61062237674741</v>
      </c>
      <c r="AB253">
        <f>IF(Table1[[#This Row],[CStd]]=0,0, (Table1[[#This Row],[FinalElo]]-Table1[[#This Row],[CAvg]]) / Table1[[#This Row],[CStd]])</f>
        <v>1.3718133537485007</v>
      </c>
      <c r="AC253" t="str">
        <f>IF(Table1[[#This Row],[CStd]]=0,"Normal", IF(ABS(Table1[[#This Row],[CZscore]])&gt;2,"Outlier","Normal"))</f>
        <v>Normal</v>
      </c>
    </row>
    <row r="254" spans="1:29" x14ac:dyDescent="0.35">
      <c r="A254" t="s">
        <v>2296</v>
      </c>
      <c r="B254">
        <v>62.142104000000003</v>
      </c>
      <c r="C254">
        <v>175</v>
      </c>
      <c r="D254" t="s">
        <v>82</v>
      </c>
      <c r="E254">
        <v>23</v>
      </c>
      <c r="F254" t="s">
        <v>2297</v>
      </c>
      <c r="G254" t="s">
        <v>34</v>
      </c>
      <c r="H254" t="s">
        <v>29</v>
      </c>
      <c r="I254" t="s">
        <v>73</v>
      </c>
      <c r="J254">
        <v>1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1</v>
      </c>
      <c r="X254">
        <v>1100</v>
      </c>
      <c r="Y254">
        <v>1100</v>
      </c>
      <c r="Z254">
        <f>AVERAGEIFS(Table1[FinalElo], Table1[Country], Table1[[#This Row],[Country]])</f>
        <v>1012.5275373134326</v>
      </c>
      <c r="AA254" cm="1">
        <f t="array" ref="AA254">IF(COUNTIFS(Table1[Country],Table1[[#This Row],[Country]])=1,0, _xlfn.STDEV.S(IF(Table1[Country]=Table1[[#This Row],[Country]],Table1[FinalElo])))</f>
        <v>135.61062237674741</v>
      </c>
      <c r="AB254">
        <f>IF(Table1[[#This Row],[CStd]]=0,0, (Table1[[#This Row],[FinalElo]]-Table1[[#This Row],[CAvg]]) / Table1[[#This Row],[CStd]])</f>
        <v>0.64502662957740331</v>
      </c>
      <c r="AC254" t="str">
        <f>IF(Table1[[#This Row],[CStd]]=0,"Normal", IF(ABS(Table1[[#This Row],[CZscore]])&gt;2,"Outlier","Normal"))</f>
        <v>Normal</v>
      </c>
    </row>
    <row r="255" spans="1:29" x14ac:dyDescent="0.35">
      <c r="A255" t="s">
        <v>2294</v>
      </c>
      <c r="B255">
        <v>65.3</v>
      </c>
      <c r="C255">
        <v>175</v>
      </c>
      <c r="D255" t="s">
        <v>82</v>
      </c>
      <c r="E255">
        <v>37</v>
      </c>
      <c r="F255" t="s">
        <v>2295</v>
      </c>
      <c r="G255" t="s">
        <v>40</v>
      </c>
      <c r="H255" t="s">
        <v>29</v>
      </c>
      <c r="I255" t="s">
        <v>73</v>
      </c>
      <c r="J255">
        <v>4</v>
      </c>
      <c r="K255">
        <v>2</v>
      </c>
      <c r="L255">
        <v>0</v>
      </c>
      <c r="M255">
        <v>2</v>
      </c>
      <c r="N255">
        <v>1</v>
      </c>
      <c r="O255">
        <v>0</v>
      </c>
      <c r="P255">
        <v>1</v>
      </c>
      <c r="Q255">
        <v>0</v>
      </c>
      <c r="R255">
        <v>0</v>
      </c>
      <c r="S255">
        <v>0</v>
      </c>
      <c r="T255">
        <v>0</v>
      </c>
      <c r="U255">
        <v>2</v>
      </c>
      <c r="V255">
        <v>0</v>
      </c>
      <c r="W255">
        <v>6</v>
      </c>
      <c r="X255">
        <v>1165.22</v>
      </c>
      <c r="Y255">
        <v>1258.8499999999999</v>
      </c>
      <c r="Z255">
        <f>AVERAGEIFS(Table1[FinalElo], Table1[Country], Table1[[#This Row],[Country]])</f>
        <v>1012.5275373134326</v>
      </c>
      <c r="AA255" cm="1">
        <f t="array" ref="AA255">IF(COUNTIFS(Table1[Country],Table1[[#This Row],[Country]])=1,0, _xlfn.STDEV.S(IF(Table1[Country]=Table1[[#This Row],[Country]],Table1[FinalElo])))</f>
        <v>135.61062237674741</v>
      </c>
      <c r="AB255">
        <f>IF(Table1[[#This Row],[CStd]]=0,0, (Table1[[#This Row],[FinalElo]]-Table1[[#This Row],[CAvg]]) / Table1[[#This Row],[CStd]])</f>
        <v>1.1259624062661109</v>
      </c>
      <c r="AC255" t="str">
        <f>IF(Table1[[#This Row],[CStd]]=0,"Normal", IF(ABS(Table1[[#This Row],[CZscore]])&gt;2,"Outlier","Normal"))</f>
        <v>Normal</v>
      </c>
    </row>
    <row r="256" spans="1:29" x14ac:dyDescent="0.35">
      <c r="A256" t="s">
        <v>2293</v>
      </c>
      <c r="B256">
        <v>59.5</v>
      </c>
      <c r="C256">
        <v>170</v>
      </c>
      <c r="D256" t="s">
        <v>82</v>
      </c>
      <c r="E256">
        <v>30</v>
      </c>
      <c r="F256" t="s">
        <v>2075</v>
      </c>
      <c r="G256" t="s">
        <v>34</v>
      </c>
      <c r="H256" t="s">
        <v>29</v>
      </c>
      <c r="I256" t="s">
        <v>58</v>
      </c>
      <c r="J256">
        <v>0</v>
      </c>
      <c r="K256">
        <v>1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1</v>
      </c>
      <c r="V256">
        <v>0</v>
      </c>
      <c r="W256">
        <v>1</v>
      </c>
      <c r="X256">
        <v>879.57</v>
      </c>
      <c r="Y256">
        <v>1000</v>
      </c>
      <c r="Z256">
        <f>AVERAGEIFS(Table1[FinalElo], Table1[Country], Table1[[#This Row],[Country]])</f>
        <v>1012.5275373134326</v>
      </c>
      <c r="AA256" cm="1">
        <f t="array" ref="AA256">IF(COUNTIFS(Table1[Country],Table1[[#This Row],[Country]])=1,0, _xlfn.STDEV.S(IF(Table1[Country]=Table1[[#This Row],[Country]],Table1[FinalElo])))</f>
        <v>135.61062237674741</v>
      </c>
      <c r="AB256">
        <f>IF(Table1[[#This Row],[CStd]]=0,0, (Table1[[#This Row],[FinalElo]]-Table1[[#This Row],[CAvg]]) / Table1[[#This Row],[CStd]])</f>
        <v>-0.98043600850127977</v>
      </c>
      <c r="AC256" t="str">
        <f>IF(Table1[[#This Row],[CStd]]=0,"Normal", IF(ABS(Table1[[#This Row],[CZscore]])&gt;2,"Outlier","Normal"))</f>
        <v>Normal</v>
      </c>
    </row>
    <row r="257" spans="1:29" x14ac:dyDescent="0.35">
      <c r="A257" t="s">
        <v>2290</v>
      </c>
      <c r="B257">
        <v>63.2</v>
      </c>
      <c r="C257">
        <v>172</v>
      </c>
      <c r="D257" t="s">
        <v>82</v>
      </c>
      <c r="E257">
        <v>32</v>
      </c>
      <c r="F257" t="s">
        <v>206</v>
      </c>
      <c r="G257" t="s">
        <v>34</v>
      </c>
      <c r="H257" t="s">
        <v>29</v>
      </c>
      <c r="I257" t="s">
        <v>73</v>
      </c>
      <c r="J257">
        <v>0</v>
      </c>
      <c r="K257">
        <v>3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2</v>
      </c>
      <c r="V257">
        <v>0</v>
      </c>
      <c r="W257">
        <v>3</v>
      </c>
      <c r="X257">
        <v>771.98</v>
      </c>
      <c r="Y257">
        <v>1000</v>
      </c>
      <c r="Z257">
        <f>AVERAGEIFS(Table1[FinalElo], Table1[Country], Table1[[#This Row],[Country]])</f>
        <v>1012.5275373134326</v>
      </c>
      <c r="AA257" cm="1">
        <f t="array" ref="AA257">IF(COUNTIFS(Table1[Country],Table1[[#This Row],[Country]])=1,0, _xlfn.STDEV.S(IF(Table1[Country]=Table1[[#This Row],[Country]],Table1[FinalElo])))</f>
        <v>135.61062237674741</v>
      </c>
      <c r="AB257">
        <f>IF(Table1[[#This Row],[CStd]]=0,0, (Table1[[#This Row],[FinalElo]]-Table1[[#This Row],[CAvg]]) / Table1[[#This Row],[CStd]])</f>
        <v>-1.7738104368045307</v>
      </c>
      <c r="AC257" t="str">
        <f>IF(Table1[[#This Row],[CStd]]=0,"Normal", IF(ABS(Table1[[#This Row],[CZscore]])&gt;2,"Outlier","Normal"))</f>
        <v>Normal</v>
      </c>
    </row>
    <row r="258" spans="1:29" x14ac:dyDescent="0.35">
      <c r="A258" t="s">
        <v>2288</v>
      </c>
      <c r="B258">
        <v>53.977448000000003</v>
      </c>
      <c r="C258">
        <v>158</v>
      </c>
      <c r="D258" t="s">
        <v>2289</v>
      </c>
      <c r="E258">
        <v>24</v>
      </c>
      <c r="F258">
        <v>1</v>
      </c>
      <c r="G258" t="s">
        <v>34</v>
      </c>
      <c r="H258" t="s">
        <v>29</v>
      </c>
      <c r="I258" t="s">
        <v>36</v>
      </c>
      <c r="J258">
        <v>3</v>
      </c>
      <c r="K258">
        <v>0</v>
      </c>
      <c r="L258">
        <v>0</v>
      </c>
      <c r="M258">
        <v>1</v>
      </c>
      <c r="N258">
        <v>0</v>
      </c>
      <c r="O258">
        <v>0</v>
      </c>
      <c r="P258">
        <v>2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3</v>
      </c>
      <c r="X258">
        <v>1282.8499999999999</v>
      </c>
      <c r="Y258">
        <v>1282.8499999999999</v>
      </c>
      <c r="Z258">
        <f>AVERAGEIFS(Table1[FinalElo], Table1[Country], Table1[[#This Row],[Country]])</f>
        <v>1282.8499999999999</v>
      </c>
      <c r="AA258" cm="1">
        <f t="array" ref="AA258">IF(COUNTIFS(Table1[Country],Table1[[#This Row],[Country]])=1,0, _xlfn.STDEV.S(IF(Table1[Country]=Table1[[#This Row],[Country]],Table1[FinalElo])))</f>
        <v>0</v>
      </c>
      <c r="AB258">
        <f>IF(Table1[[#This Row],[CStd]]=0,0, (Table1[[#This Row],[FinalElo]]-Table1[[#This Row],[CAvg]]) / Table1[[#This Row],[CStd]])</f>
        <v>0</v>
      </c>
      <c r="AC258" t="str">
        <f>IF(Table1[[#This Row],[CStd]]=0,"Normal", IF(ABS(Table1[[#This Row],[CZscore]])&gt;2,"Outlier","Normal"))</f>
        <v>Normal</v>
      </c>
    </row>
    <row r="259" spans="1:29" x14ac:dyDescent="0.35">
      <c r="A259" t="s">
        <v>2287</v>
      </c>
      <c r="B259">
        <v>75.3</v>
      </c>
      <c r="C259">
        <v>180</v>
      </c>
      <c r="D259" t="s">
        <v>82</v>
      </c>
      <c r="E259">
        <v>42</v>
      </c>
      <c r="F259" t="s">
        <v>90</v>
      </c>
      <c r="G259" t="s">
        <v>40</v>
      </c>
      <c r="H259" t="s">
        <v>29</v>
      </c>
      <c r="I259" t="s">
        <v>30</v>
      </c>
      <c r="J259">
        <v>15</v>
      </c>
      <c r="K259">
        <v>9</v>
      </c>
      <c r="L259">
        <v>0</v>
      </c>
      <c r="M259">
        <v>1</v>
      </c>
      <c r="N259">
        <v>12</v>
      </c>
      <c r="O259">
        <v>0</v>
      </c>
      <c r="P259">
        <v>2</v>
      </c>
      <c r="Q259">
        <v>0</v>
      </c>
      <c r="R259">
        <v>5</v>
      </c>
      <c r="S259">
        <v>3</v>
      </c>
      <c r="T259">
        <v>0</v>
      </c>
      <c r="U259">
        <v>1</v>
      </c>
      <c r="V259">
        <v>0</v>
      </c>
      <c r="W259">
        <v>24</v>
      </c>
      <c r="X259">
        <v>1121.0999999999999</v>
      </c>
      <c r="Y259">
        <v>1515.17</v>
      </c>
      <c r="Z259">
        <f>AVERAGEIFS(Table1[FinalElo], Table1[Country], Table1[[#This Row],[Country]])</f>
        <v>1012.5275373134326</v>
      </c>
      <c r="AA259" cm="1">
        <f t="array" ref="AA259">IF(COUNTIFS(Table1[Country],Table1[[#This Row],[Country]])=1,0, _xlfn.STDEV.S(IF(Table1[Country]=Table1[[#This Row],[Country]],Table1[FinalElo])))</f>
        <v>135.61062237674741</v>
      </c>
      <c r="AB259">
        <f>IF(Table1[[#This Row],[CStd]]=0,0, (Table1[[#This Row],[FinalElo]]-Table1[[#This Row],[CAvg]]) / Table1[[#This Row],[CStd]])</f>
        <v>0.80061916082750573</v>
      </c>
      <c r="AC259" t="str">
        <f>IF(Table1[[#This Row],[CStd]]=0,"Normal", IF(ABS(Table1[[#This Row],[CZscore]])&gt;2,"Outlier","Normal"))</f>
        <v>Normal</v>
      </c>
    </row>
    <row r="260" spans="1:29" x14ac:dyDescent="0.35">
      <c r="A260" t="s">
        <v>2285</v>
      </c>
      <c r="B260">
        <v>65.3</v>
      </c>
      <c r="C260">
        <v>174</v>
      </c>
      <c r="D260" t="s">
        <v>82</v>
      </c>
      <c r="E260">
        <v>39</v>
      </c>
      <c r="F260" t="s">
        <v>2286</v>
      </c>
      <c r="G260" t="s">
        <v>34</v>
      </c>
      <c r="H260" t="s">
        <v>29</v>
      </c>
      <c r="I260" t="s">
        <v>73</v>
      </c>
      <c r="J260">
        <v>1</v>
      </c>
      <c r="K260">
        <v>2</v>
      </c>
      <c r="L260">
        <v>0</v>
      </c>
      <c r="M260">
        <v>0</v>
      </c>
      <c r="N260">
        <v>0</v>
      </c>
      <c r="O260">
        <v>0</v>
      </c>
      <c r="P260">
        <v>1</v>
      </c>
      <c r="Q260">
        <v>0</v>
      </c>
      <c r="R260">
        <v>1</v>
      </c>
      <c r="S260">
        <v>0</v>
      </c>
      <c r="T260">
        <v>0</v>
      </c>
      <c r="U260">
        <v>0</v>
      </c>
      <c r="V260">
        <v>0</v>
      </c>
      <c r="W260">
        <v>3</v>
      </c>
      <c r="X260">
        <v>945.89</v>
      </c>
      <c r="Y260">
        <v>1024.5</v>
      </c>
      <c r="Z260">
        <f>AVERAGEIFS(Table1[FinalElo], Table1[Country], Table1[[#This Row],[Country]])</f>
        <v>1012.5275373134326</v>
      </c>
      <c r="AA260" cm="1">
        <f t="array" ref="AA260">IF(COUNTIFS(Table1[Country],Table1[[#This Row],[Country]])=1,0, _xlfn.STDEV.S(IF(Table1[Country]=Table1[[#This Row],[Country]],Table1[FinalElo])))</f>
        <v>135.61062237674741</v>
      </c>
      <c r="AB260">
        <f>IF(Table1[[#This Row],[CStd]]=0,0, (Table1[[#This Row],[FinalElo]]-Table1[[#This Row],[CAvg]]) / Table1[[#This Row],[CStd]])</f>
        <v>-0.49138877283744914</v>
      </c>
      <c r="AC260" t="str">
        <f>IF(Table1[[#This Row],[CStd]]=0,"Normal", IF(ABS(Table1[[#This Row],[CZscore]])&gt;2,"Outlier","Normal"))</f>
        <v>Normal</v>
      </c>
    </row>
    <row r="261" spans="1:29" x14ac:dyDescent="0.35">
      <c r="A261" t="s">
        <v>2284</v>
      </c>
      <c r="B261">
        <v>61.23</v>
      </c>
      <c r="C261">
        <v>184</v>
      </c>
      <c r="D261" t="s">
        <v>82</v>
      </c>
      <c r="E261">
        <v>29</v>
      </c>
      <c r="F261" t="s">
        <v>1700</v>
      </c>
      <c r="G261" t="s">
        <v>34</v>
      </c>
      <c r="H261" t="s">
        <v>29</v>
      </c>
      <c r="I261" t="s">
        <v>73</v>
      </c>
      <c r="J261">
        <v>1</v>
      </c>
      <c r="K261">
        <v>3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1</v>
      </c>
      <c r="R261">
        <v>2</v>
      </c>
      <c r="S261">
        <v>0</v>
      </c>
      <c r="T261">
        <v>0</v>
      </c>
      <c r="U261">
        <v>1</v>
      </c>
      <c r="V261">
        <v>0</v>
      </c>
      <c r="W261">
        <v>4</v>
      </c>
      <c r="X261">
        <v>842.61</v>
      </c>
      <c r="Y261">
        <v>1028.01</v>
      </c>
      <c r="Z261">
        <f>AVERAGEIFS(Table1[FinalElo], Table1[Country], Table1[[#This Row],[Country]])</f>
        <v>1012.5275373134326</v>
      </c>
      <c r="AA261" cm="1">
        <f t="array" ref="AA261">IF(COUNTIFS(Table1[Country],Table1[[#This Row],[Country]])=1,0, _xlfn.STDEV.S(IF(Table1[Country]=Table1[[#This Row],[Country]],Table1[FinalElo])))</f>
        <v>135.61062237674741</v>
      </c>
      <c r="AB261">
        <f>IF(Table1[[#This Row],[CStd]]=0,0, (Table1[[#This Row],[FinalElo]]-Table1[[#This Row],[CAvg]]) / Table1[[#This Row],[CStd]])</f>
        <v>-1.2529810300654416</v>
      </c>
      <c r="AC261" t="str">
        <f>IF(Table1[[#This Row],[CStd]]=0,"Normal", IF(ABS(Table1[[#This Row],[CZscore]])&gt;2,"Outlier","Normal"))</f>
        <v>Normal</v>
      </c>
    </row>
    <row r="262" spans="1:29" x14ac:dyDescent="0.35">
      <c r="A262" t="s">
        <v>2283</v>
      </c>
      <c r="B262">
        <v>65.5</v>
      </c>
      <c r="C262">
        <v>175</v>
      </c>
      <c r="D262" t="s">
        <v>270</v>
      </c>
      <c r="E262">
        <v>28</v>
      </c>
      <c r="F262" t="s">
        <v>1817</v>
      </c>
      <c r="G262" t="s">
        <v>40</v>
      </c>
      <c r="H262" t="s">
        <v>29</v>
      </c>
      <c r="I262" t="s">
        <v>73</v>
      </c>
      <c r="J262">
        <v>5</v>
      </c>
      <c r="K262">
        <v>4</v>
      </c>
      <c r="L262">
        <v>0</v>
      </c>
      <c r="M262">
        <v>2</v>
      </c>
      <c r="N262">
        <v>0</v>
      </c>
      <c r="O262">
        <v>0</v>
      </c>
      <c r="P262">
        <v>1</v>
      </c>
      <c r="Q262">
        <v>1</v>
      </c>
      <c r="R262">
        <v>1</v>
      </c>
      <c r="S262">
        <v>2</v>
      </c>
      <c r="T262">
        <v>1</v>
      </c>
      <c r="U262">
        <v>0</v>
      </c>
      <c r="V262">
        <v>0</v>
      </c>
      <c r="W262">
        <v>9</v>
      </c>
      <c r="X262">
        <v>1016.88</v>
      </c>
      <c r="Y262">
        <v>1349.06</v>
      </c>
      <c r="Z262">
        <f>AVERAGEIFS(Table1[FinalElo], Table1[Country], Table1[[#This Row],[Country]])</f>
        <v>1084.24</v>
      </c>
      <c r="AA262" cm="1">
        <f t="array" ref="AA262">IF(COUNTIFS(Table1[Country],Table1[[#This Row],[Country]])=1,0, _xlfn.STDEV.S(IF(Table1[Country]=Table1[[#This Row],[Country]],Table1[FinalElo])))</f>
        <v>156.18548191173187</v>
      </c>
      <c r="AB262">
        <f>IF(Table1[[#This Row],[CStd]]=0,0, (Table1[[#This Row],[FinalElo]]-Table1[[#This Row],[CAvg]]) / Table1[[#This Row],[CStd]])</f>
        <v>-0.43128208317126732</v>
      </c>
      <c r="AC262" t="str">
        <f>IF(Table1[[#This Row],[CStd]]=0,"Normal", IF(ABS(Table1[[#This Row],[CZscore]])&gt;2,"Outlier","Normal"))</f>
        <v>Normal</v>
      </c>
    </row>
    <row r="263" spans="1:29" x14ac:dyDescent="0.35">
      <c r="A263" t="s">
        <v>2281</v>
      </c>
      <c r="B263">
        <v>63</v>
      </c>
      <c r="C263">
        <v>175</v>
      </c>
      <c r="D263" t="s">
        <v>513</v>
      </c>
      <c r="E263">
        <v>28</v>
      </c>
      <c r="F263" t="s">
        <v>2282</v>
      </c>
      <c r="G263" t="s">
        <v>34</v>
      </c>
      <c r="H263" t="s">
        <v>29</v>
      </c>
      <c r="I263" t="s">
        <v>73</v>
      </c>
      <c r="J263">
        <v>0</v>
      </c>
      <c r="K263">
        <v>1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1</v>
      </c>
      <c r="X263">
        <v>900</v>
      </c>
      <c r="Y263">
        <v>1000</v>
      </c>
      <c r="Z263">
        <f>AVERAGEIFS(Table1[FinalElo], Table1[Country], Table1[[#This Row],[Country]])</f>
        <v>991.92857142857144</v>
      </c>
      <c r="AA263" cm="1">
        <f t="array" ref="AA263">IF(COUNTIFS(Table1[Country],Table1[[#This Row],[Country]])=1,0, _xlfn.STDEV.S(IF(Table1[Country]=Table1[[#This Row],[Country]],Table1[FinalElo])))</f>
        <v>154.84924955929111</v>
      </c>
      <c r="AB263">
        <f>IF(Table1[[#This Row],[CStd]]=0,0, (Table1[[#This Row],[FinalElo]]-Table1[[#This Row],[CAvg]]) / Table1[[#This Row],[CStd]])</f>
        <v>-0.59366494632815381</v>
      </c>
      <c r="AC263" t="str">
        <f>IF(Table1[[#This Row],[CStd]]=0,"Normal", IF(ABS(Table1[[#This Row],[CZscore]])&gt;2,"Outlier","Normal"))</f>
        <v>Normal</v>
      </c>
    </row>
    <row r="264" spans="1:29" x14ac:dyDescent="0.35">
      <c r="A264" t="s">
        <v>2280</v>
      </c>
      <c r="B264">
        <v>56.7</v>
      </c>
      <c r="C264">
        <v>178</v>
      </c>
      <c r="D264" t="s">
        <v>82</v>
      </c>
      <c r="E264">
        <v>20</v>
      </c>
      <c r="F264" t="s">
        <v>375</v>
      </c>
      <c r="G264" t="s">
        <v>34</v>
      </c>
      <c r="H264" t="s">
        <v>29</v>
      </c>
      <c r="I264" t="s">
        <v>58</v>
      </c>
      <c r="J264">
        <v>2</v>
      </c>
      <c r="K264">
        <v>0</v>
      </c>
      <c r="L264">
        <v>0</v>
      </c>
      <c r="M264">
        <v>1</v>
      </c>
      <c r="N264">
        <v>0</v>
      </c>
      <c r="O264">
        <v>0</v>
      </c>
      <c r="P264">
        <v>1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2</v>
      </c>
      <c r="X264">
        <v>1248.82</v>
      </c>
      <c r="Y264">
        <v>1248.82</v>
      </c>
      <c r="Z264">
        <f>AVERAGEIFS(Table1[FinalElo], Table1[Country], Table1[[#This Row],[Country]])</f>
        <v>1012.5275373134326</v>
      </c>
      <c r="AA264" cm="1">
        <f t="array" ref="AA264">IF(COUNTIFS(Table1[Country],Table1[[#This Row],[Country]])=1,0, _xlfn.STDEV.S(IF(Table1[Country]=Table1[[#This Row],[Country]],Table1[FinalElo])))</f>
        <v>135.61062237674741</v>
      </c>
      <c r="AB264">
        <f>IF(Table1[[#This Row],[CStd]]=0,0, (Table1[[#This Row],[FinalElo]]-Table1[[#This Row],[CAvg]]) / Table1[[#This Row],[CStd]])</f>
        <v>1.7424332883755234</v>
      </c>
      <c r="AC264" t="str">
        <f>IF(Table1[[#This Row],[CStd]]=0,"Normal", IF(ABS(Table1[[#This Row],[CZscore]])&gt;2,"Outlier","Normal"))</f>
        <v>Normal</v>
      </c>
    </row>
    <row r="265" spans="1:29" x14ac:dyDescent="0.35">
      <c r="A265" t="s">
        <v>2278</v>
      </c>
      <c r="B265">
        <v>74</v>
      </c>
      <c r="C265">
        <v>168</v>
      </c>
      <c r="D265" t="s">
        <v>82</v>
      </c>
      <c r="E265">
        <v>33</v>
      </c>
      <c r="F265" t="s">
        <v>2279</v>
      </c>
      <c r="G265" t="s">
        <v>40</v>
      </c>
      <c r="H265" t="s">
        <v>29</v>
      </c>
      <c r="I265" t="s">
        <v>30</v>
      </c>
      <c r="J265">
        <v>0</v>
      </c>
      <c r="K265">
        <v>1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1</v>
      </c>
      <c r="W265">
        <v>1</v>
      </c>
      <c r="X265">
        <v>871.99</v>
      </c>
      <c r="Y265">
        <v>1000</v>
      </c>
      <c r="Z265">
        <f>AVERAGEIFS(Table1[FinalElo], Table1[Country], Table1[[#This Row],[Country]])</f>
        <v>1012.5275373134326</v>
      </c>
      <c r="AA265" cm="1">
        <f t="array" ref="AA265">IF(COUNTIFS(Table1[Country],Table1[[#This Row],[Country]])=1,0, _xlfn.STDEV.S(IF(Table1[Country]=Table1[[#This Row],[Country]],Table1[FinalElo])))</f>
        <v>135.61062237674741</v>
      </c>
      <c r="AB265">
        <f>IF(Table1[[#This Row],[CStd]]=0,0, (Table1[[#This Row],[FinalElo]]-Table1[[#This Row],[CAvg]]) / Table1[[#This Row],[CStd]])</f>
        <v>-1.0363313348934973</v>
      </c>
      <c r="AC265" t="str">
        <f>IF(Table1[[#This Row],[CStd]]=0,"Normal", IF(ABS(Table1[[#This Row],[CZscore]])&gt;2,"Outlier","Normal"))</f>
        <v>Normal</v>
      </c>
    </row>
    <row r="266" spans="1:29" x14ac:dyDescent="0.35">
      <c r="A266" t="s">
        <v>2276</v>
      </c>
      <c r="B266">
        <v>53.523856000000002</v>
      </c>
      <c r="C266">
        <v>169</v>
      </c>
      <c r="D266" t="s">
        <v>82</v>
      </c>
      <c r="E266">
        <v>32</v>
      </c>
      <c r="F266" t="s">
        <v>2277</v>
      </c>
      <c r="G266" t="s">
        <v>34</v>
      </c>
      <c r="H266" t="s">
        <v>29</v>
      </c>
      <c r="I266" t="s">
        <v>36</v>
      </c>
      <c r="J266">
        <v>0</v>
      </c>
      <c r="K266">
        <v>1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1</v>
      </c>
      <c r="V266">
        <v>0</v>
      </c>
      <c r="W266">
        <v>1</v>
      </c>
      <c r="X266">
        <v>900</v>
      </c>
      <c r="Y266">
        <v>1000</v>
      </c>
      <c r="Z266">
        <f>AVERAGEIFS(Table1[FinalElo], Table1[Country], Table1[[#This Row],[Country]])</f>
        <v>1012.5275373134326</v>
      </c>
      <c r="AA266" cm="1">
        <f t="array" ref="AA266">IF(COUNTIFS(Table1[Country],Table1[[#This Row],[Country]])=1,0, _xlfn.STDEV.S(IF(Table1[Country]=Table1[[#This Row],[Country]],Table1[FinalElo])))</f>
        <v>135.61062237674741</v>
      </c>
      <c r="AB266">
        <f>IF(Table1[[#This Row],[CStd]]=0,0, (Table1[[#This Row],[FinalElo]]-Table1[[#This Row],[CAvg]]) / Table1[[#This Row],[CStd]])</f>
        <v>-0.82978409317238888</v>
      </c>
      <c r="AC266" t="str">
        <f>IF(Table1[[#This Row],[CStd]]=0,"Normal", IF(ABS(Table1[[#This Row],[CZscore]])&gt;2,"Outlier","Normal"))</f>
        <v>Normal</v>
      </c>
    </row>
    <row r="267" spans="1:29" x14ac:dyDescent="0.35">
      <c r="A267" t="s">
        <v>2275</v>
      </c>
      <c r="B267">
        <v>61.1</v>
      </c>
      <c r="C267">
        <v>172</v>
      </c>
      <c r="D267" t="s">
        <v>140</v>
      </c>
      <c r="E267">
        <v>26</v>
      </c>
      <c r="F267" t="s">
        <v>408</v>
      </c>
      <c r="G267" t="s">
        <v>28</v>
      </c>
      <c r="H267" t="s">
        <v>29</v>
      </c>
      <c r="I267" t="s">
        <v>58</v>
      </c>
      <c r="J267">
        <v>1</v>
      </c>
      <c r="K267">
        <v>5</v>
      </c>
      <c r="L267">
        <v>0</v>
      </c>
      <c r="M267">
        <v>0</v>
      </c>
      <c r="N267">
        <v>0</v>
      </c>
      <c r="O267">
        <v>0</v>
      </c>
      <c r="P267">
        <v>1</v>
      </c>
      <c r="Q267">
        <v>0</v>
      </c>
      <c r="R267">
        <v>0</v>
      </c>
      <c r="S267">
        <v>0</v>
      </c>
      <c r="T267">
        <v>0</v>
      </c>
      <c r="U267">
        <v>3</v>
      </c>
      <c r="V267">
        <v>2</v>
      </c>
      <c r="W267">
        <v>6</v>
      </c>
      <c r="X267">
        <v>717.83</v>
      </c>
      <c r="Y267">
        <v>1100</v>
      </c>
      <c r="Z267">
        <f>AVERAGEIFS(Table1[FinalElo], Table1[Country], Table1[[#This Row],[Country]])</f>
        <v>1002.675294117647</v>
      </c>
      <c r="AA267" cm="1">
        <f t="array" ref="AA267">IF(COUNTIFS(Table1[Country],Table1[[#This Row],[Country]])=1,0, _xlfn.STDEV.S(IF(Table1[Country]=Table1[[#This Row],[Country]],Table1[FinalElo])))</f>
        <v>171.59712028169514</v>
      </c>
      <c r="AB267">
        <f>IF(Table1[[#This Row],[CStd]]=0,0, (Table1[[#This Row],[FinalElo]]-Table1[[#This Row],[CAvg]]) / Table1[[#This Row],[CStd]])</f>
        <v>-1.6599654682435392</v>
      </c>
      <c r="AC267" t="str">
        <f>IF(Table1[[#This Row],[CStd]]=0,"Normal", IF(ABS(Table1[[#This Row],[CZscore]])&gt;2,"Outlier","Normal"))</f>
        <v>Normal</v>
      </c>
    </row>
    <row r="268" spans="1:29" x14ac:dyDescent="0.35">
      <c r="A268" t="s">
        <v>2272</v>
      </c>
      <c r="B268">
        <v>83.9</v>
      </c>
      <c r="C268">
        <v>177</v>
      </c>
      <c r="D268" t="s">
        <v>2273</v>
      </c>
      <c r="E268">
        <v>42</v>
      </c>
      <c r="F268" t="s">
        <v>2274</v>
      </c>
      <c r="G268" t="s">
        <v>40</v>
      </c>
      <c r="H268" t="s">
        <v>29</v>
      </c>
      <c r="I268" t="s">
        <v>50</v>
      </c>
      <c r="J268">
        <v>0</v>
      </c>
      <c r="K268">
        <v>4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1</v>
      </c>
      <c r="S268">
        <v>0</v>
      </c>
      <c r="T268">
        <v>0</v>
      </c>
      <c r="U268">
        <v>2</v>
      </c>
      <c r="V268">
        <v>0</v>
      </c>
      <c r="W268">
        <v>4</v>
      </c>
      <c r="X268">
        <v>717.94</v>
      </c>
      <c r="Y268">
        <v>1000</v>
      </c>
      <c r="Z268">
        <f>AVERAGEIFS(Table1[FinalElo], Table1[Country], Table1[[#This Row],[Country]])</f>
        <v>717.94</v>
      </c>
      <c r="AA268" cm="1">
        <f t="array" ref="AA268">IF(COUNTIFS(Table1[Country],Table1[[#This Row],[Country]])=1,0, _xlfn.STDEV.S(IF(Table1[Country]=Table1[[#This Row],[Country]],Table1[FinalElo])))</f>
        <v>0</v>
      </c>
      <c r="AB268">
        <f>IF(Table1[[#This Row],[CStd]]=0,0, (Table1[[#This Row],[FinalElo]]-Table1[[#This Row],[CAvg]]) / Table1[[#This Row],[CStd]])</f>
        <v>0</v>
      </c>
      <c r="AC268" t="str">
        <f>IF(Table1[[#This Row],[CStd]]=0,"Normal", IF(ABS(Table1[[#This Row],[CZscore]])&gt;2,"Outlier","Normal"))</f>
        <v>Normal</v>
      </c>
    </row>
    <row r="269" spans="1:29" x14ac:dyDescent="0.35">
      <c r="A269" t="s">
        <v>2271</v>
      </c>
      <c r="B269">
        <v>53.523856000000002</v>
      </c>
      <c r="C269">
        <v>173</v>
      </c>
      <c r="D269" t="s">
        <v>116</v>
      </c>
      <c r="E269">
        <v>17</v>
      </c>
      <c r="F269" t="s">
        <v>1455</v>
      </c>
      <c r="G269" t="s">
        <v>28</v>
      </c>
      <c r="H269" t="s">
        <v>29</v>
      </c>
      <c r="I269" t="s">
        <v>36</v>
      </c>
      <c r="J269">
        <v>0</v>
      </c>
      <c r="K269">
        <v>1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1</v>
      </c>
      <c r="W269">
        <v>1</v>
      </c>
      <c r="X269">
        <v>900</v>
      </c>
      <c r="Y269">
        <v>1000</v>
      </c>
      <c r="Z269">
        <f>AVERAGEIFS(Table1[FinalElo], Table1[Country], Table1[[#This Row],[Country]])</f>
        <v>980.88090909090931</v>
      </c>
      <c r="AA269" cm="1">
        <f t="array" ref="AA269">IF(COUNTIFS(Table1[Country],Table1[[#This Row],[Country]])=1,0, _xlfn.STDEV.S(IF(Table1[Country]=Table1[[#This Row],[Country]],Table1[FinalElo])))</f>
        <v>133.41794796376408</v>
      </c>
      <c r="AB269">
        <f>IF(Table1[[#This Row],[CStd]]=0,0, (Table1[[#This Row],[FinalElo]]-Table1[[#This Row],[CAvg]]) / Table1[[#This Row],[CStd]])</f>
        <v>-0.60622210373731977</v>
      </c>
      <c r="AC269" t="str">
        <f>IF(Table1[[#This Row],[CStd]]=0,"Normal", IF(ABS(Table1[[#This Row],[CZscore]])&gt;2,"Outlier","Normal"))</f>
        <v>Normal</v>
      </c>
    </row>
    <row r="270" spans="1:29" x14ac:dyDescent="0.35">
      <c r="A270" t="s">
        <v>2269</v>
      </c>
      <c r="B270">
        <v>76.8</v>
      </c>
      <c r="C270">
        <v>188</v>
      </c>
      <c r="D270" t="s">
        <v>626</v>
      </c>
      <c r="E270">
        <v>28</v>
      </c>
      <c r="F270" t="s">
        <v>2270</v>
      </c>
      <c r="G270" t="s">
        <v>40</v>
      </c>
      <c r="H270" t="s">
        <v>29</v>
      </c>
      <c r="I270" t="s">
        <v>30</v>
      </c>
      <c r="J270">
        <v>1</v>
      </c>
      <c r="K270">
        <v>0</v>
      </c>
      <c r="L270">
        <v>0</v>
      </c>
      <c r="M270">
        <v>1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1</v>
      </c>
      <c r="X270">
        <v>1100</v>
      </c>
      <c r="Y270">
        <v>1100</v>
      </c>
      <c r="Z270">
        <f>AVERAGEIFS(Table1[FinalElo], Table1[Country], Table1[[#This Row],[Country]])</f>
        <v>932.03999999999985</v>
      </c>
      <c r="AA270" cm="1">
        <f t="array" ref="AA270">IF(COUNTIFS(Table1[Country],Table1[[#This Row],[Country]])=1,0, _xlfn.STDEV.S(IF(Table1[Country]=Table1[[#This Row],[Country]],Table1[FinalElo])))</f>
        <v>135.23570706979393</v>
      </c>
      <c r="AB270">
        <f>IF(Table1[[#This Row],[CStd]]=0,0, (Table1[[#This Row],[FinalElo]]-Table1[[#This Row],[CAvg]]) / Table1[[#This Row],[CStd]])</f>
        <v>1.2419796785867914</v>
      </c>
      <c r="AC270" t="str">
        <f>IF(Table1[[#This Row],[CStd]]=0,"Normal", IF(ABS(Table1[[#This Row],[CZscore]])&gt;2,"Outlier","Normal"))</f>
        <v>Normal</v>
      </c>
    </row>
    <row r="271" spans="1:29" x14ac:dyDescent="0.35">
      <c r="A271" t="s">
        <v>2266</v>
      </c>
      <c r="B271">
        <v>56.7</v>
      </c>
      <c r="C271">
        <v>177</v>
      </c>
      <c r="D271" t="s">
        <v>2267</v>
      </c>
      <c r="E271">
        <v>27</v>
      </c>
      <c r="F271" t="s">
        <v>2268</v>
      </c>
      <c r="G271" t="s">
        <v>40</v>
      </c>
      <c r="H271" t="s">
        <v>29</v>
      </c>
      <c r="I271" t="s">
        <v>58</v>
      </c>
      <c r="J271">
        <v>1</v>
      </c>
      <c r="K271">
        <v>0</v>
      </c>
      <c r="L271">
        <v>0</v>
      </c>
      <c r="M271">
        <v>0</v>
      </c>
      <c r="N271">
        <v>1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1</v>
      </c>
      <c r="X271">
        <v>1149.1600000000001</v>
      </c>
      <c r="Y271">
        <v>1149.1600000000001</v>
      </c>
      <c r="Z271">
        <f>AVERAGEIFS(Table1[FinalElo], Table1[Country], Table1[[#This Row],[Country]])</f>
        <v>1149.1600000000001</v>
      </c>
      <c r="AA271" cm="1">
        <f t="array" ref="AA271">IF(COUNTIFS(Table1[Country],Table1[[#This Row],[Country]])=1,0, _xlfn.STDEV.S(IF(Table1[Country]=Table1[[#This Row],[Country]],Table1[FinalElo])))</f>
        <v>0</v>
      </c>
      <c r="AB271">
        <f>IF(Table1[[#This Row],[CStd]]=0,0, (Table1[[#This Row],[FinalElo]]-Table1[[#This Row],[CAvg]]) / Table1[[#This Row],[CStd]])</f>
        <v>0</v>
      </c>
      <c r="AC271" t="str">
        <f>IF(Table1[[#This Row],[CStd]]=0,"Normal", IF(ABS(Table1[[#This Row],[CZscore]])&gt;2,"Outlier","Normal"))</f>
        <v>Normal</v>
      </c>
    </row>
    <row r="272" spans="1:29" x14ac:dyDescent="0.35">
      <c r="A272" t="s">
        <v>2264</v>
      </c>
      <c r="B272">
        <v>61</v>
      </c>
      <c r="C272">
        <v>170</v>
      </c>
      <c r="D272" t="s">
        <v>38</v>
      </c>
      <c r="E272">
        <v>27</v>
      </c>
      <c r="F272" t="s">
        <v>2265</v>
      </c>
      <c r="G272" t="s">
        <v>34</v>
      </c>
      <c r="H272" t="s">
        <v>29</v>
      </c>
      <c r="I272" t="s">
        <v>58</v>
      </c>
      <c r="J272">
        <v>0</v>
      </c>
      <c r="K272">
        <v>1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1</v>
      </c>
      <c r="V272">
        <v>0</v>
      </c>
      <c r="W272">
        <v>1</v>
      </c>
      <c r="X272">
        <v>971.98</v>
      </c>
      <c r="Y272">
        <v>1000</v>
      </c>
      <c r="Z272">
        <f>AVERAGEIFS(Table1[FinalElo], Table1[Country], Table1[[#This Row],[Country]])</f>
        <v>1057.4495402298851</v>
      </c>
      <c r="AA272" cm="1">
        <f t="array" ref="AA272">IF(COUNTIFS(Table1[Country],Table1[[#This Row],[Country]])=1,0, _xlfn.STDEV.S(IF(Table1[Country]=Table1[[#This Row],[Country]],Table1[FinalElo])))</f>
        <v>156.98667602259493</v>
      </c>
      <c r="AB272">
        <f>IF(Table1[[#This Row],[CStd]]=0,0, (Table1[[#This Row],[FinalElo]]-Table1[[#This Row],[CAvg]]) / Table1[[#This Row],[CStd]])</f>
        <v>-0.54443818033056213</v>
      </c>
      <c r="AC272" t="str">
        <f>IF(Table1[[#This Row],[CStd]]=0,"Normal", IF(ABS(Table1[[#This Row],[CZscore]])&gt;2,"Outlier","Normal"))</f>
        <v>Normal</v>
      </c>
    </row>
    <row r="273" spans="1:29" x14ac:dyDescent="0.35">
      <c r="A273" t="s">
        <v>2262</v>
      </c>
      <c r="B273">
        <v>70.3</v>
      </c>
      <c r="C273">
        <v>175</v>
      </c>
      <c r="D273" t="s">
        <v>89</v>
      </c>
      <c r="E273">
        <v>36</v>
      </c>
      <c r="F273" t="s">
        <v>2263</v>
      </c>
      <c r="G273" t="s">
        <v>40</v>
      </c>
      <c r="H273" t="s">
        <v>29</v>
      </c>
      <c r="I273" t="s">
        <v>48</v>
      </c>
      <c r="J273">
        <v>9</v>
      </c>
      <c r="K273">
        <v>6</v>
      </c>
      <c r="L273">
        <v>1</v>
      </c>
      <c r="M273">
        <v>2</v>
      </c>
      <c r="N273">
        <v>1</v>
      </c>
      <c r="O273">
        <v>0</v>
      </c>
      <c r="P273">
        <v>0</v>
      </c>
      <c r="Q273">
        <v>2</v>
      </c>
      <c r="R273">
        <v>1</v>
      </c>
      <c r="S273">
        <v>1</v>
      </c>
      <c r="T273">
        <v>0</v>
      </c>
      <c r="U273">
        <v>3</v>
      </c>
      <c r="V273">
        <v>1</v>
      </c>
      <c r="W273">
        <v>16</v>
      </c>
      <c r="X273">
        <v>1056.58</v>
      </c>
      <c r="Y273">
        <v>1326.23</v>
      </c>
      <c r="Z273">
        <f>AVERAGEIFS(Table1[FinalElo], Table1[Country], Table1[[#This Row],[Country]])</f>
        <v>1012.0629025423733</v>
      </c>
      <c r="AA273" cm="1">
        <f t="array" ref="AA273">IF(COUNTIFS(Table1[Country],Table1[[#This Row],[Country]])=1,0, _xlfn.STDEV.S(IF(Table1[Country]=Table1[[#This Row],[Country]],Table1[FinalElo])))</f>
        <v>148.42180446198614</v>
      </c>
      <c r="AB273">
        <f>IF(Table1[[#This Row],[CStd]]=0,0, (Table1[[#This Row],[FinalElo]]-Table1[[#This Row],[CAvg]]) / Table1[[#This Row],[CStd]])</f>
        <v>0.29993637133705886</v>
      </c>
      <c r="AC273" t="str">
        <f>IF(Table1[[#This Row],[CStd]]=0,"Normal", IF(ABS(Table1[[#This Row],[CZscore]])&gt;2,"Outlier","Normal"))</f>
        <v>Normal</v>
      </c>
    </row>
    <row r="274" spans="1:29" x14ac:dyDescent="0.35">
      <c r="A274" t="s">
        <v>2260</v>
      </c>
      <c r="B274">
        <v>70.3</v>
      </c>
      <c r="C274">
        <v>176</v>
      </c>
      <c r="D274" t="s">
        <v>116</v>
      </c>
      <c r="E274">
        <v>27</v>
      </c>
      <c r="F274" t="s">
        <v>2261</v>
      </c>
      <c r="G274" t="s">
        <v>28</v>
      </c>
      <c r="H274" t="s">
        <v>29</v>
      </c>
      <c r="I274" t="s">
        <v>48</v>
      </c>
      <c r="J274">
        <v>1</v>
      </c>
      <c r="K274">
        <v>2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1</v>
      </c>
      <c r="R274">
        <v>0</v>
      </c>
      <c r="S274">
        <v>0</v>
      </c>
      <c r="T274">
        <v>0</v>
      </c>
      <c r="U274">
        <v>1</v>
      </c>
      <c r="V274">
        <v>0</v>
      </c>
      <c r="W274">
        <v>3</v>
      </c>
      <c r="X274">
        <v>869.69</v>
      </c>
      <c r="Y274">
        <v>1100</v>
      </c>
      <c r="Z274">
        <f>AVERAGEIFS(Table1[FinalElo], Table1[Country], Table1[[#This Row],[Country]])</f>
        <v>980.88090909090931</v>
      </c>
      <c r="AA274" cm="1">
        <f t="array" ref="AA274">IF(COUNTIFS(Table1[Country],Table1[[#This Row],[Country]])=1,0, _xlfn.STDEV.S(IF(Table1[Country]=Table1[[#This Row],[Country]],Table1[FinalElo])))</f>
        <v>133.41794796376408</v>
      </c>
      <c r="AB274">
        <f>IF(Table1[[#This Row],[CStd]]=0,0, (Table1[[#This Row],[FinalElo]]-Table1[[#This Row],[CAvg]]) / Table1[[#This Row],[CStd]])</f>
        <v>-0.83340293257327258</v>
      </c>
      <c r="AC274" t="str">
        <f>IF(Table1[[#This Row],[CStd]]=0,"Normal", IF(ABS(Table1[[#This Row],[CZscore]])&gt;2,"Outlier","Normal"))</f>
        <v>Normal</v>
      </c>
    </row>
    <row r="275" spans="1:29" x14ac:dyDescent="0.35">
      <c r="A275" t="s">
        <v>2258</v>
      </c>
      <c r="B275">
        <v>61.23</v>
      </c>
      <c r="C275">
        <v>169</v>
      </c>
      <c r="D275" t="s">
        <v>38</v>
      </c>
      <c r="E275">
        <v>33</v>
      </c>
      <c r="F275" t="s">
        <v>2259</v>
      </c>
      <c r="G275" t="s">
        <v>54</v>
      </c>
      <c r="H275" t="s">
        <v>29</v>
      </c>
      <c r="I275" t="s">
        <v>73</v>
      </c>
      <c r="J275">
        <v>0</v>
      </c>
      <c r="K275">
        <v>1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1</v>
      </c>
      <c r="V275">
        <v>0</v>
      </c>
      <c r="W275">
        <v>1</v>
      </c>
      <c r="X275">
        <v>900</v>
      </c>
      <c r="Y275">
        <v>1000</v>
      </c>
      <c r="Z275">
        <f>AVERAGEIFS(Table1[FinalElo], Table1[Country], Table1[[#This Row],[Country]])</f>
        <v>1057.4495402298851</v>
      </c>
      <c r="AA275" cm="1">
        <f t="array" ref="AA275">IF(COUNTIFS(Table1[Country],Table1[[#This Row],[Country]])=1,0, _xlfn.STDEV.S(IF(Table1[Country]=Table1[[#This Row],[Country]],Table1[FinalElo])))</f>
        <v>156.98667602259493</v>
      </c>
      <c r="AB275">
        <f>IF(Table1[[#This Row],[CStd]]=0,0, (Table1[[#This Row],[FinalElo]]-Table1[[#This Row],[CAvg]]) / Table1[[#This Row],[CStd]])</f>
        <v>-1.0029484298860085</v>
      </c>
      <c r="AC275" t="str">
        <f>IF(Table1[[#This Row],[CStd]]=0,"Normal", IF(ABS(Table1[[#This Row],[CZscore]])&gt;2,"Outlier","Normal"))</f>
        <v>Normal</v>
      </c>
    </row>
    <row r="276" spans="1:29" x14ac:dyDescent="0.35">
      <c r="A276" t="s">
        <v>2254</v>
      </c>
      <c r="B276">
        <v>70</v>
      </c>
      <c r="C276">
        <v>171</v>
      </c>
      <c r="D276" t="s">
        <v>38</v>
      </c>
      <c r="E276">
        <v>29</v>
      </c>
      <c r="F276" t="s">
        <v>2255</v>
      </c>
      <c r="G276" t="s">
        <v>40</v>
      </c>
      <c r="H276" t="s">
        <v>29</v>
      </c>
      <c r="I276" t="s">
        <v>48</v>
      </c>
      <c r="J276">
        <v>6</v>
      </c>
      <c r="K276">
        <v>1</v>
      </c>
      <c r="L276">
        <v>0</v>
      </c>
      <c r="M276">
        <v>0</v>
      </c>
      <c r="N276">
        <v>1</v>
      </c>
      <c r="O276">
        <v>0</v>
      </c>
      <c r="P276">
        <v>5</v>
      </c>
      <c r="Q276">
        <v>0</v>
      </c>
      <c r="R276">
        <v>0</v>
      </c>
      <c r="S276">
        <v>1</v>
      </c>
      <c r="T276">
        <v>0</v>
      </c>
      <c r="U276">
        <v>0</v>
      </c>
      <c r="V276">
        <v>0</v>
      </c>
      <c r="W276">
        <v>7</v>
      </c>
      <c r="X276">
        <v>1423.12</v>
      </c>
      <c r="Y276">
        <v>1423.12</v>
      </c>
      <c r="Z276">
        <f>AVERAGEIFS(Table1[FinalElo], Table1[Country], Table1[[#This Row],[Country]])</f>
        <v>1057.4495402298851</v>
      </c>
      <c r="AA276" cm="1">
        <f t="array" ref="AA276">IF(COUNTIFS(Table1[Country],Table1[[#This Row],[Country]])=1,0, _xlfn.STDEV.S(IF(Table1[Country]=Table1[[#This Row],[Country]],Table1[FinalElo])))</f>
        <v>156.98667602259493</v>
      </c>
      <c r="AB276">
        <f>IF(Table1[[#This Row],[CStd]]=0,0, (Table1[[#This Row],[FinalElo]]-Table1[[#This Row],[CAvg]]) / Table1[[#This Row],[CStd]])</f>
        <v>2.3293088880834971</v>
      </c>
      <c r="AC276" t="str">
        <f>IF(Table1[[#This Row],[CStd]]=0,"Normal", IF(ABS(Table1[[#This Row],[CZscore]])&gt;2,"Outlier","Normal"))</f>
        <v>Outlier</v>
      </c>
    </row>
    <row r="277" spans="1:29" x14ac:dyDescent="0.35">
      <c r="A277" t="s">
        <v>2252</v>
      </c>
      <c r="B277">
        <v>102.06</v>
      </c>
      <c r="C277">
        <v>189</v>
      </c>
      <c r="D277" t="s">
        <v>247</v>
      </c>
      <c r="E277">
        <v>35</v>
      </c>
      <c r="F277" t="s">
        <v>2253</v>
      </c>
      <c r="G277" t="s">
        <v>40</v>
      </c>
      <c r="H277" t="s">
        <v>29</v>
      </c>
      <c r="I277" t="s">
        <v>94</v>
      </c>
      <c r="J277">
        <v>4</v>
      </c>
      <c r="K277">
        <v>0</v>
      </c>
      <c r="L277">
        <v>0</v>
      </c>
      <c r="M277">
        <v>2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4</v>
      </c>
      <c r="X277">
        <v>1329.28</v>
      </c>
      <c r="Y277">
        <v>1329.28</v>
      </c>
      <c r="Z277">
        <f>AVERAGEIFS(Table1[FinalElo], Table1[Country], Table1[[#This Row],[Country]])</f>
        <v>1050.0176190476191</v>
      </c>
      <c r="AA277" cm="1">
        <f t="array" ref="AA277">IF(COUNTIFS(Table1[Country],Table1[[#This Row],[Country]])=1,0, _xlfn.STDEV.S(IF(Table1[Country]=Table1[[#This Row],[Country]],Table1[FinalElo])))</f>
        <v>127.00578096703971</v>
      </c>
      <c r="AB277">
        <f>IF(Table1[[#This Row],[CStd]]=0,0, (Table1[[#This Row],[FinalElo]]-Table1[[#This Row],[CAvg]]) / Table1[[#This Row],[CStd]])</f>
        <v>2.198816296597196</v>
      </c>
      <c r="AC277" t="str">
        <f>IF(Table1[[#This Row],[CStd]]=0,"Normal", IF(ABS(Table1[[#This Row],[CZscore]])&gt;2,"Outlier","Normal"))</f>
        <v>Outlier</v>
      </c>
    </row>
    <row r="278" spans="1:29" x14ac:dyDescent="0.35">
      <c r="A278" t="s">
        <v>2250</v>
      </c>
      <c r="B278">
        <v>52.16</v>
      </c>
      <c r="C278">
        <v>181</v>
      </c>
      <c r="D278" t="s">
        <v>38</v>
      </c>
      <c r="E278">
        <v>23</v>
      </c>
      <c r="F278" t="s">
        <v>2251</v>
      </c>
      <c r="G278" t="s">
        <v>34</v>
      </c>
      <c r="H278" t="s">
        <v>29</v>
      </c>
      <c r="I278" t="s">
        <v>36</v>
      </c>
      <c r="J278">
        <v>0</v>
      </c>
      <c r="K278">
        <v>2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1</v>
      </c>
      <c r="S278">
        <v>0</v>
      </c>
      <c r="T278">
        <v>0</v>
      </c>
      <c r="U278">
        <v>0</v>
      </c>
      <c r="V278">
        <v>0</v>
      </c>
      <c r="W278">
        <v>2</v>
      </c>
      <c r="X278">
        <v>876.07</v>
      </c>
      <c r="Y278">
        <v>1000</v>
      </c>
      <c r="Z278">
        <f>AVERAGEIFS(Table1[FinalElo], Table1[Country], Table1[[#This Row],[Country]])</f>
        <v>1057.4495402298851</v>
      </c>
      <c r="AA278" cm="1">
        <f t="array" ref="AA278">IF(COUNTIFS(Table1[Country],Table1[[#This Row],[Country]])=1,0, _xlfn.STDEV.S(IF(Table1[Country]=Table1[[#This Row],[Country]],Table1[FinalElo])))</f>
        <v>156.98667602259493</v>
      </c>
      <c r="AB278">
        <f>IF(Table1[[#This Row],[CStd]]=0,0, (Table1[[#This Row],[FinalElo]]-Table1[[#This Row],[CAvg]]) / Table1[[#This Row],[CStd]])</f>
        <v>-1.1553817484725855</v>
      </c>
      <c r="AC278" t="str">
        <f>IF(Table1[[#This Row],[CStd]]=0,"Normal", IF(ABS(Table1[[#This Row],[CZscore]])&gt;2,"Outlier","Normal"))</f>
        <v>Normal</v>
      </c>
    </row>
    <row r="279" spans="1:29" x14ac:dyDescent="0.35">
      <c r="A279" t="s">
        <v>2248</v>
      </c>
      <c r="B279">
        <v>76.8</v>
      </c>
      <c r="C279">
        <v>186</v>
      </c>
      <c r="D279" t="s">
        <v>407</v>
      </c>
      <c r="E279">
        <v>28</v>
      </c>
      <c r="F279" t="s">
        <v>2249</v>
      </c>
      <c r="G279" t="s">
        <v>28</v>
      </c>
      <c r="H279" t="s">
        <v>29</v>
      </c>
      <c r="I279" t="s">
        <v>30</v>
      </c>
      <c r="J279">
        <v>1</v>
      </c>
      <c r="K279">
        <v>2</v>
      </c>
      <c r="L279">
        <v>0</v>
      </c>
      <c r="M279">
        <v>0</v>
      </c>
      <c r="N279">
        <v>0</v>
      </c>
      <c r="O279">
        <v>0</v>
      </c>
      <c r="P279">
        <v>1</v>
      </c>
      <c r="Q279">
        <v>0</v>
      </c>
      <c r="R279">
        <v>1</v>
      </c>
      <c r="S279">
        <v>0</v>
      </c>
      <c r="T279">
        <v>0</v>
      </c>
      <c r="U279">
        <v>0</v>
      </c>
      <c r="V279">
        <v>0</v>
      </c>
      <c r="W279">
        <v>3</v>
      </c>
      <c r="X279">
        <v>848.98</v>
      </c>
      <c r="Y279">
        <v>1100</v>
      </c>
      <c r="Z279">
        <f>AVERAGEIFS(Table1[FinalElo], Table1[Country], Table1[[#This Row],[Country]])</f>
        <v>1015.375</v>
      </c>
      <c r="AA279" cm="1">
        <f t="array" ref="AA279">IF(COUNTIFS(Table1[Country],Table1[[#This Row],[Country]])=1,0, _xlfn.STDEV.S(IF(Table1[Country]=Table1[[#This Row],[Country]],Table1[FinalElo])))</f>
        <v>114.73350760203692</v>
      </c>
      <c r="AB279">
        <f>IF(Table1[[#This Row],[CStd]]=0,0, (Table1[[#This Row],[FinalElo]]-Table1[[#This Row],[CAvg]]) / Table1[[#This Row],[CStd]])</f>
        <v>-1.4502737995002768</v>
      </c>
      <c r="AC279" t="str">
        <f>IF(Table1[[#This Row],[CStd]]=0,"Normal", IF(ABS(Table1[[#This Row],[CZscore]])&gt;2,"Outlier","Normal"))</f>
        <v>Normal</v>
      </c>
    </row>
    <row r="280" spans="1:29" x14ac:dyDescent="0.35">
      <c r="A280" t="s">
        <v>2246</v>
      </c>
      <c r="B280">
        <v>63.5</v>
      </c>
      <c r="C280">
        <v>171</v>
      </c>
      <c r="D280" t="s">
        <v>384</v>
      </c>
      <c r="E280">
        <v>24</v>
      </c>
      <c r="F280" t="s">
        <v>2247</v>
      </c>
      <c r="G280" t="s">
        <v>34</v>
      </c>
      <c r="H280" t="s">
        <v>29</v>
      </c>
      <c r="I280" t="s">
        <v>73</v>
      </c>
      <c r="J280">
        <v>1</v>
      </c>
      <c r="K280">
        <v>3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3</v>
      </c>
      <c r="V280">
        <v>0</v>
      </c>
      <c r="W280">
        <v>4</v>
      </c>
      <c r="X280">
        <v>922.64</v>
      </c>
      <c r="Y280">
        <v>1003.06</v>
      </c>
      <c r="Z280">
        <f>AVERAGEIFS(Table1[FinalElo], Table1[Country], Table1[[#This Row],[Country]])</f>
        <v>1054.6869565217391</v>
      </c>
      <c r="AA280" cm="1">
        <f t="array" ref="AA280">IF(COUNTIFS(Table1[Country],Table1[[#This Row],[Country]])=1,0, _xlfn.STDEV.S(IF(Table1[Country]=Table1[[#This Row],[Country]],Table1[FinalElo])))</f>
        <v>191.2923801275472</v>
      </c>
      <c r="AB280">
        <f>IF(Table1[[#This Row],[CStd]]=0,0, (Table1[[#This Row],[FinalElo]]-Table1[[#This Row],[CAvg]]) / Table1[[#This Row],[CStd]])</f>
        <v>-0.69028863791487549</v>
      </c>
      <c r="AC280" t="str">
        <f>IF(Table1[[#This Row],[CStd]]=0,"Normal", IF(ABS(Table1[[#This Row],[CZscore]])&gt;2,"Outlier","Normal"))</f>
        <v>Normal</v>
      </c>
    </row>
    <row r="281" spans="1:29" x14ac:dyDescent="0.35">
      <c r="A281" t="s">
        <v>2244</v>
      </c>
      <c r="B281">
        <v>70.3</v>
      </c>
      <c r="C281">
        <v>179</v>
      </c>
      <c r="D281" t="s">
        <v>193</v>
      </c>
      <c r="E281">
        <v>27</v>
      </c>
      <c r="F281" t="s">
        <v>2245</v>
      </c>
      <c r="G281" t="s">
        <v>28</v>
      </c>
      <c r="H281" t="s">
        <v>29</v>
      </c>
      <c r="I281" t="s">
        <v>48</v>
      </c>
      <c r="J281">
        <v>0</v>
      </c>
      <c r="K281">
        <v>1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1</v>
      </c>
      <c r="X281">
        <v>885.9</v>
      </c>
      <c r="Y281">
        <v>1000</v>
      </c>
      <c r="Z281">
        <f>AVERAGEIFS(Table1[FinalElo], Table1[Country], Table1[[#This Row],[Country]])</f>
        <v>997.06500000000005</v>
      </c>
      <c r="AA281" cm="1">
        <f t="array" ref="AA281">IF(COUNTIFS(Table1[Country],Table1[[#This Row],[Country]])=1,0, _xlfn.STDEV.S(IF(Table1[Country]=Table1[[#This Row],[Country]],Table1[FinalElo])))</f>
        <v>135.83076329441192</v>
      </c>
      <c r="AB281">
        <f>IF(Table1[[#This Row],[CStd]]=0,0, (Table1[[#This Row],[FinalElo]]-Table1[[#This Row],[CAvg]]) / Table1[[#This Row],[CStd]])</f>
        <v>-0.81840812275383423</v>
      </c>
      <c r="AC281" t="str">
        <f>IF(Table1[[#This Row],[CStd]]=0,"Normal", IF(ABS(Table1[[#This Row],[CZscore]])&gt;2,"Outlier","Normal"))</f>
        <v>Normal</v>
      </c>
    </row>
    <row r="282" spans="1:29" x14ac:dyDescent="0.35">
      <c r="A282" t="s">
        <v>2243</v>
      </c>
      <c r="B282">
        <v>70.2</v>
      </c>
      <c r="C282">
        <v>179</v>
      </c>
      <c r="D282" t="s">
        <v>89</v>
      </c>
      <c r="E282">
        <v>25</v>
      </c>
      <c r="F282" t="s">
        <v>674</v>
      </c>
      <c r="G282" t="s">
        <v>34</v>
      </c>
      <c r="H282" t="s">
        <v>29</v>
      </c>
      <c r="I282" t="s">
        <v>48</v>
      </c>
      <c r="J282">
        <v>5</v>
      </c>
      <c r="K282">
        <v>1</v>
      </c>
      <c r="L282">
        <v>1</v>
      </c>
      <c r="M282">
        <v>1</v>
      </c>
      <c r="N282">
        <v>0</v>
      </c>
      <c r="O282">
        <v>0</v>
      </c>
      <c r="P282">
        <v>3</v>
      </c>
      <c r="Q282">
        <v>0</v>
      </c>
      <c r="R282">
        <v>0</v>
      </c>
      <c r="S282">
        <v>0</v>
      </c>
      <c r="T282">
        <v>0</v>
      </c>
      <c r="U282">
        <v>1</v>
      </c>
      <c r="V282">
        <v>0</v>
      </c>
      <c r="W282">
        <v>7</v>
      </c>
      <c r="X282">
        <v>1367.67</v>
      </c>
      <c r="Y282">
        <v>1367.67</v>
      </c>
      <c r="Z282">
        <f>AVERAGEIFS(Table1[FinalElo], Table1[Country], Table1[[#This Row],[Country]])</f>
        <v>1012.0629025423733</v>
      </c>
      <c r="AA282" cm="1">
        <f t="array" ref="AA282">IF(COUNTIFS(Table1[Country],Table1[[#This Row],[Country]])=1,0, _xlfn.STDEV.S(IF(Table1[Country]=Table1[[#This Row],[Country]],Table1[FinalElo])))</f>
        <v>148.42180446198614</v>
      </c>
      <c r="AB282">
        <f>IF(Table1[[#This Row],[CStd]]=0,0, (Table1[[#This Row],[FinalElo]]-Table1[[#This Row],[CAvg]]) / Table1[[#This Row],[CStd]])</f>
        <v>2.3959222079711679</v>
      </c>
      <c r="AC282" t="str">
        <f>IF(Table1[[#This Row],[CStd]]=0,"Normal", IF(ABS(Table1[[#This Row],[CZscore]])&gt;2,"Outlier","Normal"))</f>
        <v>Outlier</v>
      </c>
    </row>
    <row r="283" spans="1:29" x14ac:dyDescent="0.35">
      <c r="A283" t="s">
        <v>2241</v>
      </c>
      <c r="B283">
        <v>56.7</v>
      </c>
      <c r="C283">
        <v>170</v>
      </c>
      <c r="D283" t="s">
        <v>116</v>
      </c>
      <c r="E283">
        <v>29</v>
      </c>
      <c r="F283" t="s">
        <v>2242</v>
      </c>
      <c r="G283" t="s">
        <v>40</v>
      </c>
      <c r="H283" t="s">
        <v>29</v>
      </c>
      <c r="I283" t="s">
        <v>58</v>
      </c>
      <c r="J283">
        <v>0</v>
      </c>
      <c r="K283">
        <v>2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1</v>
      </c>
      <c r="S283">
        <v>1</v>
      </c>
      <c r="T283">
        <v>0</v>
      </c>
      <c r="U283">
        <v>0</v>
      </c>
      <c r="V283">
        <v>0</v>
      </c>
      <c r="W283">
        <v>2</v>
      </c>
      <c r="X283">
        <v>826.48</v>
      </c>
      <c r="Y283">
        <v>1000</v>
      </c>
      <c r="Z283">
        <f>AVERAGEIFS(Table1[FinalElo], Table1[Country], Table1[[#This Row],[Country]])</f>
        <v>980.88090909090931</v>
      </c>
      <c r="AA283" cm="1">
        <f t="array" ref="AA283">IF(COUNTIFS(Table1[Country],Table1[[#This Row],[Country]])=1,0, _xlfn.STDEV.S(IF(Table1[Country]=Table1[[#This Row],[Country]],Table1[FinalElo])))</f>
        <v>133.41794796376408</v>
      </c>
      <c r="AB283">
        <f>IF(Table1[[#This Row],[CStd]]=0,0, (Table1[[#This Row],[FinalElo]]-Table1[[#This Row],[CAvg]]) / Table1[[#This Row],[CStd]])</f>
        <v>-1.1572724018573883</v>
      </c>
      <c r="AC283" t="str">
        <f>IF(Table1[[#This Row],[CStd]]=0,"Normal", IF(ABS(Table1[[#This Row],[CZscore]])&gt;2,"Outlier","Normal"))</f>
        <v>Normal</v>
      </c>
    </row>
    <row r="284" spans="1:29" x14ac:dyDescent="0.35">
      <c r="A284" t="s">
        <v>2239</v>
      </c>
      <c r="B284">
        <v>56.7</v>
      </c>
      <c r="C284">
        <v>180</v>
      </c>
      <c r="D284" t="s">
        <v>146</v>
      </c>
      <c r="E284">
        <v>28</v>
      </c>
      <c r="F284" t="s">
        <v>2240</v>
      </c>
      <c r="G284" t="s">
        <v>40</v>
      </c>
      <c r="H284" t="s">
        <v>29</v>
      </c>
      <c r="I284" t="s">
        <v>58</v>
      </c>
      <c r="J284">
        <v>0</v>
      </c>
      <c r="K284">
        <v>1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1</v>
      </c>
      <c r="V284">
        <v>0</v>
      </c>
      <c r="W284">
        <v>1</v>
      </c>
      <c r="X284">
        <v>907.52</v>
      </c>
      <c r="Y284">
        <v>1000</v>
      </c>
      <c r="Z284">
        <f>AVERAGEIFS(Table1[FinalElo], Table1[Country], Table1[[#This Row],[Country]])</f>
        <v>971.46103448275846</v>
      </c>
      <c r="AA284" cm="1">
        <f t="array" ref="AA284">IF(COUNTIFS(Table1[Country],Table1[[#This Row],[Country]])=1,0, _xlfn.STDEV.S(IF(Table1[Country]=Table1[[#This Row],[Country]],Table1[FinalElo])))</f>
        <v>107.62263899334665</v>
      </c>
      <c r="AB284">
        <f>IF(Table1[[#This Row],[CStd]]=0,0, (Table1[[#This Row],[FinalElo]]-Table1[[#This Row],[CAvg]]) / Table1[[#This Row],[CStd]])</f>
        <v>-0.59412252924509112</v>
      </c>
      <c r="AC284" t="str">
        <f>IF(Table1[[#This Row],[CStd]]=0,"Normal", IF(ABS(Table1[[#This Row],[CZscore]])&gt;2,"Outlier","Normal"))</f>
        <v>Normal</v>
      </c>
    </row>
    <row r="285" spans="1:29" x14ac:dyDescent="0.35">
      <c r="A285" t="s">
        <v>2238</v>
      </c>
      <c r="B285">
        <v>61.23</v>
      </c>
      <c r="C285">
        <v>172</v>
      </c>
      <c r="D285" t="s">
        <v>247</v>
      </c>
      <c r="E285">
        <v>38</v>
      </c>
      <c r="F285" t="s">
        <v>1505</v>
      </c>
      <c r="G285" t="s">
        <v>34</v>
      </c>
      <c r="H285" t="s">
        <v>29</v>
      </c>
      <c r="I285" t="s">
        <v>73</v>
      </c>
      <c r="J285">
        <v>0</v>
      </c>
      <c r="K285">
        <v>1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1</v>
      </c>
      <c r="X285">
        <v>928.01</v>
      </c>
      <c r="Y285">
        <v>1000</v>
      </c>
      <c r="Z285">
        <f>AVERAGEIFS(Table1[FinalElo], Table1[Country], Table1[[#This Row],[Country]])</f>
        <v>1050.0176190476191</v>
      </c>
      <c r="AA285" cm="1">
        <f t="array" ref="AA285">IF(COUNTIFS(Table1[Country],Table1[[#This Row],[Country]])=1,0, _xlfn.STDEV.S(IF(Table1[Country]=Table1[[#This Row],[Country]],Table1[FinalElo])))</f>
        <v>127.00578096703971</v>
      </c>
      <c r="AB285">
        <f>IF(Table1[[#This Row],[CStd]]=0,0, (Table1[[#This Row],[FinalElo]]-Table1[[#This Row],[CAvg]]) / Table1[[#This Row],[CStd]])</f>
        <v>-0.96064618569828919</v>
      </c>
      <c r="AC285" t="str">
        <f>IF(Table1[[#This Row],[CStd]]=0,"Normal", IF(ABS(Table1[[#This Row],[CZscore]])&gt;2,"Outlier","Normal"))</f>
        <v>Normal</v>
      </c>
    </row>
    <row r="286" spans="1:29" x14ac:dyDescent="0.35">
      <c r="A286" t="s">
        <v>2234</v>
      </c>
      <c r="B286">
        <v>56.1</v>
      </c>
      <c r="C286">
        <v>173</v>
      </c>
      <c r="D286" t="s">
        <v>82</v>
      </c>
      <c r="E286">
        <v>43</v>
      </c>
      <c r="F286" t="s">
        <v>1767</v>
      </c>
      <c r="G286" t="s">
        <v>40</v>
      </c>
      <c r="H286" t="s">
        <v>29</v>
      </c>
      <c r="I286" t="s">
        <v>36</v>
      </c>
      <c r="J286">
        <v>3</v>
      </c>
      <c r="K286">
        <v>2</v>
      </c>
      <c r="L286">
        <v>0</v>
      </c>
      <c r="M286">
        <v>1</v>
      </c>
      <c r="N286">
        <v>0</v>
      </c>
      <c r="O286">
        <v>0</v>
      </c>
      <c r="P286">
        <v>1</v>
      </c>
      <c r="Q286">
        <v>0</v>
      </c>
      <c r="R286">
        <v>1</v>
      </c>
      <c r="S286">
        <v>0</v>
      </c>
      <c r="T286">
        <v>0</v>
      </c>
      <c r="U286">
        <v>1</v>
      </c>
      <c r="V286">
        <v>0</v>
      </c>
      <c r="W286">
        <v>5</v>
      </c>
      <c r="X286">
        <v>1173.06</v>
      </c>
      <c r="Y286">
        <v>1173.06</v>
      </c>
      <c r="Z286">
        <f>AVERAGEIFS(Table1[FinalElo], Table1[Country], Table1[[#This Row],[Country]])</f>
        <v>1012.5275373134326</v>
      </c>
      <c r="AA286" cm="1">
        <f t="array" ref="AA286">IF(COUNTIFS(Table1[Country],Table1[[#This Row],[Country]])=1,0, _xlfn.STDEV.S(IF(Table1[Country]=Table1[[#This Row],[Country]],Table1[FinalElo])))</f>
        <v>135.61062237674741</v>
      </c>
      <c r="AB286">
        <f>IF(Table1[[#This Row],[CStd]]=0,0, (Table1[[#This Row],[FinalElo]]-Table1[[#This Row],[CAvg]]) / Table1[[#This Row],[CStd]])</f>
        <v>1.1837749865979021</v>
      </c>
      <c r="AC286" t="str">
        <f>IF(Table1[[#This Row],[CStd]]=0,"Normal", IF(ABS(Table1[[#This Row],[CZscore]])&gt;2,"Outlier","Normal"))</f>
        <v>Normal</v>
      </c>
    </row>
    <row r="287" spans="1:29" x14ac:dyDescent="0.35">
      <c r="A287" t="s">
        <v>2232</v>
      </c>
      <c r="B287">
        <v>63.502879999999998</v>
      </c>
      <c r="C287">
        <v>170</v>
      </c>
      <c r="D287" t="s">
        <v>89</v>
      </c>
      <c r="E287">
        <v>36</v>
      </c>
      <c r="F287" t="s">
        <v>2233</v>
      </c>
      <c r="G287" t="s">
        <v>34</v>
      </c>
      <c r="H287" t="s">
        <v>29</v>
      </c>
      <c r="I287" t="s">
        <v>73</v>
      </c>
      <c r="J287">
        <v>10</v>
      </c>
      <c r="K287">
        <v>3</v>
      </c>
      <c r="L287">
        <v>0</v>
      </c>
      <c r="M287">
        <v>2</v>
      </c>
      <c r="N287">
        <v>0</v>
      </c>
      <c r="O287">
        <v>0</v>
      </c>
      <c r="P287">
        <v>5</v>
      </c>
      <c r="Q287">
        <v>2</v>
      </c>
      <c r="R287">
        <v>1</v>
      </c>
      <c r="S287">
        <v>0</v>
      </c>
      <c r="T287">
        <v>0</v>
      </c>
      <c r="U287">
        <v>2</v>
      </c>
      <c r="V287">
        <v>0</v>
      </c>
      <c r="W287">
        <v>13</v>
      </c>
      <c r="X287">
        <v>1113.4100000000001</v>
      </c>
      <c r="Y287">
        <v>1344.44</v>
      </c>
      <c r="Z287">
        <f>AVERAGEIFS(Table1[FinalElo], Table1[Country], Table1[[#This Row],[Country]])</f>
        <v>1012.0629025423733</v>
      </c>
      <c r="AA287" cm="1">
        <f t="array" ref="AA287">IF(COUNTIFS(Table1[Country],Table1[[#This Row],[Country]])=1,0, _xlfn.STDEV.S(IF(Table1[Country]=Table1[[#This Row],[Country]],Table1[FinalElo])))</f>
        <v>148.42180446198614</v>
      </c>
      <c r="AB287">
        <f>IF(Table1[[#This Row],[CStd]]=0,0, (Table1[[#This Row],[FinalElo]]-Table1[[#This Row],[CAvg]]) / Table1[[#This Row],[CStd]])</f>
        <v>0.6828315948926752</v>
      </c>
      <c r="AC287" t="str">
        <f>IF(Table1[[#This Row],[CStd]]=0,"Normal", IF(ABS(Table1[[#This Row],[CZscore]])&gt;2,"Outlier","Normal"))</f>
        <v>Normal</v>
      </c>
    </row>
    <row r="288" spans="1:29" hidden="1" x14ac:dyDescent="0.35">
      <c r="A288" t="s">
        <v>606</v>
      </c>
      <c r="B288">
        <v>61.2</v>
      </c>
      <c r="C288">
        <v>175</v>
      </c>
      <c r="D288" t="s">
        <v>52</v>
      </c>
      <c r="E288">
        <v>32</v>
      </c>
      <c r="F288" t="s">
        <v>607</v>
      </c>
      <c r="G288" t="s">
        <v>40</v>
      </c>
      <c r="H288" t="s">
        <v>35</v>
      </c>
      <c r="I288" t="s">
        <v>58</v>
      </c>
      <c r="J288">
        <v>2</v>
      </c>
      <c r="K288">
        <v>0</v>
      </c>
      <c r="L288">
        <v>0</v>
      </c>
      <c r="M288">
        <v>0</v>
      </c>
      <c r="N288">
        <v>1</v>
      </c>
      <c r="O288">
        <v>0</v>
      </c>
      <c r="P288">
        <v>1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2</v>
      </c>
      <c r="X288">
        <v>1171.99</v>
      </c>
      <c r="Y288">
        <v>1171.99</v>
      </c>
      <c r="Z288">
        <f>AVERAGEIFS(Table1[FinalElo], Table1[Country], Table1[[#This Row],[Country]])</f>
        <v>1039.8985714285714</v>
      </c>
      <c r="AA288" cm="1">
        <f t="array" ref="AA288">IF(COUNTIFS(Table1[Country],Table1[[#This Row],[Country]])=1,0, _xlfn.STDEV.S(IF(Table1[Country]=Table1[[#This Row],[Country]],Table1[FinalElo])))</f>
        <v>194.01778111336392</v>
      </c>
      <c r="AB288">
        <f>IF(Table1[[#This Row],[CStd]]=0,0, (Table1[[#This Row],[FinalElo]]-Table1[[#This Row],[CAvg]]) / Table1[[#This Row],[CStd]])</f>
        <v>0.68082125160604778</v>
      </c>
      <c r="AC288" t="str">
        <f>IF(Table1[[#This Row],[CStd]]=0,"Normal", IF(ABS(Table1[[#This Row],[CZscore]])&gt;2,"Outlier","Normal"))</f>
        <v>Normal</v>
      </c>
    </row>
    <row r="289" spans="1:29" x14ac:dyDescent="0.35">
      <c r="A289" t="s">
        <v>2231</v>
      </c>
      <c r="B289">
        <v>60.8</v>
      </c>
      <c r="C289">
        <v>165</v>
      </c>
      <c r="D289" t="s">
        <v>89</v>
      </c>
      <c r="E289">
        <v>24</v>
      </c>
      <c r="F289">
        <v>1</v>
      </c>
      <c r="G289" t="s">
        <v>34</v>
      </c>
      <c r="H289" t="s">
        <v>29</v>
      </c>
      <c r="I289" t="s">
        <v>58</v>
      </c>
      <c r="J289">
        <v>4</v>
      </c>
      <c r="K289">
        <v>4</v>
      </c>
      <c r="L289">
        <v>0</v>
      </c>
      <c r="M289">
        <v>0</v>
      </c>
      <c r="N289">
        <v>0</v>
      </c>
      <c r="O289">
        <v>0</v>
      </c>
      <c r="P289">
        <v>2</v>
      </c>
      <c r="Q289">
        <v>0</v>
      </c>
      <c r="R289">
        <v>0</v>
      </c>
      <c r="S289">
        <v>0</v>
      </c>
      <c r="T289">
        <v>0</v>
      </c>
      <c r="U289">
        <v>4</v>
      </c>
      <c r="V289">
        <v>0</v>
      </c>
      <c r="W289">
        <v>8</v>
      </c>
      <c r="X289">
        <v>1001.72</v>
      </c>
      <c r="Y289">
        <v>1114.56</v>
      </c>
      <c r="Z289">
        <f>AVERAGEIFS(Table1[FinalElo], Table1[Country], Table1[[#This Row],[Country]])</f>
        <v>1012.0629025423733</v>
      </c>
      <c r="AA289" cm="1">
        <f t="array" ref="AA289">IF(COUNTIFS(Table1[Country],Table1[[#This Row],[Country]])=1,0, _xlfn.STDEV.S(IF(Table1[Country]=Table1[[#This Row],[Country]],Table1[FinalElo])))</f>
        <v>148.42180446198614</v>
      </c>
      <c r="AB289">
        <f>IF(Table1[[#This Row],[CStd]]=0,0, (Table1[[#This Row],[FinalElo]]-Table1[[#This Row],[CAvg]]) / Table1[[#This Row],[CStd]])</f>
        <v>-6.9685869807776857E-2</v>
      </c>
      <c r="AC289" t="str">
        <f>IF(Table1[[#This Row],[CStd]]=0,"Normal", IF(ABS(Table1[[#This Row],[CZscore]])&gt;2,"Outlier","Normal"))</f>
        <v>Normal</v>
      </c>
    </row>
    <row r="290" spans="1:29" x14ac:dyDescent="0.35">
      <c r="A290" t="s">
        <v>2229</v>
      </c>
      <c r="B290">
        <v>73.3</v>
      </c>
      <c r="C290">
        <v>173</v>
      </c>
      <c r="D290" t="s">
        <v>82</v>
      </c>
      <c r="E290">
        <v>30</v>
      </c>
      <c r="F290" t="s">
        <v>2230</v>
      </c>
      <c r="G290" t="s">
        <v>40</v>
      </c>
      <c r="H290" t="s">
        <v>29</v>
      </c>
      <c r="I290" t="s">
        <v>30</v>
      </c>
      <c r="J290">
        <v>3</v>
      </c>
      <c r="K290">
        <v>1</v>
      </c>
      <c r="L290">
        <v>0</v>
      </c>
      <c r="M290">
        <v>0</v>
      </c>
      <c r="N290">
        <v>1</v>
      </c>
      <c r="O290">
        <v>0</v>
      </c>
      <c r="P290">
        <v>1</v>
      </c>
      <c r="Q290">
        <v>1</v>
      </c>
      <c r="R290">
        <v>0</v>
      </c>
      <c r="S290">
        <v>1</v>
      </c>
      <c r="T290">
        <v>0</v>
      </c>
      <c r="U290">
        <v>0</v>
      </c>
      <c r="V290">
        <v>0</v>
      </c>
      <c r="W290">
        <v>4</v>
      </c>
      <c r="X290">
        <v>1146.8499999999999</v>
      </c>
      <c r="Y290">
        <v>1171.99</v>
      </c>
      <c r="Z290">
        <f>AVERAGEIFS(Table1[FinalElo], Table1[Country], Table1[[#This Row],[Country]])</f>
        <v>1012.5275373134326</v>
      </c>
      <c r="AA290" cm="1">
        <f t="array" ref="AA290">IF(COUNTIFS(Table1[Country],Table1[[#This Row],[Country]])=1,0, _xlfn.STDEV.S(IF(Table1[Country]=Table1[[#This Row],[Country]],Table1[FinalElo])))</f>
        <v>135.61062237674741</v>
      </c>
      <c r="AB290">
        <f>IF(Table1[[#This Row],[CStd]]=0,0, (Table1[[#This Row],[FinalElo]]-Table1[[#This Row],[CAvg]]) / Table1[[#This Row],[CStd]])</f>
        <v>0.99050104138154149</v>
      </c>
      <c r="AC290" t="str">
        <f>IF(Table1[[#This Row],[CStd]]=0,"Normal", IF(ABS(Table1[[#This Row],[CZscore]])&gt;2,"Outlier","Normal"))</f>
        <v>Normal</v>
      </c>
    </row>
    <row r="291" spans="1:29" x14ac:dyDescent="0.35">
      <c r="A291" t="s">
        <v>2228</v>
      </c>
      <c r="B291">
        <v>58.96696</v>
      </c>
      <c r="C291">
        <v>163</v>
      </c>
      <c r="D291" t="s">
        <v>396</v>
      </c>
      <c r="E291">
        <v>25</v>
      </c>
      <c r="F291" t="s">
        <v>767</v>
      </c>
      <c r="G291" t="s">
        <v>34</v>
      </c>
      <c r="H291" t="s">
        <v>29</v>
      </c>
      <c r="I291" t="s">
        <v>58</v>
      </c>
      <c r="J291">
        <v>0</v>
      </c>
      <c r="K291">
        <v>2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1</v>
      </c>
      <c r="V291">
        <v>0</v>
      </c>
      <c r="W291">
        <v>2</v>
      </c>
      <c r="X291">
        <v>848.44</v>
      </c>
      <c r="Y291">
        <v>1000</v>
      </c>
      <c r="Z291">
        <f>AVERAGEIFS(Table1[FinalElo], Table1[Country], Table1[[#This Row],[Country]])</f>
        <v>998.29391304347814</v>
      </c>
      <c r="AA291" cm="1">
        <f t="array" ref="AA291">IF(COUNTIFS(Table1[Country],Table1[[#This Row],[Country]])=1,0, _xlfn.STDEV.S(IF(Table1[Country]=Table1[[#This Row],[Country]],Table1[FinalElo])))</f>
        <v>125.31531828802386</v>
      </c>
      <c r="AB291">
        <f>IF(Table1[[#This Row],[CStd]]=0,0, (Table1[[#This Row],[FinalElo]]-Table1[[#This Row],[CAvg]]) / Table1[[#This Row],[CStd]])</f>
        <v>-1.1958148061281295</v>
      </c>
      <c r="AC291" t="str">
        <f>IF(Table1[[#This Row],[CStd]]=0,"Normal", IF(ABS(Table1[[#This Row],[CZscore]])&gt;2,"Outlier","Normal"))</f>
        <v>Normal</v>
      </c>
    </row>
    <row r="292" spans="1:29" x14ac:dyDescent="0.35">
      <c r="A292" t="s">
        <v>2225</v>
      </c>
      <c r="B292">
        <v>61</v>
      </c>
      <c r="C292">
        <v>170</v>
      </c>
      <c r="D292" t="s">
        <v>2226</v>
      </c>
      <c r="E292">
        <v>31</v>
      </c>
      <c r="F292" t="s">
        <v>2227</v>
      </c>
      <c r="G292" t="s">
        <v>34</v>
      </c>
      <c r="H292" t="s">
        <v>29</v>
      </c>
      <c r="I292" t="s">
        <v>58</v>
      </c>
      <c r="J292">
        <v>2</v>
      </c>
      <c r="K292">
        <v>2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1</v>
      </c>
      <c r="R292">
        <v>1</v>
      </c>
      <c r="S292">
        <v>0</v>
      </c>
      <c r="T292">
        <v>0</v>
      </c>
      <c r="U292">
        <v>1</v>
      </c>
      <c r="V292">
        <v>0</v>
      </c>
      <c r="W292">
        <v>4</v>
      </c>
      <c r="X292">
        <v>1048.44</v>
      </c>
      <c r="Y292">
        <v>1091.45</v>
      </c>
      <c r="Z292">
        <f>AVERAGEIFS(Table1[FinalElo], Table1[Country], Table1[[#This Row],[Country]])</f>
        <v>1048.44</v>
      </c>
      <c r="AA292" cm="1">
        <f t="array" ref="AA292">IF(COUNTIFS(Table1[Country],Table1[[#This Row],[Country]])=1,0, _xlfn.STDEV.S(IF(Table1[Country]=Table1[[#This Row],[Country]],Table1[FinalElo])))</f>
        <v>0</v>
      </c>
      <c r="AB292">
        <f>IF(Table1[[#This Row],[CStd]]=0,0, (Table1[[#This Row],[FinalElo]]-Table1[[#This Row],[CAvg]]) / Table1[[#This Row],[CStd]])</f>
        <v>0</v>
      </c>
      <c r="AC292" t="str">
        <f>IF(Table1[[#This Row],[CStd]]=0,"Normal", IF(ABS(Table1[[#This Row],[CZscore]])&gt;2,"Outlier","Normal"))</f>
        <v>Normal</v>
      </c>
    </row>
    <row r="293" spans="1:29" x14ac:dyDescent="0.35">
      <c r="A293" t="s">
        <v>2223</v>
      </c>
      <c r="B293">
        <v>65.8</v>
      </c>
      <c r="C293">
        <v>176</v>
      </c>
      <c r="D293" t="s">
        <v>626</v>
      </c>
      <c r="E293">
        <v>36</v>
      </c>
      <c r="F293" t="s">
        <v>2224</v>
      </c>
      <c r="G293" t="s">
        <v>34</v>
      </c>
      <c r="H293" t="s">
        <v>29</v>
      </c>
      <c r="I293" t="s">
        <v>48</v>
      </c>
      <c r="J293">
        <v>0</v>
      </c>
      <c r="K293">
        <v>3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1</v>
      </c>
      <c r="S293">
        <v>0</v>
      </c>
      <c r="T293">
        <v>0</v>
      </c>
      <c r="U293">
        <v>1</v>
      </c>
      <c r="V293">
        <v>0</v>
      </c>
      <c r="W293">
        <v>3</v>
      </c>
      <c r="X293">
        <v>775.45</v>
      </c>
      <c r="Y293">
        <v>1000</v>
      </c>
      <c r="Z293">
        <f>AVERAGEIFS(Table1[FinalElo], Table1[Country], Table1[[#This Row],[Country]])</f>
        <v>932.03999999999985</v>
      </c>
      <c r="AA293" cm="1">
        <f t="array" ref="AA293">IF(COUNTIFS(Table1[Country],Table1[[#This Row],[Country]])=1,0, _xlfn.STDEV.S(IF(Table1[Country]=Table1[[#This Row],[Country]],Table1[FinalElo])))</f>
        <v>135.23570706979393</v>
      </c>
      <c r="AB293">
        <f>IF(Table1[[#This Row],[CStd]]=0,0, (Table1[[#This Row],[FinalElo]]-Table1[[#This Row],[CAvg]]) / Table1[[#This Row],[CStd]])</f>
        <v>-1.1579042502375878</v>
      </c>
      <c r="AC293" t="str">
        <f>IF(Table1[[#This Row],[CStd]]=0,"Normal", IF(ABS(Table1[[#This Row],[CZscore]])&gt;2,"Outlier","Normal"))</f>
        <v>Normal</v>
      </c>
    </row>
    <row r="294" spans="1:29" x14ac:dyDescent="0.35">
      <c r="A294" t="s">
        <v>2221</v>
      </c>
      <c r="B294">
        <v>61.2</v>
      </c>
      <c r="C294">
        <v>170</v>
      </c>
      <c r="D294" t="s">
        <v>396</v>
      </c>
      <c r="E294">
        <v>26</v>
      </c>
      <c r="F294" t="s">
        <v>2222</v>
      </c>
      <c r="G294" t="s">
        <v>34</v>
      </c>
      <c r="H294" t="s">
        <v>29</v>
      </c>
      <c r="I294" t="s">
        <v>58</v>
      </c>
      <c r="J294">
        <v>3</v>
      </c>
      <c r="K294">
        <v>1</v>
      </c>
      <c r="L294">
        <v>0</v>
      </c>
      <c r="M294">
        <v>0</v>
      </c>
      <c r="N294">
        <v>1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1</v>
      </c>
      <c r="W294">
        <v>4</v>
      </c>
      <c r="X294">
        <v>1118.6500000000001</v>
      </c>
      <c r="Y294">
        <v>1171.99</v>
      </c>
      <c r="Z294">
        <f>AVERAGEIFS(Table1[FinalElo], Table1[Country], Table1[[#This Row],[Country]])</f>
        <v>998.29391304347814</v>
      </c>
      <c r="AA294" cm="1">
        <f t="array" ref="AA294">IF(COUNTIFS(Table1[Country],Table1[[#This Row],[Country]])=1,0, _xlfn.STDEV.S(IF(Table1[Country]=Table1[[#This Row],[Country]],Table1[FinalElo])))</f>
        <v>125.31531828802386</v>
      </c>
      <c r="AB294">
        <f>IF(Table1[[#This Row],[CStd]]=0,0, (Table1[[#This Row],[FinalElo]]-Table1[[#This Row],[CAvg]]) / Table1[[#This Row],[CStd]])</f>
        <v>0.96042597665431728</v>
      </c>
      <c r="AC294" t="str">
        <f>IF(Table1[[#This Row],[CStd]]=0,"Normal", IF(ABS(Table1[[#This Row],[CZscore]])&gt;2,"Outlier","Normal"))</f>
        <v>Normal</v>
      </c>
    </row>
    <row r="295" spans="1:29" x14ac:dyDescent="0.35">
      <c r="A295" t="s">
        <v>2219</v>
      </c>
      <c r="B295">
        <v>60.9</v>
      </c>
      <c r="C295">
        <v>178</v>
      </c>
      <c r="D295" t="s">
        <v>2220</v>
      </c>
      <c r="E295">
        <v>26</v>
      </c>
      <c r="F295" t="s">
        <v>519</v>
      </c>
      <c r="G295" t="s">
        <v>34</v>
      </c>
      <c r="H295" t="s">
        <v>29</v>
      </c>
      <c r="I295" t="s">
        <v>58</v>
      </c>
      <c r="J295">
        <v>2</v>
      </c>
      <c r="K295">
        <v>3</v>
      </c>
      <c r="L295">
        <v>0</v>
      </c>
      <c r="M295">
        <v>0</v>
      </c>
      <c r="N295">
        <v>0</v>
      </c>
      <c r="O295">
        <v>0</v>
      </c>
      <c r="P295">
        <v>2</v>
      </c>
      <c r="Q295">
        <v>0</v>
      </c>
      <c r="R295">
        <v>1</v>
      </c>
      <c r="S295">
        <v>0</v>
      </c>
      <c r="T295">
        <v>0</v>
      </c>
      <c r="U295">
        <v>1</v>
      </c>
      <c r="V295">
        <v>0</v>
      </c>
      <c r="W295">
        <v>5</v>
      </c>
      <c r="X295">
        <v>970.84</v>
      </c>
      <c r="Y295">
        <v>1120.43</v>
      </c>
      <c r="Z295">
        <f>AVERAGEIFS(Table1[FinalElo], Table1[Country], Table1[[#This Row],[Country]])</f>
        <v>970.84</v>
      </c>
      <c r="AA295" cm="1">
        <f t="array" ref="AA295">IF(COUNTIFS(Table1[Country],Table1[[#This Row],[Country]])=1,0, _xlfn.STDEV.S(IF(Table1[Country]=Table1[[#This Row],[Country]],Table1[FinalElo])))</f>
        <v>0</v>
      </c>
      <c r="AB295">
        <f>IF(Table1[[#This Row],[CStd]]=0,0, (Table1[[#This Row],[FinalElo]]-Table1[[#This Row],[CAvg]]) / Table1[[#This Row],[CStd]])</f>
        <v>0</v>
      </c>
      <c r="AC295" t="str">
        <f>IF(Table1[[#This Row],[CStd]]=0,"Normal", IF(ABS(Table1[[#This Row],[CZscore]])&gt;2,"Outlier","Normal"))</f>
        <v>Normal</v>
      </c>
    </row>
    <row r="296" spans="1:29" x14ac:dyDescent="0.35">
      <c r="A296" t="s">
        <v>2217</v>
      </c>
      <c r="B296">
        <v>55.1</v>
      </c>
      <c r="C296">
        <v>163</v>
      </c>
      <c r="D296" t="s">
        <v>82</v>
      </c>
      <c r="E296">
        <v>34</v>
      </c>
      <c r="F296" t="s">
        <v>2218</v>
      </c>
      <c r="G296" t="s">
        <v>34</v>
      </c>
      <c r="H296" t="s">
        <v>29</v>
      </c>
      <c r="I296" t="s">
        <v>36</v>
      </c>
      <c r="J296">
        <v>1</v>
      </c>
      <c r="K296">
        <v>1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1</v>
      </c>
      <c r="V296">
        <v>0</v>
      </c>
      <c r="W296">
        <v>2</v>
      </c>
      <c r="X296">
        <v>1028.01</v>
      </c>
      <c r="Y296">
        <v>1028.01</v>
      </c>
      <c r="Z296">
        <f>AVERAGEIFS(Table1[FinalElo], Table1[Country], Table1[[#This Row],[Country]])</f>
        <v>1012.5275373134326</v>
      </c>
      <c r="AA296" cm="1">
        <f t="array" ref="AA296">IF(COUNTIFS(Table1[Country],Table1[[#This Row],[Country]])=1,0, _xlfn.STDEV.S(IF(Table1[Country]=Table1[[#This Row],[Country]],Table1[FinalElo])))</f>
        <v>135.61062237674741</v>
      </c>
      <c r="AB296">
        <f>IF(Table1[[#This Row],[CStd]]=0,0, (Table1[[#This Row],[FinalElo]]-Table1[[#This Row],[CAvg]]) / Table1[[#This Row],[CStd]])</f>
        <v>0.11416850992361559</v>
      </c>
      <c r="AC296" t="str">
        <f>IF(Table1[[#This Row],[CStd]]=0,"Normal", IF(ABS(Table1[[#This Row],[CZscore]])&gt;2,"Outlier","Normal"))</f>
        <v>Normal</v>
      </c>
    </row>
    <row r="297" spans="1:29" x14ac:dyDescent="0.35">
      <c r="A297" t="s">
        <v>2216</v>
      </c>
      <c r="B297">
        <v>58.96696</v>
      </c>
      <c r="C297">
        <v>173</v>
      </c>
      <c r="D297" t="s">
        <v>89</v>
      </c>
      <c r="E297">
        <v>19</v>
      </c>
      <c r="F297" t="s">
        <v>555</v>
      </c>
      <c r="G297" t="s">
        <v>34</v>
      </c>
      <c r="H297" t="s">
        <v>29</v>
      </c>
      <c r="I297" t="s">
        <v>58</v>
      </c>
      <c r="J297">
        <v>2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1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2</v>
      </c>
      <c r="X297">
        <v>1211.44</v>
      </c>
      <c r="Y297">
        <v>1211.44</v>
      </c>
      <c r="Z297">
        <f>AVERAGEIFS(Table1[FinalElo], Table1[Country], Table1[[#This Row],[Country]])</f>
        <v>1012.0629025423733</v>
      </c>
      <c r="AA297" cm="1">
        <f t="array" ref="AA297">IF(COUNTIFS(Table1[Country],Table1[[#This Row],[Country]])=1,0, _xlfn.STDEV.S(IF(Table1[Country]=Table1[[#This Row],[Country]],Table1[FinalElo])))</f>
        <v>148.42180446198614</v>
      </c>
      <c r="AB297">
        <f>IF(Table1[[#This Row],[CStd]]=0,0, (Table1[[#This Row],[FinalElo]]-Table1[[#This Row],[CAvg]]) / Table1[[#This Row],[CStd]])</f>
        <v>1.3433140648056956</v>
      </c>
      <c r="AC297" t="str">
        <f>IF(Table1[[#This Row],[CStd]]=0,"Normal", IF(ABS(Table1[[#This Row],[CZscore]])&gt;2,"Outlier","Normal"))</f>
        <v>Normal</v>
      </c>
    </row>
    <row r="298" spans="1:29" x14ac:dyDescent="0.35">
      <c r="A298" t="s">
        <v>2214</v>
      </c>
      <c r="B298">
        <v>56.7</v>
      </c>
      <c r="C298">
        <v>170</v>
      </c>
      <c r="D298" t="s">
        <v>384</v>
      </c>
      <c r="E298">
        <v>21</v>
      </c>
      <c r="F298" t="s">
        <v>2215</v>
      </c>
      <c r="G298" t="s">
        <v>40</v>
      </c>
      <c r="H298" t="s">
        <v>29</v>
      </c>
      <c r="I298" t="s">
        <v>58</v>
      </c>
      <c r="J298">
        <v>2</v>
      </c>
      <c r="K298">
        <v>0</v>
      </c>
      <c r="L298">
        <v>0</v>
      </c>
      <c r="M298">
        <v>0</v>
      </c>
      <c r="N298">
        <v>1</v>
      </c>
      <c r="O298">
        <v>0</v>
      </c>
      <c r="P298">
        <v>0</v>
      </c>
      <c r="Q298">
        <v>1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2</v>
      </c>
      <c r="X298">
        <v>1238.3900000000001</v>
      </c>
      <c r="Y298">
        <v>1238.3900000000001</v>
      </c>
      <c r="Z298">
        <f>AVERAGEIFS(Table1[FinalElo], Table1[Country], Table1[[#This Row],[Country]])</f>
        <v>1054.6869565217391</v>
      </c>
      <c r="AA298" cm="1">
        <f t="array" ref="AA298">IF(COUNTIFS(Table1[Country],Table1[[#This Row],[Country]])=1,0, _xlfn.STDEV.S(IF(Table1[Country]=Table1[[#This Row],[Country]],Table1[FinalElo])))</f>
        <v>191.2923801275472</v>
      </c>
      <c r="AB298">
        <f>IF(Table1[[#This Row],[CStd]]=0,0, (Table1[[#This Row],[FinalElo]]-Table1[[#This Row],[CAvg]]) / Table1[[#This Row],[CStd]])</f>
        <v>0.9603259855712708</v>
      </c>
      <c r="AC298" t="str">
        <f>IF(Table1[[#This Row],[CStd]]=0,"Normal", IF(ABS(Table1[[#This Row],[CZscore]])&gt;2,"Outlier","Normal"))</f>
        <v>Normal</v>
      </c>
    </row>
    <row r="299" spans="1:29" x14ac:dyDescent="0.35">
      <c r="A299" t="s">
        <v>2212</v>
      </c>
      <c r="B299">
        <v>53.070264000000002</v>
      </c>
      <c r="C299">
        <v>164</v>
      </c>
      <c r="D299" t="s">
        <v>89</v>
      </c>
      <c r="E299">
        <v>24</v>
      </c>
      <c r="F299" t="s">
        <v>2213</v>
      </c>
      <c r="G299" t="s">
        <v>34</v>
      </c>
      <c r="H299" t="s">
        <v>29</v>
      </c>
      <c r="I299" t="s">
        <v>36</v>
      </c>
      <c r="J299">
        <v>0</v>
      </c>
      <c r="K299">
        <v>1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1</v>
      </c>
      <c r="V299">
        <v>0</v>
      </c>
      <c r="W299">
        <v>1</v>
      </c>
      <c r="X299">
        <v>900</v>
      </c>
      <c r="Y299">
        <v>1000</v>
      </c>
      <c r="Z299">
        <f>AVERAGEIFS(Table1[FinalElo], Table1[Country], Table1[[#This Row],[Country]])</f>
        <v>1012.0629025423733</v>
      </c>
      <c r="AA299" cm="1">
        <f t="array" ref="AA299">IF(COUNTIFS(Table1[Country],Table1[[#This Row],[Country]])=1,0, _xlfn.STDEV.S(IF(Table1[Country]=Table1[[#This Row],[Country]],Table1[FinalElo])))</f>
        <v>148.42180446198614</v>
      </c>
      <c r="AB299">
        <f>IF(Table1[[#This Row],[CStd]]=0,0, (Table1[[#This Row],[FinalElo]]-Table1[[#This Row],[CAvg]]) / Table1[[#This Row],[CStd]])</f>
        <v>-0.75502991591154589</v>
      </c>
      <c r="AC299" t="str">
        <f>IF(Table1[[#This Row],[CStd]]=0,"Normal", IF(ABS(Table1[[#This Row],[CZscore]])&gt;2,"Outlier","Normal"))</f>
        <v>Normal</v>
      </c>
    </row>
    <row r="300" spans="1:29" hidden="1" x14ac:dyDescent="0.35">
      <c r="A300" t="s">
        <v>631</v>
      </c>
      <c r="B300">
        <v>52.2</v>
      </c>
      <c r="C300">
        <v>167</v>
      </c>
      <c r="D300" t="s">
        <v>332</v>
      </c>
      <c r="E300">
        <v>32</v>
      </c>
      <c r="F300" t="s">
        <v>632</v>
      </c>
      <c r="G300" t="s">
        <v>34</v>
      </c>
      <c r="H300" t="s">
        <v>35</v>
      </c>
      <c r="I300" t="s">
        <v>36</v>
      </c>
      <c r="J300">
        <v>1</v>
      </c>
      <c r="K300">
        <v>2</v>
      </c>
      <c r="L300">
        <v>0</v>
      </c>
      <c r="M300">
        <v>1</v>
      </c>
      <c r="N300">
        <v>0</v>
      </c>
      <c r="O300">
        <v>0</v>
      </c>
      <c r="P300">
        <v>0</v>
      </c>
      <c r="Q300">
        <v>0</v>
      </c>
      <c r="R300">
        <v>1</v>
      </c>
      <c r="S300">
        <v>0</v>
      </c>
      <c r="T300">
        <v>0</v>
      </c>
      <c r="U300">
        <v>1</v>
      </c>
      <c r="V300">
        <v>0</v>
      </c>
      <c r="W300">
        <v>3</v>
      </c>
      <c r="X300">
        <v>997.94</v>
      </c>
      <c r="Y300">
        <v>1063.8699999999999</v>
      </c>
      <c r="Z300">
        <f>AVERAGEIFS(Table1[FinalElo], Table1[Country], Table1[[#This Row],[Country]])</f>
        <v>975.5858333333332</v>
      </c>
      <c r="AA300" cm="1">
        <f t="array" ref="AA300">IF(COUNTIFS(Table1[Country],Table1[[#This Row],[Country]])=1,0, _xlfn.STDEV.S(IF(Table1[Country]=Table1[[#This Row],[Country]],Table1[FinalElo])))</f>
        <v>72.69168633948992</v>
      </c>
      <c r="AB300">
        <f>IF(Table1[[#This Row],[CStd]]=0,0, (Table1[[#This Row],[FinalElo]]-Table1[[#This Row],[CAvg]]) / Table1[[#This Row],[CStd]])</f>
        <v>0.30752026527857429</v>
      </c>
      <c r="AC300" t="str">
        <f>IF(Table1[[#This Row],[CStd]]=0,"Normal", IF(ABS(Table1[[#This Row],[CZscore]])&gt;2,"Outlier","Normal"))</f>
        <v>Normal</v>
      </c>
    </row>
    <row r="301" spans="1:29" x14ac:dyDescent="0.35">
      <c r="A301" t="s">
        <v>2210</v>
      </c>
      <c r="B301">
        <v>56.7</v>
      </c>
      <c r="C301">
        <v>170</v>
      </c>
      <c r="D301" t="s">
        <v>384</v>
      </c>
      <c r="E301">
        <v>22</v>
      </c>
      <c r="F301" t="s">
        <v>2211</v>
      </c>
      <c r="G301" t="s">
        <v>40</v>
      </c>
      <c r="H301" t="s">
        <v>29</v>
      </c>
      <c r="I301" t="s">
        <v>58</v>
      </c>
      <c r="J301">
        <v>6</v>
      </c>
      <c r="K301">
        <v>0</v>
      </c>
      <c r="L301">
        <v>0</v>
      </c>
      <c r="M301">
        <v>2</v>
      </c>
      <c r="N301">
        <v>0</v>
      </c>
      <c r="O301">
        <v>0</v>
      </c>
      <c r="P301">
        <v>3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6</v>
      </c>
      <c r="X301">
        <v>1463.61</v>
      </c>
      <c r="Y301">
        <v>1463.61</v>
      </c>
      <c r="Z301">
        <f>AVERAGEIFS(Table1[FinalElo], Table1[Country], Table1[[#This Row],[Country]])</f>
        <v>1054.6869565217391</v>
      </c>
      <c r="AA301" cm="1">
        <f t="array" ref="AA301">IF(COUNTIFS(Table1[Country],Table1[[#This Row],[Country]])=1,0, _xlfn.STDEV.S(IF(Table1[Country]=Table1[[#This Row],[Country]],Table1[FinalElo])))</f>
        <v>191.2923801275472</v>
      </c>
      <c r="AB301">
        <f>IF(Table1[[#This Row],[CStd]]=0,0, (Table1[[#This Row],[FinalElo]]-Table1[[#This Row],[CAvg]]) / Table1[[#This Row],[CStd]])</f>
        <v>2.137686002995022</v>
      </c>
      <c r="AC301" t="str">
        <f>IF(Table1[[#This Row],[CStd]]=0,"Normal", IF(ABS(Table1[[#This Row],[CZscore]])&gt;2,"Outlier","Normal"))</f>
        <v>Outlier</v>
      </c>
    </row>
    <row r="302" spans="1:29" x14ac:dyDescent="0.35">
      <c r="A302" t="s">
        <v>2209</v>
      </c>
      <c r="B302">
        <v>52.16</v>
      </c>
      <c r="C302">
        <v>159</v>
      </c>
      <c r="D302" t="s">
        <v>89</v>
      </c>
      <c r="E302">
        <v>47</v>
      </c>
      <c r="F302" t="s">
        <v>2179</v>
      </c>
      <c r="G302" t="s">
        <v>40</v>
      </c>
      <c r="H302" t="s">
        <v>29</v>
      </c>
      <c r="I302" t="s">
        <v>36</v>
      </c>
      <c r="J302">
        <v>0</v>
      </c>
      <c r="K302">
        <v>1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1</v>
      </c>
      <c r="T302">
        <v>0</v>
      </c>
      <c r="U302">
        <v>0</v>
      </c>
      <c r="V302">
        <v>0</v>
      </c>
      <c r="W302">
        <v>1</v>
      </c>
      <c r="X302">
        <v>900</v>
      </c>
      <c r="Y302">
        <v>1000</v>
      </c>
      <c r="Z302">
        <f>AVERAGEIFS(Table1[FinalElo], Table1[Country], Table1[[#This Row],[Country]])</f>
        <v>1012.0629025423733</v>
      </c>
      <c r="AA302" cm="1">
        <f t="array" ref="AA302">IF(COUNTIFS(Table1[Country],Table1[[#This Row],[Country]])=1,0, _xlfn.STDEV.S(IF(Table1[Country]=Table1[[#This Row],[Country]],Table1[FinalElo])))</f>
        <v>148.42180446198614</v>
      </c>
      <c r="AB302">
        <f>IF(Table1[[#This Row],[CStd]]=0,0, (Table1[[#This Row],[FinalElo]]-Table1[[#This Row],[CAvg]]) / Table1[[#This Row],[CStd]])</f>
        <v>-0.75502991591154589</v>
      </c>
      <c r="AC302" t="str">
        <f>IF(Table1[[#This Row],[CStd]]=0,"Normal", IF(ABS(Table1[[#This Row],[CZscore]])&gt;2,"Outlier","Normal"))</f>
        <v>Normal</v>
      </c>
    </row>
    <row r="303" spans="1:29" x14ac:dyDescent="0.35">
      <c r="A303" t="s">
        <v>2208</v>
      </c>
      <c r="B303">
        <v>58.8</v>
      </c>
      <c r="C303">
        <v>173</v>
      </c>
      <c r="D303" t="s">
        <v>89</v>
      </c>
      <c r="E303">
        <v>25</v>
      </c>
      <c r="F303" t="s">
        <v>457</v>
      </c>
      <c r="G303" t="s">
        <v>34</v>
      </c>
      <c r="H303" t="s">
        <v>29</v>
      </c>
      <c r="I303" t="s">
        <v>58</v>
      </c>
      <c r="J303">
        <v>4</v>
      </c>
      <c r="K303">
        <v>2</v>
      </c>
      <c r="L303">
        <v>0</v>
      </c>
      <c r="M303">
        <v>0</v>
      </c>
      <c r="N303">
        <v>0</v>
      </c>
      <c r="O303">
        <v>0</v>
      </c>
      <c r="P303">
        <v>2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1</v>
      </c>
      <c r="W303">
        <v>6</v>
      </c>
      <c r="X303">
        <v>1053.4000000000001</v>
      </c>
      <c r="Y303">
        <v>1225.8</v>
      </c>
      <c r="Z303">
        <f>AVERAGEIFS(Table1[FinalElo], Table1[Country], Table1[[#This Row],[Country]])</f>
        <v>1012.0629025423733</v>
      </c>
      <c r="AA303" cm="1">
        <f t="array" ref="AA303">IF(COUNTIFS(Table1[Country],Table1[[#This Row],[Country]])=1,0, _xlfn.STDEV.S(IF(Table1[Country]=Table1[[#This Row],[Country]],Table1[FinalElo])))</f>
        <v>148.42180446198614</v>
      </c>
      <c r="AB303">
        <f>IF(Table1[[#This Row],[CStd]]=0,0, (Table1[[#This Row],[FinalElo]]-Table1[[#This Row],[CAvg]]) / Table1[[#This Row],[CStd]])</f>
        <v>0.27851094795316317</v>
      </c>
      <c r="AC303" t="str">
        <f>IF(Table1[[#This Row],[CStd]]=0,"Normal", IF(ABS(Table1[[#This Row],[CZscore]])&gt;2,"Outlier","Normal"))</f>
        <v>Normal</v>
      </c>
    </row>
    <row r="304" spans="1:29" x14ac:dyDescent="0.35">
      <c r="A304" t="s">
        <v>2207</v>
      </c>
      <c r="B304">
        <v>56.4</v>
      </c>
      <c r="C304">
        <v>168</v>
      </c>
      <c r="D304" t="s">
        <v>116</v>
      </c>
      <c r="E304">
        <v>26</v>
      </c>
      <c r="F304" t="s">
        <v>427</v>
      </c>
      <c r="G304" t="s">
        <v>40</v>
      </c>
      <c r="H304" t="s">
        <v>29</v>
      </c>
      <c r="I304" t="s">
        <v>36</v>
      </c>
      <c r="J304">
        <v>0</v>
      </c>
      <c r="K304">
        <v>2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1</v>
      </c>
      <c r="W304">
        <v>2</v>
      </c>
      <c r="X304">
        <v>848.44</v>
      </c>
      <c r="Y304">
        <v>1000</v>
      </c>
      <c r="Z304">
        <f>AVERAGEIFS(Table1[FinalElo], Table1[Country], Table1[[#This Row],[Country]])</f>
        <v>980.88090909090931</v>
      </c>
      <c r="AA304" cm="1">
        <f t="array" ref="AA304">IF(COUNTIFS(Table1[Country],Table1[[#This Row],[Country]])=1,0, _xlfn.STDEV.S(IF(Table1[Country]=Table1[[#This Row],[Country]],Table1[FinalElo])))</f>
        <v>133.41794796376408</v>
      </c>
      <c r="AB304">
        <f>IF(Table1[[#This Row],[CStd]]=0,0, (Table1[[#This Row],[FinalElo]]-Table1[[#This Row],[CAvg]]) / Table1[[#This Row],[CStd]])</f>
        <v>-0.99267685579214437</v>
      </c>
      <c r="AC304" t="str">
        <f>IF(Table1[[#This Row],[CStd]]=0,"Normal", IF(ABS(Table1[[#This Row],[CZscore]])&gt;2,"Outlier","Normal"))</f>
        <v>Normal</v>
      </c>
    </row>
    <row r="305" spans="1:29" x14ac:dyDescent="0.35">
      <c r="A305" t="s">
        <v>2205</v>
      </c>
      <c r="B305">
        <v>58.7</v>
      </c>
      <c r="C305">
        <v>171</v>
      </c>
      <c r="D305" t="s">
        <v>89</v>
      </c>
      <c r="E305">
        <v>30</v>
      </c>
      <c r="F305" t="s">
        <v>2206</v>
      </c>
      <c r="G305" t="s">
        <v>34</v>
      </c>
      <c r="H305" t="s">
        <v>29</v>
      </c>
      <c r="I305" t="s">
        <v>58</v>
      </c>
      <c r="J305">
        <v>1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1</v>
      </c>
      <c r="X305">
        <v>1079.57</v>
      </c>
      <c r="Y305">
        <v>1079.57</v>
      </c>
      <c r="Z305">
        <f>AVERAGEIFS(Table1[FinalElo], Table1[Country], Table1[[#This Row],[Country]])</f>
        <v>1012.0629025423733</v>
      </c>
      <c r="AA305" cm="1">
        <f t="array" ref="AA305">IF(COUNTIFS(Table1[Country],Table1[[#This Row],[Country]])=1,0, _xlfn.STDEV.S(IF(Table1[Country]=Table1[[#This Row],[Country]],Table1[FinalElo])))</f>
        <v>148.42180446198614</v>
      </c>
      <c r="AB305">
        <f>IF(Table1[[#This Row],[CStd]]=0,0, (Table1[[#This Row],[FinalElo]]-Table1[[#This Row],[CAvg]]) / Table1[[#This Row],[CStd]])</f>
        <v>0.45483274982630045</v>
      </c>
      <c r="AC305" t="str">
        <f>IF(Table1[[#This Row],[CStd]]=0,"Normal", IF(ABS(Table1[[#This Row],[CZscore]])&gt;2,"Outlier","Normal"))</f>
        <v>Normal</v>
      </c>
    </row>
    <row r="306" spans="1:29" x14ac:dyDescent="0.35">
      <c r="A306" t="s">
        <v>2203</v>
      </c>
      <c r="B306">
        <v>51.255896</v>
      </c>
      <c r="C306">
        <v>158</v>
      </c>
      <c r="D306" t="s">
        <v>89</v>
      </c>
      <c r="E306">
        <v>19</v>
      </c>
      <c r="F306" t="s">
        <v>2204</v>
      </c>
      <c r="G306" t="s">
        <v>34</v>
      </c>
      <c r="H306" t="s">
        <v>29</v>
      </c>
      <c r="I306" t="s">
        <v>55</v>
      </c>
      <c r="J306">
        <v>0</v>
      </c>
      <c r="K306">
        <v>1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1</v>
      </c>
      <c r="X306">
        <v>881.04</v>
      </c>
      <c r="Y306">
        <v>1000</v>
      </c>
      <c r="Z306">
        <f>AVERAGEIFS(Table1[FinalElo], Table1[Country], Table1[[#This Row],[Country]])</f>
        <v>1012.0629025423733</v>
      </c>
      <c r="AA306" cm="1">
        <f t="array" ref="AA306">IF(COUNTIFS(Table1[Country],Table1[[#This Row],[Country]])=1,0, _xlfn.STDEV.S(IF(Table1[Country]=Table1[[#This Row],[Country]],Table1[FinalElo])))</f>
        <v>148.42180446198614</v>
      </c>
      <c r="AB306">
        <f>IF(Table1[[#This Row],[CStd]]=0,0, (Table1[[#This Row],[FinalElo]]-Table1[[#This Row],[CAvg]]) / Table1[[#This Row],[CStd]])</f>
        <v>-0.88277394967213851</v>
      </c>
      <c r="AC306" t="str">
        <f>IF(Table1[[#This Row],[CStd]]=0,"Normal", IF(ABS(Table1[[#This Row],[CZscore]])&gt;2,"Outlier","Normal"))</f>
        <v>Normal</v>
      </c>
    </row>
    <row r="307" spans="1:29" x14ac:dyDescent="0.35">
      <c r="A307" t="s">
        <v>2201</v>
      </c>
      <c r="B307">
        <v>63.502879999999998</v>
      </c>
      <c r="C307">
        <v>174</v>
      </c>
      <c r="D307" t="s">
        <v>89</v>
      </c>
      <c r="E307">
        <v>21</v>
      </c>
      <c r="F307" t="s">
        <v>2202</v>
      </c>
      <c r="G307" t="s">
        <v>28</v>
      </c>
      <c r="H307" t="s">
        <v>29</v>
      </c>
      <c r="I307" t="s">
        <v>73</v>
      </c>
      <c r="J307">
        <v>1</v>
      </c>
      <c r="K307">
        <v>1</v>
      </c>
      <c r="L307">
        <v>0</v>
      </c>
      <c r="M307">
        <v>0</v>
      </c>
      <c r="N307">
        <v>0</v>
      </c>
      <c r="O307">
        <v>0</v>
      </c>
      <c r="P307">
        <v>1</v>
      </c>
      <c r="Q307">
        <v>0</v>
      </c>
      <c r="R307">
        <v>0</v>
      </c>
      <c r="S307">
        <v>0</v>
      </c>
      <c r="T307">
        <v>0</v>
      </c>
      <c r="U307">
        <v>1</v>
      </c>
      <c r="V307">
        <v>0</v>
      </c>
      <c r="W307">
        <v>2</v>
      </c>
      <c r="X307">
        <v>977.3</v>
      </c>
      <c r="Y307">
        <v>1108.04</v>
      </c>
      <c r="Z307">
        <f>AVERAGEIFS(Table1[FinalElo], Table1[Country], Table1[[#This Row],[Country]])</f>
        <v>1012.0629025423733</v>
      </c>
      <c r="AA307" cm="1">
        <f t="array" ref="AA307">IF(COUNTIFS(Table1[Country],Table1[[#This Row],[Country]])=1,0, _xlfn.STDEV.S(IF(Table1[Country]=Table1[[#This Row],[Country]],Table1[FinalElo])))</f>
        <v>148.42180446198614</v>
      </c>
      <c r="AB307">
        <f>IF(Table1[[#This Row],[CStd]]=0,0, (Table1[[#This Row],[FinalElo]]-Table1[[#This Row],[CAvg]]) / Table1[[#This Row],[CStd]])</f>
        <v>-0.23421695126524919</v>
      </c>
      <c r="AC307" t="str">
        <f>IF(Table1[[#This Row],[CStd]]=0,"Normal", IF(ABS(Table1[[#This Row],[CZscore]])&gt;2,"Outlier","Normal"))</f>
        <v>Normal</v>
      </c>
    </row>
    <row r="308" spans="1:29" x14ac:dyDescent="0.35">
      <c r="A308" t="s">
        <v>2199</v>
      </c>
      <c r="B308">
        <v>56.7</v>
      </c>
      <c r="C308">
        <v>166</v>
      </c>
      <c r="D308" t="s">
        <v>2027</v>
      </c>
      <c r="E308">
        <v>32</v>
      </c>
      <c r="F308" t="s">
        <v>2200</v>
      </c>
      <c r="G308" t="s">
        <v>40</v>
      </c>
      <c r="H308" t="s">
        <v>29</v>
      </c>
      <c r="I308" t="s">
        <v>58</v>
      </c>
      <c r="J308">
        <v>0</v>
      </c>
      <c r="K308">
        <v>1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1</v>
      </c>
      <c r="T308">
        <v>0</v>
      </c>
      <c r="U308">
        <v>0</v>
      </c>
      <c r="V308">
        <v>0</v>
      </c>
      <c r="W308">
        <v>1</v>
      </c>
      <c r="X308">
        <v>900</v>
      </c>
      <c r="Y308">
        <v>1000</v>
      </c>
      <c r="Z308">
        <f>AVERAGEIFS(Table1[FinalElo], Table1[Country], Table1[[#This Row],[Country]])</f>
        <v>953.96</v>
      </c>
      <c r="AA308" cm="1">
        <f t="array" ref="AA308">IF(COUNTIFS(Table1[Country],Table1[[#This Row],[Country]])=1,0, _xlfn.STDEV.S(IF(Table1[Country]=Table1[[#This Row],[Country]],Table1[FinalElo])))</f>
        <v>76.310963825652181</v>
      </c>
      <c r="AB308">
        <f>IF(Table1[[#This Row],[CStd]]=0,0, (Table1[[#This Row],[FinalElo]]-Table1[[#This Row],[CAvg]]) / Table1[[#This Row],[CStd]])</f>
        <v>-0.70710678118654824</v>
      </c>
      <c r="AC308" t="str">
        <f>IF(Table1[[#This Row],[CStd]]=0,"Normal", IF(ABS(Table1[[#This Row],[CZscore]])&gt;2,"Outlier","Normal"))</f>
        <v>Normal</v>
      </c>
    </row>
    <row r="309" spans="1:29" x14ac:dyDescent="0.35">
      <c r="A309" t="s">
        <v>2197</v>
      </c>
      <c r="B309">
        <v>70.3</v>
      </c>
      <c r="C309">
        <v>190</v>
      </c>
      <c r="D309" t="s">
        <v>210</v>
      </c>
      <c r="E309">
        <v>36</v>
      </c>
      <c r="F309" t="s">
        <v>2198</v>
      </c>
      <c r="G309" t="s">
        <v>28</v>
      </c>
      <c r="H309" t="s">
        <v>29</v>
      </c>
      <c r="I309" t="s">
        <v>48</v>
      </c>
      <c r="J309">
        <v>3</v>
      </c>
      <c r="K309">
        <v>5</v>
      </c>
      <c r="L309">
        <v>0</v>
      </c>
      <c r="M309">
        <v>0</v>
      </c>
      <c r="N309">
        <v>0</v>
      </c>
      <c r="O309">
        <v>0</v>
      </c>
      <c r="P309">
        <v>2</v>
      </c>
      <c r="Q309">
        <v>0</v>
      </c>
      <c r="R309">
        <v>0</v>
      </c>
      <c r="S309">
        <v>0</v>
      </c>
      <c r="T309">
        <v>0</v>
      </c>
      <c r="U309">
        <v>4</v>
      </c>
      <c r="V309">
        <v>0</v>
      </c>
      <c r="W309">
        <v>8</v>
      </c>
      <c r="X309">
        <v>886.83</v>
      </c>
      <c r="Y309">
        <v>1184.44</v>
      </c>
      <c r="Z309">
        <f>AVERAGEIFS(Table1[FinalElo], Table1[Country], Table1[[#This Row],[Country]])</f>
        <v>1013.9366666666666</v>
      </c>
      <c r="AA309" cm="1">
        <f t="array" ref="AA309">IF(COUNTIFS(Table1[Country],Table1[[#This Row],[Country]])=1,0, _xlfn.STDEV.S(IF(Table1[Country]=Table1[[#This Row],[Country]],Table1[FinalElo])))</f>
        <v>163.09937898921214</v>
      </c>
      <c r="AB309">
        <f>IF(Table1[[#This Row],[CStd]]=0,0, (Table1[[#This Row],[FinalElo]]-Table1[[#This Row],[CAvg]]) / Table1[[#This Row],[CStd]])</f>
        <v>-0.77932035949121403</v>
      </c>
      <c r="AC309" t="str">
        <f>IF(Table1[[#This Row],[CStd]]=0,"Normal", IF(ABS(Table1[[#This Row],[CZscore]])&gt;2,"Outlier","Normal"))</f>
        <v>Normal</v>
      </c>
    </row>
    <row r="310" spans="1:29" x14ac:dyDescent="0.35">
      <c r="A310" t="s">
        <v>2196</v>
      </c>
      <c r="B310">
        <v>56.7</v>
      </c>
      <c r="C310">
        <v>170</v>
      </c>
      <c r="D310" t="s">
        <v>89</v>
      </c>
      <c r="E310">
        <v>20</v>
      </c>
      <c r="F310" t="s">
        <v>1968</v>
      </c>
      <c r="G310" t="s">
        <v>34</v>
      </c>
      <c r="H310" t="s">
        <v>29</v>
      </c>
      <c r="I310" t="s">
        <v>58</v>
      </c>
      <c r="J310">
        <v>1</v>
      </c>
      <c r="K310">
        <v>1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1</v>
      </c>
      <c r="V310">
        <v>0</v>
      </c>
      <c r="W310">
        <v>2</v>
      </c>
      <c r="X310">
        <v>1013.74</v>
      </c>
      <c r="Y310">
        <v>1100</v>
      </c>
      <c r="Z310">
        <f>AVERAGEIFS(Table1[FinalElo], Table1[Country], Table1[[#This Row],[Country]])</f>
        <v>1012.0629025423733</v>
      </c>
      <c r="AA310" cm="1">
        <f t="array" ref="AA310">IF(COUNTIFS(Table1[Country],Table1[[#This Row],[Country]])=1,0, _xlfn.STDEV.S(IF(Table1[Country]=Table1[[#This Row],[Country]],Table1[FinalElo])))</f>
        <v>148.42180446198614</v>
      </c>
      <c r="AB310">
        <f>IF(Table1[[#This Row],[CStd]]=0,0, (Table1[[#This Row],[FinalElo]]-Table1[[#This Row],[CAvg]]) / Table1[[#This Row],[CStd]])</f>
        <v>1.1299535561543721E-2</v>
      </c>
      <c r="AC310" t="str">
        <f>IF(Table1[[#This Row],[CStd]]=0,"Normal", IF(ABS(Table1[[#This Row],[CZscore]])&gt;2,"Outlier","Normal"))</f>
        <v>Normal</v>
      </c>
    </row>
    <row r="311" spans="1:29" x14ac:dyDescent="0.35">
      <c r="A311" t="s">
        <v>2194</v>
      </c>
      <c r="B311">
        <v>61.23</v>
      </c>
      <c r="C311">
        <v>179</v>
      </c>
      <c r="D311" t="s">
        <v>226</v>
      </c>
      <c r="E311">
        <v>37</v>
      </c>
      <c r="F311" t="s">
        <v>2195</v>
      </c>
      <c r="G311" t="s">
        <v>34</v>
      </c>
      <c r="H311" t="s">
        <v>29</v>
      </c>
      <c r="I311" t="s">
        <v>73</v>
      </c>
      <c r="J311">
        <v>0</v>
      </c>
      <c r="K311">
        <v>1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1</v>
      </c>
      <c r="S311">
        <v>0</v>
      </c>
      <c r="T311">
        <v>0</v>
      </c>
      <c r="U311">
        <v>0</v>
      </c>
      <c r="V311">
        <v>0</v>
      </c>
      <c r="W311">
        <v>1</v>
      </c>
      <c r="X311">
        <v>935.26</v>
      </c>
      <c r="Y311">
        <v>1000</v>
      </c>
      <c r="Z311">
        <f>AVERAGEIFS(Table1[FinalElo], Table1[Country], Table1[[#This Row],[Country]])</f>
        <v>961.00176470588235</v>
      </c>
      <c r="AA311" cm="1">
        <f t="array" ref="AA311">IF(COUNTIFS(Table1[Country],Table1[[#This Row],[Country]])=1,0, _xlfn.STDEV.S(IF(Table1[Country]=Table1[[#This Row],[Country]],Table1[FinalElo])))</f>
        <v>117.15877454523515</v>
      </c>
      <c r="AB311">
        <f>IF(Table1[[#This Row],[CStd]]=0,0, (Table1[[#This Row],[FinalElo]]-Table1[[#This Row],[CAvg]]) / Table1[[#This Row],[CStd]])</f>
        <v>-0.21971691668679441</v>
      </c>
      <c r="AC311" t="str">
        <f>IF(Table1[[#This Row],[CStd]]=0,"Normal", IF(ABS(Table1[[#This Row],[CZscore]])&gt;2,"Outlier","Normal"))</f>
        <v>Normal</v>
      </c>
    </row>
    <row r="312" spans="1:29" x14ac:dyDescent="0.35">
      <c r="A312" t="s">
        <v>2193</v>
      </c>
      <c r="B312">
        <v>61.23</v>
      </c>
      <c r="C312">
        <v>172</v>
      </c>
      <c r="D312" t="s">
        <v>910</v>
      </c>
      <c r="E312">
        <v>26</v>
      </c>
      <c r="F312" t="s">
        <v>87</v>
      </c>
      <c r="G312" t="s">
        <v>34</v>
      </c>
      <c r="H312" t="s">
        <v>29</v>
      </c>
      <c r="I312" t="s">
        <v>73</v>
      </c>
      <c r="J312">
        <v>0</v>
      </c>
      <c r="K312">
        <v>1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1</v>
      </c>
      <c r="S312">
        <v>0</v>
      </c>
      <c r="T312">
        <v>0</v>
      </c>
      <c r="U312">
        <v>0</v>
      </c>
      <c r="V312">
        <v>0</v>
      </c>
      <c r="W312">
        <v>1</v>
      </c>
      <c r="X312">
        <v>900</v>
      </c>
      <c r="Y312">
        <v>1000</v>
      </c>
      <c r="Z312">
        <f>AVERAGEIFS(Table1[FinalElo], Table1[Country], Table1[[#This Row],[Country]])</f>
        <v>960.96999999999991</v>
      </c>
      <c r="AA312" cm="1">
        <f t="array" ref="AA312">IF(COUNTIFS(Table1[Country],Table1[[#This Row],[Country]])=1,0, _xlfn.STDEV.S(IF(Table1[Country]=Table1[[#This Row],[Country]],Table1[FinalElo])))</f>
        <v>96.301048280898797</v>
      </c>
      <c r="AB312">
        <f>IF(Table1[[#This Row],[CStd]]=0,0, (Table1[[#This Row],[FinalElo]]-Table1[[#This Row],[CAvg]]) / Table1[[#This Row],[CStd]])</f>
        <v>-0.63311875715161081</v>
      </c>
      <c r="AC312" t="str">
        <f>IF(Table1[[#This Row],[CStd]]=0,"Normal", IF(ABS(Table1[[#This Row],[CZscore]])&gt;2,"Outlier","Normal"))</f>
        <v>Normal</v>
      </c>
    </row>
    <row r="313" spans="1:29" x14ac:dyDescent="0.35">
      <c r="A313" t="s">
        <v>2192</v>
      </c>
      <c r="B313">
        <v>53.523856000000002</v>
      </c>
      <c r="C313">
        <v>165</v>
      </c>
      <c r="D313" t="s">
        <v>89</v>
      </c>
      <c r="E313">
        <v>24</v>
      </c>
      <c r="F313">
        <v>0</v>
      </c>
      <c r="G313" t="s">
        <v>34</v>
      </c>
      <c r="H313" t="s">
        <v>29</v>
      </c>
      <c r="I313" t="s">
        <v>36</v>
      </c>
      <c r="J313">
        <v>0</v>
      </c>
      <c r="K313">
        <v>1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1</v>
      </c>
      <c r="X313">
        <v>900</v>
      </c>
      <c r="Y313">
        <v>1000</v>
      </c>
      <c r="Z313">
        <f>AVERAGEIFS(Table1[FinalElo], Table1[Country], Table1[[#This Row],[Country]])</f>
        <v>1012.0629025423733</v>
      </c>
      <c r="AA313" cm="1">
        <f t="array" ref="AA313">IF(COUNTIFS(Table1[Country],Table1[[#This Row],[Country]])=1,0, _xlfn.STDEV.S(IF(Table1[Country]=Table1[[#This Row],[Country]],Table1[FinalElo])))</f>
        <v>148.42180446198614</v>
      </c>
      <c r="AB313">
        <f>IF(Table1[[#This Row],[CStd]]=0,0, (Table1[[#This Row],[FinalElo]]-Table1[[#This Row],[CAvg]]) / Table1[[#This Row],[CStd]])</f>
        <v>-0.75502991591154589</v>
      </c>
      <c r="AC313" t="str">
        <f>IF(Table1[[#This Row],[CStd]]=0,"Normal", IF(ABS(Table1[[#This Row],[CZscore]])&gt;2,"Outlier","Normal"))</f>
        <v>Normal</v>
      </c>
    </row>
    <row r="314" spans="1:29" x14ac:dyDescent="0.35">
      <c r="A314" t="s">
        <v>2191</v>
      </c>
      <c r="B314">
        <v>58.059775999999999</v>
      </c>
      <c r="C314">
        <v>173</v>
      </c>
      <c r="D314" t="s">
        <v>89</v>
      </c>
      <c r="E314">
        <v>21</v>
      </c>
      <c r="F314" t="s">
        <v>680</v>
      </c>
      <c r="G314" t="s">
        <v>34</v>
      </c>
      <c r="H314" t="s">
        <v>29</v>
      </c>
      <c r="I314" t="s">
        <v>58</v>
      </c>
      <c r="J314">
        <v>1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1</v>
      </c>
      <c r="X314">
        <v>1100</v>
      </c>
      <c r="Y314">
        <v>1100</v>
      </c>
      <c r="Z314">
        <f>AVERAGEIFS(Table1[FinalElo], Table1[Country], Table1[[#This Row],[Country]])</f>
        <v>1012.0629025423733</v>
      </c>
      <c r="AA314" cm="1">
        <f t="array" ref="AA314">IF(COUNTIFS(Table1[Country],Table1[[#This Row],[Country]])=1,0, _xlfn.STDEV.S(IF(Table1[Country]=Table1[[#This Row],[Country]],Table1[FinalElo])))</f>
        <v>148.42180446198614</v>
      </c>
      <c r="AB314">
        <f>IF(Table1[[#This Row],[CStd]]=0,0, (Table1[[#This Row],[FinalElo]]-Table1[[#This Row],[CAvg]]) / Table1[[#This Row],[CStd]])</f>
        <v>0.59248098873605315</v>
      </c>
      <c r="AC314" t="str">
        <f>IF(Table1[[#This Row],[CStd]]=0,"Normal", IF(ABS(Table1[[#This Row],[CZscore]])&gt;2,"Outlier","Normal"))</f>
        <v>Normal</v>
      </c>
    </row>
    <row r="315" spans="1:29" x14ac:dyDescent="0.35">
      <c r="A315" t="s">
        <v>2189</v>
      </c>
      <c r="B315">
        <v>61.2</v>
      </c>
      <c r="C315">
        <v>170</v>
      </c>
      <c r="D315" t="s">
        <v>396</v>
      </c>
      <c r="E315">
        <v>25</v>
      </c>
      <c r="F315" t="s">
        <v>2190</v>
      </c>
      <c r="G315" t="s">
        <v>34</v>
      </c>
      <c r="H315" t="s">
        <v>29</v>
      </c>
      <c r="I315" t="s">
        <v>58</v>
      </c>
      <c r="J315">
        <v>0</v>
      </c>
      <c r="K315">
        <v>1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1</v>
      </c>
      <c r="X315">
        <v>900</v>
      </c>
      <c r="Y315">
        <v>1000</v>
      </c>
      <c r="Z315">
        <f>AVERAGEIFS(Table1[FinalElo], Table1[Country], Table1[[#This Row],[Country]])</f>
        <v>998.29391304347814</v>
      </c>
      <c r="AA315" cm="1">
        <f t="array" ref="AA315">IF(COUNTIFS(Table1[Country],Table1[[#This Row],[Country]])=1,0, _xlfn.STDEV.S(IF(Table1[Country]=Table1[[#This Row],[Country]],Table1[FinalElo])))</f>
        <v>125.31531828802386</v>
      </c>
      <c r="AB315">
        <f>IF(Table1[[#This Row],[CStd]]=0,0, (Table1[[#This Row],[FinalElo]]-Table1[[#This Row],[CAvg]]) / Table1[[#This Row],[CStd]])</f>
        <v>-0.78437268792279724</v>
      </c>
      <c r="AC315" t="str">
        <f>IF(Table1[[#This Row],[CStd]]=0,"Normal", IF(ABS(Table1[[#This Row],[CZscore]])&gt;2,"Outlier","Normal"))</f>
        <v>Normal</v>
      </c>
    </row>
    <row r="316" spans="1:29" x14ac:dyDescent="0.35">
      <c r="A316" t="s">
        <v>2188</v>
      </c>
      <c r="B316">
        <v>65.8</v>
      </c>
      <c r="C316">
        <v>183</v>
      </c>
      <c r="D316" t="s">
        <v>89</v>
      </c>
      <c r="E316">
        <v>20</v>
      </c>
      <c r="F316" t="s">
        <v>1529</v>
      </c>
      <c r="G316" t="s">
        <v>34</v>
      </c>
      <c r="H316" t="s">
        <v>29</v>
      </c>
      <c r="I316" t="s">
        <v>48</v>
      </c>
      <c r="J316">
        <v>1</v>
      </c>
      <c r="K316">
        <v>1</v>
      </c>
      <c r="L316">
        <v>0</v>
      </c>
      <c r="M316">
        <v>1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2</v>
      </c>
      <c r="X316">
        <v>979.57</v>
      </c>
      <c r="Y316">
        <v>1000</v>
      </c>
      <c r="Z316">
        <f>AVERAGEIFS(Table1[FinalElo], Table1[Country], Table1[[#This Row],[Country]])</f>
        <v>1012.0629025423733</v>
      </c>
      <c r="AA316" cm="1">
        <f t="array" ref="AA316">IF(COUNTIFS(Table1[Country],Table1[[#This Row],[Country]])=1,0, _xlfn.STDEV.S(IF(Table1[Country]=Table1[[#This Row],[Country]],Table1[FinalElo])))</f>
        <v>148.42180446198614</v>
      </c>
      <c r="AB316">
        <f>IF(Table1[[#This Row],[CStd]]=0,0, (Table1[[#This Row],[FinalElo]]-Table1[[#This Row],[CAvg]]) / Table1[[#This Row],[CStd]])</f>
        <v>-0.21892270249749829</v>
      </c>
      <c r="AC316" t="str">
        <f>IF(Table1[[#This Row],[CStd]]=0,"Normal", IF(ABS(Table1[[#This Row],[CZscore]])&gt;2,"Outlier","Normal"))</f>
        <v>Normal</v>
      </c>
    </row>
    <row r="317" spans="1:29" x14ac:dyDescent="0.35">
      <c r="A317" t="s">
        <v>2187</v>
      </c>
      <c r="B317">
        <v>63.4</v>
      </c>
      <c r="C317">
        <v>165</v>
      </c>
      <c r="D317" t="s">
        <v>89</v>
      </c>
      <c r="E317">
        <v>23</v>
      </c>
      <c r="F317" t="s">
        <v>709</v>
      </c>
      <c r="G317" t="s">
        <v>34</v>
      </c>
      <c r="H317" t="s">
        <v>29</v>
      </c>
      <c r="I317" t="s">
        <v>73</v>
      </c>
      <c r="J317">
        <v>7</v>
      </c>
      <c r="K317">
        <v>3</v>
      </c>
      <c r="L317">
        <v>0</v>
      </c>
      <c r="M317">
        <v>1</v>
      </c>
      <c r="N317">
        <v>0</v>
      </c>
      <c r="O317">
        <v>0</v>
      </c>
      <c r="P317">
        <v>4</v>
      </c>
      <c r="Q317">
        <v>0</v>
      </c>
      <c r="R317">
        <v>1</v>
      </c>
      <c r="S317">
        <v>0</v>
      </c>
      <c r="T317">
        <v>0</v>
      </c>
      <c r="U317">
        <v>1</v>
      </c>
      <c r="V317">
        <v>1</v>
      </c>
      <c r="W317">
        <v>10</v>
      </c>
      <c r="X317">
        <v>1300.2</v>
      </c>
      <c r="Y317">
        <v>1300.2</v>
      </c>
      <c r="Z317">
        <f>AVERAGEIFS(Table1[FinalElo], Table1[Country], Table1[[#This Row],[Country]])</f>
        <v>1012.0629025423733</v>
      </c>
      <c r="AA317" cm="1">
        <f t="array" ref="AA317">IF(COUNTIFS(Table1[Country],Table1[[#This Row],[Country]])=1,0, _xlfn.STDEV.S(IF(Table1[Country]=Table1[[#This Row],[Country]],Table1[FinalElo])))</f>
        <v>148.42180446198614</v>
      </c>
      <c r="AB317">
        <f>IF(Table1[[#This Row],[CStd]]=0,0, (Table1[[#This Row],[FinalElo]]-Table1[[#This Row],[CAvg]]) / Table1[[#This Row],[CStd]])</f>
        <v>1.9413394042883001</v>
      </c>
      <c r="AC317" t="str">
        <f>IF(Table1[[#This Row],[CStd]]=0,"Normal", IF(ABS(Table1[[#This Row],[CZscore]])&gt;2,"Outlier","Normal"))</f>
        <v>Normal</v>
      </c>
    </row>
    <row r="318" spans="1:29" x14ac:dyDescent="0.35">
      <c r="A318" t="s">
        <v>2186</v>
      </c>
      <c r="B318">
        <v>58.513368</v>
      </c>
      <c r="C318">
        <v>175</v>
      </c>
      <c r="D318" t="s">
        <v>89</v>
      </c>
      <c r="E318">
        <v>26</v>
      </c>
      <c r="F318" t="s">
        <v>99</v>
      </c>
      <c r="G318" t="s">
        <v>34</v>
      </c>
      <c r="H318" t="s">
        <v>29</v>
      </c>
      <c r="I318" t="s">
        <v>58</v>
      </c>
      <c r="J318">
        <v>3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2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3</v>
      </c>
      <c r="X318">
        <v>1221.49</v>
      </c>
      <c r="Y318">
        <v>1221.49</v>
      </c>
      <c r="Z318">
        <f>AVERAGEIFS(Table1[FinalElo], Table1[Country], Table1[[#This Row],[Country]])</f>
        <v>1012.0629025423733</v>
      </c>
      <c r="AA318" cm="1">
        <f t="array" ref="AA318">IF(COUNTIFS(Table1[Country],Table1[[#This Row],[Country]])=1,0, _xlfn.STDEV.S(IF(Table1[Country]=Table1[[#This Row],[Country]],Table1[FinalElo])))</f>
        <v>148.42180446198614</v>
      </c>
      <c r="AB318">
        <f>IF(Table1[[#This Row],[CStd]]=0,0, (Table1[[#This Row],[FinalElo]]-Table1[[#This Row],[CAvg]]) / Table1[[#This Row],[CStd]])</f>
        <v>1.4110264877642373</v>
      </c>
      <c r="AC318" t="str">
        <f>IF(Table1[[#This Row],[CStd]]=0,"Normal", IF(ABS(Table1[[#This Row],[CZscore]])&gt;2,"Outlier","Normal"))</f>
        <v>Normal</v>
      </c>
    </row>
    <row r="319" spans="1:29" x14ac:dyDescent="0.35">
      <c r="A319" t="s">
        <v>2185</v>
      </c>
      <c r="B319">
        <v>79.832192000000006</v>
      </c>
      <c r="C319">
        <v>180</v>
      </c>
      <c r="D319" t="s">
        <v>244</v>
      </c>
      <c r="E319">
        <v>26</v>
      </c>
      <c r="F319">
        <v>0</v>
      </c>
      <c r="G319" t="s">
        <v>40</v>
      </c>
      <c r="H319" t="s">
        <v>29</v>
      </c>
      <c r="I319" t="s">
        <v>50</v>
      </c>
      <c r="J319">
        <v>0</v>
      </c>
      <c r="K319">
        <v>1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1</v>
      </c>
      <c r="S319">
        <v>0</v>
      </c>
      <c r="T319">
        <v>0</v>
      </c>
      <c r="U319">
        <v>0</v>
      </c>
      <c r="V319">
        <v>0</v>
      </c>
      <c r="W319">
        <v>1</v>
      </c>
      <c r="X319">
        <v>952.78</v>
      </c>
      <c r="Y319">
        <v>1000</v>
      </c>
      <c r="Z319">
        <f>AVERAGEIFS(Table1[FinalElo], Table1[Country], Table1[[#This Row],[Country]])</f>
        <v>1041.2214285714285</v>
      </c>
      <c r="AA319" cm="1">
        <f t="array" ref="AA319">IF(COUNTIFS(Table1[Country],Table1[[#This Row],[Country]])=1,0, _xlfn.STDEV.S(IF(Table1[Country]=Table1[[#This Row],[Country]],Table1[FinalElo])))</f>
        <v>242.01065578665347</v>
      </c>
      <c r="AB319">
        <f>IF(Table1[[#This Row],[CStd]]=0,0, (Table1[[#This Row],[FinalElo]]-Table1[[#This Row],[CAvg]]) / Table1[[#This Row],[CStd]])</f>
        <v>-0.36544435733191372</v>
      </c>
      <c r="AC319" t="str">
        <f>IF(Table1[[#This Row],[CStd]]=0,"Normal", IF(ABS(Table1[[#This Row],[CZscore]])&gt;2,"Outlier","Normal"))</f>
        <v>Normal</v>
      </c>
    </row>
    <row r="320" spans="1:29" x14ac:dyDescent="0.35">
      <c r="A320" t="s">
        <v>2184</v>
      </c>
      <c r="B320">
        <v>56.2</v>
      </c>
      <c r="C320">
        <v>169</v>
      </c>
      <c r="D320" t="s">
        <v>89</v>
      </c>
      <c r="E320">
        <v>25</v>
      </c>
      <c r="F320" t="s">
        <v>535</v>
      </c>
      <c r="G320" t="s">
        <v>34</v>
      </c>
      <c r="H320" t="s">
        <v>29</v>
      </c>
      <c r="I320" t="s">
        <v>36</v>
      </c>
      <c r="J320">
        <v>2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1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2</v>
      </c>
      <c r="X320">
        <v>1198.18</v>
      </c>
      <c r="Y320">
        <v>1198.18</v>
      </c>
      <c r="Z320">
        <f>AVERAGEIFS(Table1[FinalElo], Table1[Country], Table1[[#This Row],[Country]])</f>
        <v>1012.0629025423733</v>
      </c>
      <c r="AA320" cm="1">
        <f t="array" ref="AA320">IF(COUNTIFS(Table1[Country],Table1[[#This Row],[Country]])=1,0, _xlfn.STDEV.S(IF(Table1[Country]=Table1[[#This Row],[Country]],Table1[FinalElo])))</f>
        <v>148.42180446198614</v>
      </c>
      <c r="AB320">
        <f>IF(Table1[[#This Row],[CStd]]=0,0, (Table1[[#This Row],[FinalElo]]-Table1[[#This Row],[CAvg]]) / Table1[[#This Row],[CStd]])</f>
        <v>1.2539740918275599</v>
      </c>
      <c r="AC320" t="str">
        <f>IF(Table1[[#This Row],[CStd]]=0,"Normal", IF(ABS(Table1[[#This Row],[CZscore]])&gt;2,"Outlier","Normal"))</f>
        <v>Normal</v>
      </c>
    </row>
    <row r="321" spans="1:29" x14ac:dyDescent="0.35">
      <c r="A321" t="s">
        <v>2183</v>
      </c>
      <c r="B321">
        <v>56.7</v>
      </c>
      <c r="C321">
        <v>168</v>
      </c>
      <c r="D321" t="s">
        <v>89</v>
      </c>
      <c r="E321">
        <v>41</v>
      </c>
      <c r="F321" t="s">
        <v>90</v>
      </c>
      <c r="G321" t="s">
        <v>28</v>
      </c>
      <c r="H321" t="s">
        <v>29</v>
      </c>
      <c r="I321" t="s">
        <v>58</v>
      </c>
      <c r="J321">
        <v>9</v>
      </c>
      <c r="K321">
        <v>4</v>
      </c>
      <c r="L321">
        <v>0</v>
      </c>
      <c r="M321">
        <v>2</v>
      </c>
      <c r="N321">
        <v>0</v>
      </c>
      <c r="O321">
        <v>0</v>
      </c>
      <c r="P321">
        <v>3</v>
      </c>
      <c r="Q321">
        <v>0</v>
      </c>
      <c r="R321">
        <v>0</v>
      </c>
      <c r="S321">
        <v>0</v>
      </c>
      <c r="T321">
        <v>0</v>
      </c>
      <c r="U321">
        <v>2</v>
      </c>
      <c r="V321">
        <v>0</v>
      </c>
      <c r="W321">
        <v>13</v>
      </c>
      <c r="X321">
        <v>1171.3399999999999</v>
      </c>
      <c r="Y321">
        <v>1305.3</v>
      </c>
      <c r="Z321">
        <f>AVERAGEIFS(Table1[FinalElo], Table1[Country], Table1[[#This Row],[Country]])</f>
        <v>1012.0629025423733</v>
      </c>
      <c r="AA321" cm="1">
        <f t="array" ref="AA321">IF(COUNTIFS(Table1[Country],Table1[[#This Row],[Country]])=1,0, _xlfn.STDEV.S(IF(Table1[Country]=Table1[[#This Row],[Country]],Table1[FinalElo])))</f>
        <v>148.42180446198614</v>
      </c>
      <c r="AB321">
        <f>IF(Table1[[#This Row],[CStd]]=0,0, (Table1[[#This Row],[FinalElo]]-Table1[[#This Row],[CAvg]]) / Table1[[#This Row],[CStd]])</f>
        <v>1.0731381284238513</v>
      </c>
      <c r="AC321" t="str">
        <f>IF(Table1[[#This Row],[CStd]]=0,"Normal", IF(ABS(Table1[[#This Row],[CZscore]])&gt;2,"Outlier","Normal"))</f>
        <v>Normal</v>
      </c>
    </row>
    <row r="322" spans="1:29" hidden="1" x14ac:dyDescent="0.35">
      <c r="A322" t="s">
        <v>671</v>
      </c>
      <c r="B322">
        <v>56.4</v>
      </c>
      <c r="C322">
        <v>160</v>
      </c>
      <c r="D322" t="s">
        <v>32</v>
      </c>
      <c r="E322">
        <v>29</v>
      </c>
      <c r="F322" t="s">
        <v>672</v>
      </c>
      <c r="G322" t="s">
        <v>40</v>
      </c>
      <c r="H322" t="s">
        <v>35</v>
      </c>
      <c r="I322" t="s">
        <v>36</v>
      </c>
      <c r="J322">
        <v>1</v>
      </c>
      <c r="K322">
        <v>1</v>
      </c>
      <c r="L322">
        <v>0</v>
      </c>
      <c r="M322">
        <v>1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1</v>
      </c>
      <c r="V322">
        <v>0</v>
      </c>
      <c r="W322">
        <v>2</v>
      </c>
      <c r="X322">
        <v>1055.96</v>
      </c>
      <c r="Y322">
        <v>1147.82</v>
      </c>
      <c r="Z322">
        <f>AVERAGEIFS(Table1[FinalElo], Table1[Country], Table1[[#This Row],[Country]])</f>
        <v>1025.3786885245902</v>
      </c>
      <c r="AA322" cm="1">
        <f t="array" ref="AA322">IF(COUNTIFS(Table1[Country],Table1[[#This Row],[Country]])=1,0, _xlfn.STDEV.S(IF(Table1[Country]=Table1[[#This Row],[Country]],Table1[FinalElo])))</f>
        <v>144.71595558743479</v>
      </c>
      <c r="AB322">
        <f>IF(Table1[[#This Row],[CStd]]=0,0, (Table1[[#This Row],[FinalElo]]-Table1[[#This Row],[CAvg]]) / Table1[[#This Row],[CStd]])</f>
        <v>0.21131955596239121</v>
      </c>
      <c r="AC322" t="str">
        <f>IF(Table1[[#This Row],[CStd]]=0,"Normal", IF(ABS(Table1[[#This Row],[CZscore]])&gt;2,"Outlier","Normal"))</f>
        <v>Normal</v>
      </c>
    </row>
    <row r="323" spans="1:29" x14ac:dyDescent="0.35">
      <c r="A323" t="s">
        <v>2181</v>
      </c>
      <c r="B323">
        <v>77.11</v>
      </c>
      <c r="C323">
        <v>182</v>
      </c>
      <c r="D323" t="s">
        <v>140</v>
      </c>
      <c r="E323">
        <v>35</v>
      </c>
      <c r="F323" t="s">
        <v>2182</v>
      </c>
      <c r="G323" t="s">
        <v>40</v>
      </c>
      <c r="H323" t="s">
        <v>29</v>
      </c>
      <c r="I323" t="s">
        <v>50</v>
      </c>
      <c r="J323">
        <v>1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1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1</v>
      </c>
      <c r="X323">
        <v>1069.97</v>
      </c>
      <c r="Y323">
        <v>1069.97</v>
      </c>
      <c r="Z323">
        <f>AVERAGEIFS(Table1[FinalElo], Table1[Country], Table1[[#This Row],[Country]])</f>
        <v>1002.675294117647</v>
      </c>
      <c r="AA323" cm="1">
        <f t="array" ref="AA323">IF(COUNTIFS(Table1[Country],Table1[[#This Row],[Country]])=1,0, _xlfn.STDEV.S(IF(Table1[Country]=Table1[[#This Row],[Country]],Table1[FinalElo])))</f>
        <v>171.59712028169514</v>
      </c>
      <c r="AB323">
        <f>IF(Table1[[#This Row],[CStd]]=0,0, (Table1[[#This Row],[FinalElo]]-Table1[[#This Row],[CAvg]]) / Table1[[#This Row],[CStd]])</f>
        <v>0.39216687186755533</v>
      </c>
      <c r="AC323" t="str">
        <f>IF(Table1[[#This Row],[CStd]]=0,"Normal", IF(ABS(Table1[[#This Row],[CZscore]])&gt;2,"Outlier","Normal"))</f>
        <v>Normal</v>
      </c>
    </row>
    <row r="324" spans="1:29" x14ac:dyDescent="0.35">
      <c r="A324" t="s">
        <v>2180</v>
      </c>
      <c r="B324">
        <v>62.7</v>
      </c>
      <c r="C324">
        <v>170</v>
      </c>
      <c r="D324" t="s">
        <v>89</v>
      </c>
      <c r="E324">
        <v>25</v>
      </c>
      <c r="F324" t="s">
        <v>699</v>
      </c>
      <c r="G324" t="s">
        <v>34</v>
      </c>
      <c r="H324" t="s">
        <v>29</v>
      </c>
      <c r="I324" t="s">
        <v>73</v>
      </c>
      <c r="J324">
        <v>1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1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1</v>
      </c>
      <c r="X324">
        <v>1100</v>
      </c>
      <c r="Y324">
        <v>1100</v>
      </c>
      <c r="Z324">
        <f>AVERAGEIFS(Table1[FinalElo], Table1[Country], Table1[[#This Row],[Country]])</f>
        <v>1012.0629025423733</v>
      </c>
      <c r="AA324" cm="1">
        <f t="array" ref="AA324">IF(COUNTIFS(Table1[Country],Table1[[#This Row],[Country]])=1,0, _xlfn.STDEV.S(IF(Table1[Country]=Table1[[#This Row],[Country]],Table1[FinalElo])))</f>
        <v>148.42180446198614</v>
      </c>
      <c r="AB324">
        <f>IF(Table1[[#This Row],[CStd]]=0,0, (Table1[[#This Row],[FinalElo]]-Table1[[#This Row],[CAvg]]) / Table1[[#This Row],[CStd]])</f>
        <v>0.59248098873605315</v>
      </c>
      <c r="AC324" t="str">
        <f>IF(Table1[[#This Row],[CStd]]=0,"Normal", IF(ABS(Table1[[#This Row],[CZscore]])&gt;2,"Outlier","Normal"))</f>
        <v>Normal</v>
      </c>
    </row>
    <row r="325" spans="1:29" x14ac:dyDescent="0.35">
      <c r="A325" t="s">
        <v>2177</v>
      </c>
      <c r="B325">
        <v>50.802303999999999</v>
      </c>
      <c r="C325">
        <v>160</v>
      </c>
      <c r="D325" t="s">
        <v>89</v>
      </c>
      <c r="E325">
        <v>25</v>
      </c>
      <c r="F325" t="s">
        <v>1954</v>
      </c>
      <c r="G325" t="s">
        <v>34</v>
      </c>
      <c r="H325" t="s">
        <v>29</v>
      </c>
      <c r="I325" t="s">
        <v>55</v>
      </c>
      <c r="J325">
        <v>1</v>
      </c>
      <c r="K325">
        <v>1</v>
      </c>
      <c r="L325">
        <v>0</v>
      </c>
      <c r="M325">
        <v>0</v>
      </c>
      <c r="N325">
        <v>0</v>
      </c>
      <c r="O325">
        <v>0</v>
      </c>
      <c r="P325">
        <v>1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2</v>
      </c>
      <c r="X325">
        <v>1017.12</v>
      </c>
      <c r="Y325">
        <v>1124.03</v>
      </c>
      <c r="Z325">
        <f>AVERAGEIFS(Table1[FinalElo], Table1[Country], Table1[[#This Row],[Country]])</f>
        <v>1012.0629025423733</v>
      </c>
      <c r="AA325" cm="1">
        <f t="array" ref="AA325">IF(COUNTIFS(Table1[Country],Table1[[#This Row],[Country]])=1,0, _xlfn.STDEV.S(IF(Table1[Country]=Table1[[#This Row],[Country]],Table1[FinalElo])))</f>
        <v>148.42180446198614</v>
      </c>
      <c r="AB325">
        <f>IF(Table1[[#This Row],[CStd]]=0,0, (Table1[[#This Row],[FinalElo]]-Table1[[#This Row],[CAvg]]) / Table1[[#This Row],[CStd]])</f>
        <v>3.4072469850088112E-2</v>
      </c>
      <c r="AC325" t="str">
        <f>IF(Table1[[#This Row],[CStd]]=0,"Normal", IF(ABS(Table1[[#This Row],[CZscore]])&gt;2,"Outlier","Normal"))</f>
        <v>Normal</v>
      </c>
    </row>
    <row r="326" spans="1:29" x14ac:dyDescent="0.35">
      <c r="A326" t="s">
        <v>2176</v>
      </c>
      <c r="B326">
        <v>52.16</v>
      </c>
      <c r="C326">
        <v>168</v>
      </c>
      <c r="D326" t="s">
        <v>89</v>
      </c>
      <c r="E326">
        <v>22</v>
      </c>
      <c r="F326" t="s">
        <v>1700</v>
      </c>
      <c r="G326" t="s">
        <v>34</v>
      </c>
      <c r="H326" t="s">
        <v>29</v>
      </c>
      <c r="I326" t="s">
        <v>36</v>
      </c>
      <c r="J326">
        <v>0</v>
      </c>
      <c r="K326">
        <v>1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1</v>
      </c>
      <c r="X326">
        <v>945.82</v>
      </c>
      <c r="Y326">
        <v>1000</v>
      </c>
      <c r="Z326">
        <f>AVERAGEIFS(Table1[FinalElo], Table1[Country], Table1[[#This Row],[Country]])</f>
        <v>1012.0629025423733</v>
      </c>
      <c r="AA326" cm="1">
        <f t="array" ref="AA326">IF(COUNTIFS(Table1[Country],Table1[[#This Row],[Country]])=1,0, _xlfn.STDEV.S(IF(Table1[Country]=Table1[[#This Row],[Country]],Table1[FinalElo])))</f>
        <v>148.42180446198614</v>
      </c>
      <c r="AB326">
        <f>IF(Table1[[#This Row],[CStd]]=0,0, (Table1[[#This Row],[FinalElo]]-Table1[[#This Row],[CAvg]]) / Table1[[#This Row],[CStd]])</f>
        <v>-0.44631516765678064</v>
      </c>
      <c r="AC326" t="str">
        <f>IF(Table1[[#This Row],[CStd]]=0,"Normal", IF(ABS(Table1[[#This Row],[CZscore]])&gt;2,"Outlier","Normal"))</f>
        <v>Normal</v>
      </c>
    </row>
    <row r="327" spans="1:29" x14ac:dyDescent="0.35">
      <c r="A327" t="s">
        <v>2174</v>
      </c>
      <c r="B327">
        <v>59.4</v>
      </c>
      <c r="C327">
        <v>175</v>
      </c>
      <c r="D327" t="s">
        <v>89</v>
      </c>
      <c r="E327">
        <v>30</v>
      </c>
      <c r="F327" t="s">
        <v>653</v>
      </c>
      <c r="G327" t="s">
        <v>34</v>
      </c>
      <c r="H327" t="s">
        <v>29</v>
      </c>
      <c r="I327" t="s">
        <v>58</v>
      </c>
      <c r="J327">
        <v>0</v>
      </c>
      <c r="K327">
        <v>1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1</v>
      </c>
      <c r="X327">
        <v>900</v>
      </c>
      <c r="Y327">
        <v>1000</v>
      </c>
      <c r="Z327">
        <f>AVERAGEIFS(Table1[FinalElo], Table1[Country], Table1[[#This Row],[Country]])</f>
        <v>1012.0629025423733</v>
      </c>
      <c r="AA327" cm="1">
        <f t="array" ref="AA327">IF(COUNTIFS(Table1[Country],Table1[[#This Row],[Country]])=1,0, _xlfn.STDEV.S(IF(Table1[Country]=Table1[[#This Row],[Country]],Table1[FinalElo])))</f>
        <v>148.42180446198614</v>
      </c>
      <c r="AB327">
        <f>IF(Table1[[#This Row],[CStd]]=0,0, (Table1[[#This Row],[FinalElo]]-Table1[[#This Row],[CAvg]]) / Table1[[#This Row],[CStd]])</f>
        <v>-0.75502991591154589</v>
      </c>
      <c r="AC327" t="str">
        <f>IF(Table1[[#This Row],[CStd]]=0,"Normal", IF(ABS(Table1[[#This Row],[CZscore]])&gt;2,"Outlier","Normal"))</f>
        <v>Normal</v>
      </c>
    </row>
    <row r="328" spans="1:29" x14ac:dyDescent="0.35">
      <c r="A328" t="s">
        <v>2173</v>
      </c>
      <c r="B328">
        <v>61.23</v>
      </c>
      <c r="C328">
        <v>178</v>
      </c>
      <c r="D328" t="s">
        <v>146</v>
      </c>
      <c r="E328">
        <v>23</v>
      </c>
      <c r="F328" t="s">
        <v>87</v>
      </c>
      <c r="G328" t="s">
        <v>34</v>
      </c>
      <c r="H328" t="s">
        <v>29</v>
      </c>
      <c r="I328" t="s">
        <v>73</v>
      </c>
      <c r="J328">
        <v>1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1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1</v>
      </c>
      <c r="X328">
        <v>1049.82</v>
      </c>
      <c r="Y328">
        <v>1049.82</v>
      </c>
      <c r="Z328">
        <f>AVERAGEIFS(Table1[FinalElo], Table1[Country], Table1[[#This Row],[Country]])</f>
        <v>971.46103448275846</v>
      </c>
      <c r="AA328" cm="1">
        <f t="array" ref="AA328">IF(COUNTIFS(Table1[Country],Table1[[#This Row],[Country]])=1,0, _xlfn.STDEV.S(IF(Table1[Country]=Table1[[#This Row],[Country]],Table1[FinalElo])))</f>
        <v>107.62263899334665</v>
      </c>
      <c r="AB328">
        <f>IF(Table1[[#This Row],[CStd]]=0,0, (Table1[[#This Row],[FinalElo]]-Table1[[#This Row],[CAvg]]) / Table1[[#This Row],[CStd]])</f>
        <v>0.72808998413508241</v>
      </c>
      <c r="AC328" t="str">
        <f>IF(Table1[[#This Row],[CStd]]=0,"Normal", IF(ABS(Table1[[#This Row],[CZscore]])&gt;2,"Outlier","Normal"))</f>
        <v>Normal</v>
      </c>
    </row>
    <row r="329" spans="1:29" x14ac:dyDescent="0.35">
      <c r="A329" t="s">
        <v>2172</v>
      </c>
      <c r="B329">
        <v>50.8</v>
      </c>
      <c r="C329">
        <v>165</v>
      </c>
      <c r="D329" t="s">
        <v>89</v>
      </c>
      <c r="E329">
        <v>23</v>
      </c>
      <c r="F329" t="s">
        <v>99</v>
      </c>
      <c r="G329" t="s">
        <v>34</v>
      </c>
      <c r="H329" t="s">
        <v>29</v>
      </c>
      <c r="I329" t="s">
        <v>55</v>
      </c>
      <c r="J329">
        <v>1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1</v>
      </c>
      <c r="X329">
        <v>1100</v>
      </c>
      <c r="Y329">
        <v>1100</v>
      </c>
      <c r="Z329">
        <f>AVERAGEIFS(Table1[FinalElo], Table1[Country], Table1[[#This Row],[Country]])</f>
        <v>1012.0629025423733</v>
      </c>
      <c r="AA329" cm="1">
        <f t="array" ref="AA329">IF(COUNTIFS(Table1[Country],Table1[[#This Row],[Country]])=1,0, _xlfn.STDEV.S(IF(Table1[Country]=Table1[[#This Row],[Country]],Table1[FinalElo])))</f>
        <v>148.42180446198614</v>
      </c>
      <c r="AB329">
        <f>IF(Table1[[#This Row],[CStd]]=0,0, (Table1[[#This Row],[FinalElo]]-Table1[[#This Row],[CAvg]]) / Table1[[#This Row],[CStd]])</f>
        <v>0.59248098873605315</v>
      </c>
      <c r="AC329" t="str">
        <f>IF(Table1[[#This Row],[CStd]]=0,"Normal", IF(ABS(Table1[[#This Row],[CZscore]])&gt;2,"Outlier","Normal"))</f>
        <v>Normal</v>
      </c>
    </row>
    <row r="330" spans="1:29" x14ac:dyDescent="0.35">
      <c r="A330" t="s">
        <v>2170</v>
      </c>
      <c r="B330">
        <v>61.2</v>
      </c>
      <c r="C330">
        <v>172</v>
      </c>
      <c r="D330" t="s">
        <v>396</v>
      </c>
      <c r="E330">
        <v>32</v>
      </c>
      <c r="F330" t="s">
        <v>2171</v>
      </c>
      <c r="G330" t="s">
        <v>40</v>
      </c>
      <c r="H330" t="s">
        <v>29</v>
      </c>
      <c r="I330" t="s">
        <v>58</v>
      </c>
      <c r="J330">
        <v>2</v>
      </c>
      <c r="K330">
        <v>0</v>
      </c>
      <c r="L330">
        <v>0</v>
      </c>
      <c r="M330">
        <v>0</v>
      </c>
      <c r="N330">
        <v>2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2</v>
      </c>
      <c r="X330">
        <v>1171.99</v>
      </c>
      <c r="Y330">
        <v>1171.99</v>
      </c>
      <c r="Z330">
        <f>AVERAGEIFS(Table1[FinalElo], Table1[Country], Table1[[#This Row],[Country]])</f>
        <v>998.29391304347814</v>
      </c>
      <c r="AA330" cm="1">
        <f t="array" ref="AA330">IF(COUNTIFS(Table1[Country],Table1[[#This Row],[Country]])=1,0, _xlfn.STDEV.S(IF(Table1[Country]=Table1[[#This Row],[Country]],Table1[FinalElo])))</f>
        <v>125.31531828802386</v>
      </c>
      <c r="AB330">
        <f>IF(Table1[[#This Row],[CStd]]=0,0, (Table1[[#This Row],[FinalElo]]-Table1[[#This Row],[CAvg]]) / Table1[[#This Row],[CStd]])</f>
        <v>1.386072264184814</v>
      </c>
      <c r="AC330" t="str">
        <f>IF(Table1[[#This Row],[CStd]]=0,"Normal", IF(ABS(Table1[[#This Row],[CZscore]])&gt;2,"Outlier","Normal"))</f>
        <v>Normal</v>
      </c>
    </row>
    <row r="331" spans="1:29" x14ac:dyDescent="0.35">
      <c r="A331" t="s">
        <v>2168</v>
      </c>
      <c r="B331">
        <v>61.2</v>
      </c>
      <c r="C331">
        <v>172</v>
      </c>
      <c r="D331" t="s">
        <v>89</v>
      </c>
      <c r="E331">
        <v>28</v>
      </c>
      <c r="F331" t="s">
        <v>2169</v>
      </c>
      <c r="G331" t="s">
        <v>40</v>
      </c>
      <c r="H331" t="s">
        <v>29</v>
      </c>
      <c r="I331" t="s">
        <v>58</v>
      </c>
      <c r="J331">
        <v>1</v>
      </c>
      <c r="K331">
        <v>1</v>
      </c>
      <c r="L331">
        <v>0</v>
      </c>
      <c r="M331">
        <v>1</v>
      </c>
      <c r="N331">
        <v>0</v>
      </c>
      <c r="O331">
        <v>0</v>
      </c>
      <c r="P331">
        <v>0</v>
      </c>
      <c r="Q331">
        <v>0</v>
      </c>
      <c r="R331">
        <v>1</v>
      </c>
      <c r="S331">
        <v>0</v>
      </c>
      <c r="T331">
        <v>0</v>
      </c>
      <c r="U331">
        <v>0</v>
      </c>
      <c r="V331">
        <v>0</v>
      </c>
      <c r="W331">
        <v>2</v>
      </c>
      <c r="X331">
        <v>971.99</v>
      </c>
      <c r="Y331">
        <v>1100</v>
      </c>
      <c r="Z331">
        <f>AVERAGEIFS(Table1[FinalElo], Table1[Country], Table1[[#This Row],[Country]])</f>
        <v>1012.0629025423733</v>
      </c>
      <c r="AA331" cm="1">
        <f t="array" ref="AA331">IF(COUNTIFS(Table1[Country],Table1[[#This Row],[Country]])=1,0, _xlfn.STDEV.S(IF(Table1[Country]=Table1[[#This Row],[Country]],Table1[FinalElo])))</f>
        <v>148.42180446198614</v>
      </c>
      <c r="AB331">
        <f>IF(Table1[[#This Row],[CStd]]=0,0, (Table1[[#This Row],[FinalElo]]-Table1[[#This Row],[CAvg]]) / Table1[[#This Row],[CStd]])</f>
        <v>-0.26999336578364258</v>
      </c>
      <c r="AC331" t="str">
        <f>IF(Table1[[#This Row],[CStd]]=0,"Normal", IF(ABS(Table1[[#This Row],[CZscore]])&gt;2,"Outlier","Normal"))</f>
        <v>Normal</v>
      </c>
    </row>
    <row r="332" spans="1:29" x14ac:dyDescent="0.35">
      <c r="A332" t="s">
        <v>2175</v>
      </c>
      <c r="B332">
        <v>70.3</v>
      </c>
      <c r="C332">
        <v>175</v>
      </c>
      <c r="D332" t="s">
        <v>89</v>
      </c>
      <c r="E332">
        <v>38</v>
      </c>
      <c r="F332" t="s">
        <v>90</v>
      </c>
      <c r="G332" t="s">
        <v>34</v>
      </c>
      <c r="H332" t="s">
        <v>29</v>
      </c>
      <c r="I332" t="s">
        <v>48</v>
      </c>
      <c r="J332">
        <v>4</v>
      </c>
      <c r="K332">
        <v>1</v>
      </c>
      <c r="L332">
        <v>0</v>
      </c>
      <c r="M332">
        <v>2</v>
      </c>
      <c r="N332">
        <v>0</v>
      </c>
      <c r="O332">
        <v>0</v>
      </c>
      <c r="P332">
        <v>1</v>
      </c>
      <c r="Q332">
        <v>0</v>
      </c>
      <c r="R332">
        <v>0</v>
      </c>
      <c r="S332">
        <v>0</v>
      </c>
      <c r="T332">
        <v>0</v>
      </c>
      <c r="U332">
        <v>1</v>
      </c>
      <c r="V332">
        <v>0</v>
      </c>
      <c r="W332">
        <v>5</v>
      </c>
      <c r="X332">
        <v>1166.9100000000001</v>
      </c>
      <c r="Y332">
        <v>1183.5999999999999</v>
      </c>
      <c r="Z332">
        <f>AVERAGEIFS(Table1[FinalElo], Table1[Country], Table1[[#This Row],[Country]])</f>
        <v>1012.0629025423733</v>
      </c>
      <c r="AA332" cm="1">
        <f t="array" ref="AA332">IF(COUNTIFS(Table1[Country],Table1[[#This Row],[Country]])=1,0, _xlfn.STDEV.S(IF(Table1[Country]=Table1[[#This Row],[Country]],Table1[FinalElo])))</f>
        <v>148.42180446198614</v>
      </c>
      <c r="AB332">
        <f>IF(Table1[[#This Row],[CStd]]=0,0, (Table1[[#This Row],[FinalElo]]-Table1[[#This Row],[CAvg]]) / Table1[[#This Row],[CStd]])</f>
        <v>1.043290761885908</v>
      </c>
      <c r="AC332" t="str">
        <f>IF(Table1[[#This Row],[CStd]]=0,"Normal", IF(ABS(Table1[[#This Row],[CZscore]])&gt;2,"Outlier","Normal"))</f>
        <v>Normal</v>
      </c>
    </row>
    <row r="333" spans="1:29" x14ac:dyDescent="0.35">
      <c r="A333" t="s">
        <v>2167</v>
      </c>
      <c r="B333">
        <v>50.9</v>
      </c>
      <c r="C333">
        <v>165</v>
      </c>
      <c r="D333" t="s">
        <v>89</v>
      </c>
      <c r="E333">
        <v>25</v>
      </c>
      <c r="F333" t="s">
        <v>104</v>
      </c>
      <c r="G333" t="s">
        <v>34</v>
      </c>
      <c r="H333" t="s">
        <v>29</v>
      </c>
      <c r="I333" t="s">
        <v>55</v>
      </c>
      <c r="J333">
        <v>2</v>
      </c>
      <c r="K333">
        <v>3</v>
      </c>
      <c r="L333">
        <v>0</v>
      </c>
      <c r="M333">
        <v>1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3</v>
      </c>
      <c r="V333">
        <v>0</v>
      </c>
      <c r="W333">
        <v>5</v>
      </c>
      <c r="X333">
        <v>889.16</v>
      </c>
      <c r="Y333">
        <v>1100</v>
      </c>
      <c r="Z333">
        <f>AVERAGEIFS(Table1[FinalElo], Table1[Country], Table1[[#This Row],[Country]])</f>
        <v>1012.0629025423733</v>
      </c>
      <c r="AA333" cm="1">
        <f t="array" ref="AA333">IF(COUNTIFS(Table1[Country],Table1[[#This Row],[Country]])=1,0, _xlfn.STDEV.S(IF(Table1[Country]=Table1[[#This Row],[Country]],Table1[FinalElo])))</f>
        <v>148.42180446198614</v>
      </c>
      <c r="AB333">
        <f>IF(Table1[[#This Row],[CStd]]=0,0, (Table1[[#This Row],[FinalElo]]-Table1[[#This Row],[CAvg]]) / Table1[[#This Row],[CStd]])</f>
        <v>-0.82806500694344598</v>
      </c>
      <c r="AC333" t="str">
        <f>IF(Table1[[#This Row],[CStd]]=0,"Normal", IF(ABS(Table1[[#This Row],[CZscore]])&gt;2,"Outlier","Normal"))</f>
        <v>Normal</v>
      </c>
    </row>
    <row r="334" spans="1:29" x14ac:dyDescent="0.35">
      <c r="A334" t="s">
        <v>2166</v>
      </c>
      <c r="B334">
        <v>66.678023999999994</v>
      </c>
      <c r="C334">
        <v>178</v>
      </c>
      <c r="D334" t="s">
        <v>89</v>
      </c>
      <c r="E334">
        <v>29</v>
      </c>
      <c r="F334" t="s">
        <v>1845</v>
      </c>
      <c r="G334" t="s">
        <v>34</v>
      </c>
      <c r="H334" t="s">
        <v>29</v>
      </c>
      <c r="I334" t="s">
        <v>48</v>
      </c>
      <c r="J334">
        <v>2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2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2</v>
      </c>
      <c r="X334">
        <v>1171.99</v>
      </c>
      <c r="Y334">
        <v>1171.99</v>
      </c>
      <c r="Z334">
        <f>AVERAGEIFS(Table1[FinalElo], Table1[Country], Table1[[#This Row],[Country]])</f>
        <v>1012.0629025423733</v>
      </c>
      <c r="AA334" cm="1">
        <f t="array" ref="AA334">IF(COUNTIFS(Table1[Country],Table1[[#This Row],[Country]])=1,0, _xlfn.STDEV.S(IF(Table1[Country]=Table1[[#This Row],[Country]],Table1[FinalElo])))</f>
        <v>148.42180446198614</v>
      </c>
      <c r="AB334">
        <f>IF(Table1[[#This Row],[CStd]]=0,0, (Table1[[#This Row],[FinalElo]]-Table1[[#This Row],[CAvg]]) / Table1[[#This Row],[CStd]])</f>
        <v>1.0775175388639564</v>
      </c>
      <c r="AC334" t="str">
        <f>IF(Table1[[#This Row],[CStd]]=0,"Normal", IF(ABS(Table1[[#This Row],[CZscore]])&gt;2,"Outlier","Normal"))</f>
        <v>Normal</v>
      </c>
    </row>
    <row r="335" spans="1:29" x14ac:dyDescent="0.35">
      <c r="A335" t="s">
        <v>2164</v>
      </c>
      <c r="B335">
        <v>56.6</v>
      </c>
      <c r="C335">
        <v>170</v>
      </c>
      <c r="D335" t="s">
        <v>89</v>
      </c>
      <c r="E335">
        <v>19</v>
      </c>
      <c r="F335" t="s">
        <v>2165</v>
      </c>
      <c r="G335" t="s">
        <v>34</v>
      </c>
      <c r="H335" t="s">
        <v>29</v>
      </c>
      <c r="I335" t="s">
        <v>36</v>
      </c>
      <c r="J335">
        <v>0</v>
      </c>
      <c r="K335">
        <v>1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1</v>
      </c>
      <c r="X335">
        <v>900</v>
      </c>
      <c r="Y335">
        <v>1000</v>
      </c>
      <c r="Z335">
        <f>AVERAGEIFS(Table1[FinalElo], Table1[Country], Table1[[#This Row],[Country]])</f>
        <v>1012.0629025423733</v>
      </c>
      <c r="AA335" cm="1">
        <f t="array" ref="AA335">IF(COUNTIFS(Table1[Country],Table1[[#This Row],[Country]])=1,0, _xlfn.STDEV.S(IF(Table1[Country]=Table1[[#This Row],[Country]],Table1[FinalElo])))</f>
        <v>148.42180446198614</v>
      </c>
      <c r="AB335">
        <f>IF(Table1[[#This Row],[CStd]]=0,0, (Table1[[#This Row],[FinalElo]]-Table1[[#This Row],[CAvg]]) / Table1[[#This Row],[CStd]])</f>
        <v>-0.75502991591154589</v>
      </c>
      <c r="AC335" t="str">
        <f>IF(Table1[[#This Row],[CStd]]=0,"Normal", IF(ABS(Table1[[#This Row],[CZscore]])&gt;2,"Outlier","Normal"))</f>
        <v>Normal</v>
      </c>
    </row>
    <row r="336" spans="1:29" x14ac:dyDescent="0.35">
      <c r="A336" t="s">
        <v>2163</v>
      </c>
      <c r="B336">
        <v>65.8</v>
      </c>
      <c r="C336">
        <v>172</v>
      </c>
      <c r="D336" t="s">
        <v>89</v>
      </c>
      <c r="E336">
        <v>30</v>
      </c>
      <c r="F336" t="s">
        <v>110</v>
      </c>
      <c r="G336" t="s">
        <v>34</v>
      </c>
      <c r="H336" t="s">
        <v>29</v>
      </c>
      <c r="I336" t="s">
        <v>48</v>
      </c>
      <c r="J336">
        <v>9</v>
      </c>
      <c r="K336">
        <v>8</v>
      </c>
      <c r="L336">
        <v>0</v>
      </c>
      <c r="M336">
        <v>1</v>
      </c>
      <c r="N336">
        <v>0</v>
      </c>
      <c r="O336">
        <v>0</v>
      </c>
      <c r="P336">
        <v>3</v>
      </c>
      <c r="Q336">
        <v>0</v>
      </c>
      <c r="R336">
        <v>4</v>
      </c>
      <c r="S336">
        <v>0</v>
      </c>
      <c r="T336">
        <v>0</v>
      </c>
      <c r="U336">
        <v>0</v>
      </c>
      <c r="V336">
        <v>0</v>
      </c>
      <c r="W336">
        <v>17</v>
      </c>
      <c r="X336">
        <v>987.94</v>
      </c>
      <c r="Y336">
        <v>1336.06</v>
      </c>
      <c r="Z336">
        <f>AVERAGEIFS(Table1[FinalElo], Table1[Country], Table1[[#This Row],[Country]])</f>
        <v>1012.0629025423733</v>
      </c>
      <c r="AA336" cm="1">
        <f t="array" ref="AA336">IF(COUNTIFS(Table1[Country],Table1[[#This Row],[Country]])=1,0, _xlfn.STDEV.S(IF(Table1[Country]=Table1[[#This Row],[Country]],Table1[FinalElo])))</f>
        <v>148.42180446198614</v>
      </c>
      <c r="AB336">
        <f>IF(Table1[[#This Row],[CStd]]=0,0, (Table1[[#This Row],[FinalElo]]-Table1[[#This Row],[CAvg]]) / Table1[[#This Row],[CStd]])</f>
        <v>-0.16252937113799626</v>
      </c>
      <c r="AC336" t="str">
        <f>IF(Table1[[#This Row],[CStd]]=0,"Normal", IF(ABS(Table1[[#This Row],[CZscore]])&gt;2,"Outlier","Normal"))</f>
        <v>Normal</v>
      </c>
    </row>
    <row r="337" spans="1:29" x14ac:dyDescent="0.35">
      <c r="A337" t="s">
        <v>2162</v>
      </c>
      <c r="B337">
        <v>65.77</v>
      </c>
      <c r="C337">
        <v>178</v>
      </c>
      <c r="D337" t="s">
        <v>146</v>
      </c>
      <c r="E337">
        <v>24</v>
      </c>
      <c r="F337" t="s">
        <v>33</v>
      </c>
      <c r="G337" t="s">
        <v>40</v>
      </c>
      <c r="H337" t="s">
        <v>29</v>
      </c>
      <c r="I337" t="s">
        <v>48</v>
      </c>
      <c r="J337">
        <v>0</v>
      </c>
      <c r="K337">
        <v>1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1</v>
      </c>
      <c r="T337">
        <v>0</v>
      </c>
      <c r="U337">
        <v>0</v>
      </c>
      <c r="V337">
        <v>0</v>
      </c>
      <c r="W337">
        <v>1</v>
      </c>
      <c r="X337">
        <v>928.01</v>
      </c>
      <c r="Y337">
        <v>1000</v>
      </c>
      <c r="Z337">
        <f>AVERAGEIFS(Table1[FinalElo], Table1[Country], Table1[[#This Row],[Country]])</f>
        <v>971.46103448275846</v>
      </c>
      <c r="AA337" cm="1">
        <f t="array" ref="AA337">IF(COUNTIFS(Table1[Country],Table1[[#This Row],[Country]])=1,0, _xlfn.STDEV.S(IF(Table1[Country]=Table1[[#This Row],[Country]],Table1[FinalElo])))</f>
        <v>107.62263899334665</v>
      </c>
      <c r="AB337">
        <f>IF(Table1[[#This Row],[CStd]]=0,0, (Table1[[#This Row],[FinalElo]]-Table1[[#This Row],[CAvg]]) / Table1[[#This Row],[CStd]])</f>
        <v>-0.40373507738873288</v>
      </c>
      <c r="AC337" t="str">
        <f>IF(Table1[[#This Row],[CStd]]=0,"Normal", IF(ABS(Table1[[#This Row],[CZscore]])&gt;2,"Outlier","Normal"))</f>
        <v>Normal</v>
      </c>
    </row>
    <row r="338" spans="1:29" x14ac:dyDescent="0.35">
      <c r="A338" t="s">
        <v>2161</v>
      </c>
      <c r="B338">
        <v>51.8</v>
      </c>
      <c r="C338">
        <v>160</v>
      </c>
      <c r="D338" t="s">
        <v>396</v>
      </c>
      <c r="E338">
        <v>25</v>
      </c>
      <c r="F338" t="s">
        <v>256</v>
      </c>
      <c r="G338" t="s">
        <v>34</v>
      </c>
      <c r="H338" t="s">
        <v>29</v>
      </c>
      <c r="I338" t="s">
        <v>55</v>
      </c>
      <c r="J338">
        <v>0</v>
      </c>
      <c r="K338">
        <v>1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1</v>
      </c>
      <c r="X338">
        <v>864.74</v>
      </c>
      <c r="Y338">
        <v>1000</v>
      </c>
      <c r="Z338">
        <f>AVERAGEIFS(Table1[FinalElo], Table1[Country], Table1[[#This Row],[Country]])</f>
        <v>998.29391304347814</v>
      </c>
      <c r="AA338" cm="1">
        <f t="array" ref="AA338">IF(COUNTIFS(Table1[Country],Table1[[#This Row],[Country]])=1,0, _xlfn.STDEV.S(IF(Table1[Country]=Table1[[#This Row],[Country]],Table1[FinalElo])))</f>
        <v>125.31531828802386</v>
      </c>
      <c r="AB338">
        <f>IF(Table1[[#This Row],[CStd]]=0,0, (Table1[[#This Row],[FinalElo]]-Table1[[#This Row],[CAvg]]) / Table1[[#This Row],[CStd]])</f>
        <v>-1.0657429184875766</v>
      </c>
      <c r="AC338" t="str">
        <f>IF(Table1[[#This Row],[CStd]]=0,"Normal", IF(ABS(Table1[[#This Row],[CZscore]])&gt;2,"Outlier","Normal"))</f>
        <v>Normal</v>
      </c>
    </row>
    <row r="339" spans="1:29" x14ac:dyDescent="0.35">
      <c r="A339" t="s">
        <v>2160</v>
      </c>
      <c r="B339">
        <v>52.16</v>
      </c>
      <c r="C339">
        <v>167</v>
      </c>
      <c r="D339" t="s">
        <v>82</v>
      </c>
      <c r="E339">
        <v>28</v>
      </c>
      <c r="F339" t="s">
        <v>971</v>
      </c>
      <c r="G339" t="s">
        <v>40</v>
      </c>
      <c r="H339" t="s">
        <v>29</v>
      </c>
      <c r="I339" t="s">
        <v>36</v>
      </c>
      <c r="J339">
        <v>0</v>
      </c>
      <c r="K339">
        <v>1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1</v>
      </c>
      <c r="X339">
        <v>879.57</v>
      </c>
      <c r="Y339">
        <v>1000</v>
      </c>
      <c r="Z339">
        <f>AVERAGEIFS(Table1[FinalElo], Table1[Country], Table1[[#This Row],[Country]])</f>
        <v>1012.5275373134326</v>
      </c>
      <c r="AA339" cm="1">
        <f t="array" ref="AA339">IF(COUNTIFS(Table1[Country],Table1[[#This Row],[Country]])=1,0, _xlfn.STDEV.S(IF(Table1[Country]=Table1[[#This Row],[Country]],Table1[FinalElo])))</f>
        <v>135.61062237674741</v>
      </c>
      <c r="AB339">
        <f>IF(Table1[[#This Row],[CStd]]=0,0, (Table1[[#This Row],[FinalElo]]-Table1[[#This Row],[CAvg]]) / Table1[[#This Row],[CStd]])</f>
        <v>-0.98043600850127977</v>
      </c>
      <c r="AC339" t="str">
        <f>IF(Table1[[#This Row],[CStd]]=0,"Normal", IF(ABS(Table1[[#This Row],[CZscore]])&gt;2,"Outlier","Normal"))</f>
        <v>Normal</v>
      </c>
    </row>
    <row r="340" spans="1:29" x14ac:dyDescent="0.35">
      <c r="A340" t="s">
        <v>2159</v>
      </c>
      <c r="B340">
        <v>56.3</v>
      </c>
      <c r="C340">
        <v>155</v>
      </c>
      <c r="D340" t="s">
        <v>82</v>
      </c>
      <c r="E340">
        <v>29</v>
      </c>
      <c r="F340" t="s">
        <v>90</v>
      </c>
      <c r="G340" t="s">
        <v>40</v>
      </c>
      <c r="H340" t="s">
        <v>29</v>
      </c>
      <c r="I340" t="s">
        <v>36</v>
      </c>
      <c r="J340">
        <v>3</v>
      </c>
      <c r="K340">
        <v>4</v>
      </c>
      <c r="L340">
        <v>0</v>
      </c>
      <c r="M340">
        <v>0</v>
      </c>
      <c r="N340">
        <v>2</v>
      </c>
      <c r="O340">
        <v>0</v>
      </c>
      <c r="P340">
        <v>1</v>
      </c>
      <c r="Q340">
        <v>0</v>
      </c>
      <c r="R340">
        <v>1</v>
      </c>
      <c r="S340">
        <v>0</v>
      </c>
      <c r="T340">
        <v>0</v>
      </c>
      <c r="U340">
        <v>3</v>
      </c>
      <c r="V340">
        <v>0</v>
      </c>
      <c r="W340">
        <v>7</v>
      </c>
      <c r="X340">
        <v>832.81</v>
      </c>
      <c r="Y340">
        <v>1182.31</v>
      </c>
      <c r="Z340">
        <f>AVERAGEIFS(Table1[FinalElo], Table1[Country], Table1[[#This Row],[Country]])</f>
        <v>1012.5275373134326</v>
      </c>
      <c r="AA340" cm="1">
        <f t="array" ref="AA340">IF(COUNTIFS(Table1[Country],Table1[[#This Row],[Country]])=1,0, _xlfn.STDEV.S(IF(Table1[Country]=Table1[[#This Row],[Country]],Table1[FinalElo])))</f>
        <v>135.61062237674741</v>
      </c>
      <c r="AB340">
        <f>IF(Table1[[#This Row],[CStd]]=0,0, (Table1[[#This Row],[FinalElo]]-Table1[[#This Row],[CAvg]]) / Table1[[#This Row],[CStd]])</f>
        <v>-1.3252467554801819</v>
      </c>
      <c r="AC340" t="str">
        <f>IF(Table1[[#This Row],[CStd]]=0,"Normal", IF(ABS(Table1[[#This Row],[CZscore]])&gt;2,"Outlier","Normal"))</f>
        <v>Normal</v>
      </c>
    </row>
    <row r="341" spans="1:29" x14ac:dyDescent="0.35">
      <c r="A341" t="s">
        <v>2157</v>
      </c>
      <c r="B341">
        <v>53.5</v>
      </c>
      <c r="C341">
        <v>161</v>
      </c>
      <c r="D341" t="s">
        <v>82</v>
      </c>
      <c r="E341">
        <v>27</v>
      </c>
      <c r="F341" t="s">
        <v>2158</v>
      </c>
      <c r="G341" t="s">
        <v>34</v>
      </c>
      <c r="H341" t="s">
        <v>29</v>
      </c>
      <c r="I341" t="s">
        <v>36</v>
      </c>
      <c r="J341">
        <v>0</v>
      </c>
      <c r="K341">
        <v>1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1</v>
      </c>
      <c r="X341">
        <v>935.26</v>
      </c>
      <c r="Y341">
        <v>1000</v>
      </c>
      <c r="Z341">
        <f>AVERAGEIFS(Table1[FinalElo], Table1[Country], Table1[[#This Row],[Country]])</f>
        <v>1012.5275373134326</v>
      </c>
      <c r="AA341" cm="1">
        <f t="array" ref="AA341">IF(COUNTIFS(Table1[Country],Table1[[#This Row],[Country]])=1,0, _xlfn.STDEV.S(IF(Table1[Country]=Table1[[#This Row],[Country]],Table1[FinalElo])))</f>
        <v>135.61062237674741</v>
      </c>
      <c r="AB341">
        <f>IF(Table1[[#This Row],[CStd]]=0,0, (Table1[[#This Row],[FinalElo]]-Table1[[#This Row],[CAvg]]) / Table1[[#This Row],[CStd]])</f>
        <v>-0.56977496275160056</v>
      </c>
      <c r="AC341" t="str">
        <f>IF(Table1[[#This Row],[CStd]]=0,"Normal", IF(ABS(Table1[[#This Row],[CZscore]])&gt;2,"Outlier","Normal"))</f>
        <v>Normal</v>
      </c>
    </row>
    <row r="342" spans="1:29" hidden="1" x14ac:dyDescent="0.35">
      <c r="A342" t="s">
        <v>712</v>
      </c>
      <c r="B342">
        <v>57.2</v>
      </c>
      <c r="C342">
        <v>172</v>
      </c>
      <c r="D342" t="s">
        <v>174</v>
      </c>
      <c r="E342">
        <v>30</v>
      </c>
      <c r="F342" t="s">
        <v>713</v>
      </c>
      <c r="G342" t="s">
        <v>34</v>
      </c>
      <c r="H342" t="s">
        <v>35</v>
      </c>
      <c r="I342" t="s">
        <v>58</v>
      </c>
      <c r="J342">
        <v>1</v>
      </c>
      <c r="K342">
        <v>2</v>
      </c>
      <c r="L342">
        <v>0</v>
      </c>
      <c r="M342">
        <v>0</v>
      </c>
      <c r="N342">
        <v>0</v>
      </c>
      <c r="O342">
        <v>0</v>
      </c>
      <c r="P342">
        <v>1</v>
      </c>
      <c r="Q342">
        <v>0</v>
      </c>
      <c r="R342">
        <v>2</v>
      </c>
      <c r="S342">
        <v>0</v>
      </c>
      <c r="T342">
        <v>0</v>
      </c>
      <c r="U342">
        <v>0</v>
      </c>
      <c r="V342">
        <v>0</v>
      </c>
      <c r="W342">
        <v>3</v>
      </c>
      <c r="X342">
        <v>935.13</v>
      </c>
      <c r="Y342">
        <v>1000</v>
      </c>
      <c r="Z342">
        <f>AVERAGEIFS(Table1[FinalElo], Table1[Country], Table1[[#This Row],[Country]])</f>
        <v>980.52444444444427</v>
      </c>
      <c r="AA342" cm="1">
        <f t="array" ref="AA342">IF(COUNTIFS(Table1[Country],Table1[[#This Row],[Country]])=1,0, _xlfn.STDEV.S(IF(Table1[Country]=Table1[[#This Row],[Country]],Table1[FinalElo])))</f>
        <v>143.66034832022171</v>
      </c>
      <c r="AB342">
        <f>IF(Table1[[#This Row],[CStd]]=0,0, (Table1[[#This Row],[FinalElo]]-Table1[[#This Row],[CAvg]]) / Table1[[#This Row],[CStd]])</f>
        <v>-0.31598450773110459</v>
      </c>
      <c r="AC342" t="str">
        <f>IF(Table1[[#This Row],[CStd]]=0,"Normal", IF(ABS(Table1[[#This Row],[CZscore]])&gt;2,"Outlier","Normal"))</f>
        <v>Normal</v>
      </c>
    </row>
    <row r="343" spans="1:29" x14ac:dyDescent="0.35">
      <c r="A343" t="s">
        <v>2155</v>
      </c>
      <c r="B343">
        <v>59.874144000000001</v>
      </c>
      <c r="C343">
        <v>173</v>
      </c>
      <c r="D343" t="s">
        <v>82</v>
      </c>
      <c r="E343">
        <v>24</v>
      </c>
      <c r="F343" t="s">
        <v>2156</v>
      </c>
      <c r="G343" t="s">
        <v>28</v>
      </c>
      <c r="H343" t="s">
        <v>29</v>
      </c>
      <c r="I343" t="s">
        <v>58</v>
      </c>
      <c r="J343">
        <v>1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1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1</v>
      </c>
      <c r="X343">
        <v>1162.83</v>
      </c>
      <c r="Y343">
        <v>1162.83</v>
      </c>
      <c r="Z343">
        <f>AVERAGEIFS(Table1[FinalElo], Table1[Country], Table1[[#This Row],[Country]])</f>
        <v>1012.5275373134326</v>
      </c>
      <c r="AA343" cm="1">
        <f t="array" ref="AA343">IF(COUNTIFS(Table1[Country],Table1[[#This Row],[Country]])=1,0, _xlfn.STDEV.S(IF(Table1[Country]=Table1[[#This Row],[Country]],Table1[FinalElo])))</f>
        <v>135.61062237674741</v>
      </c>
      <c r="AB343">
        <f>IF(Table1[[#This Row],[CStd]]=0,0, (Table1[[#This Row],[FinalElo]]-Table1[[#This Row],[CAvg]]) / Table1[[#This Row],[CStd]])</f>
        <v>1.1083384181292502</v>
      </c>
      <c r="AC343" t="str">
        <f>IF(Table1[[#This Row],[CStd]]=0,"Normal", IF(ABS(Table1[[#This Row],[CZscore]])&gt;2,"Outlier","Normal"))</f>
        <v>Normal</v>
      </c>
    </row>
    <row r="344" spans="1:29" x14ac:dyDescent="0.35">
      <c r="A344" t="s">
        <v>2154</v>
      </c>
      <c r="B344">
        <v>55.1</v>
      </c>
      <c r="C344">
        <v>167</v>
      </c>
      <c r="D344" t="s">
        <v>82</v>
      </c>
      <c r="E344">
        <v>18</v>
      </c>
      <c r="F344" t="s">
        <v>986</v>
      </c>
      <c r="G344" t="s">
        <v>28</v>
      </c>
      <c r="H344" t="s">
        <v>29</v>
      </c>
      <c r="I344" t="s">
        <v>36</v>
      </c>
      <c r="J344">
        <v>2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2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2</v>
      </c>
      <c r="X344">
        <v>1171.99</v>
      </c>
      <c r="Y344">
        <v>1171.99</v>
      </c>
      <c r="Z344">
        <f>AVERAGEIFS(Table1[FinalElo], Table1[Country], Table1[[#This Row],[Country]])</f>
        <v>1012.5275373134326</v>
      </c>
      <c r="AA344" cm="1">
        <f t="array" ref="AA344">IF(COUNTIFS(Table1[Country],Table1[[#This Row],[Country]])=1,0, _xlfn.STDEV.S(IF(Table1[Country]=Table1[[#This Row],[Country]],Table1[FinalElo])))</f>
        <v>135.61062237674741</v>
      </c>
      <c r="AB344">
        <f>IF(Table1[[#This Row],[CStd]]=0,0, (Table1[[#This Row],[FinalElo]]-Table1[[#This Row],[CAvg]]) / Table1[[#This Row],[CStd]])</f>
        <v>1.1758847492311912</v>
      </c>
      <c r="AC344" t="str">
        <f>IF(Table1[[#This Row],[CStd]]=0,"Normal", IF(ABS(Table1[[#This Row],[CZscore]])&gt;2,"Outlier","Normal"))</f>
        <v>Normal</v>
      </c>
    </row>
    <row r="345" spans="1:29" x14ac:dyDescent="0.35">
      <c r="A345" t="s">
        <v>2150</v>
      </c>
      <c r="B345">
        <v>102.06</v>
      </c>
      <c r="C345">
        <v>187</v>
      </c>
      <c r="D345" t="s">
        <v>82</v>
      </c>
      <c r="E345">
        <v>22</v>
      </c>
      <c r="F345" t="s">
        <v>2151</v>
      </c>
      <c r="G345" t="s">
        <v>40</v>
      </c>
      <c r="H345" t="s">
        <v>29</v>
      </c>
      <c r="I345" t="s">
        <v>94</v>
      </c>
      <c r="J345">
        <v>1</v>
      </c>
      <c r="K345">
        <v>1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1</v>
      </c>
      <c r="S345">
        <v>0</v>
      </c>
      <c r="T345">
        <v>0</v>
      </c>
      <c r="U345">
        <v>0</v>
      </c>
      <c r="V345">
        <v>0</v>
      </c>
      <c r="W345">
        <v>2</v>
      </c>
      <c r="X345">
        <v>986.43</v>
      </c>
      <c r="Y345">
        <v>1000</v>
      </c>
      <c r="Z345">
        <f>AVERAGEIFS(Table1[FinalElo], Table1[Country], Table1[[#This Row],[Country]])</f>
        <v>1012.5275373134326</v>
      </c>
      <c r="AA345" cm="1">
        <f t="array" ref="AA345">IF(COUNTIFS(Table1[Country],Table1[[#This Row],[Country]])=1,0, _xlfn.STDEV.S(IF(Table1[Country]=Table1[[#This Row],[Country]],Table1[FinalElo])))</f>
        <v>135.61062237674741</v>
      </c>
      <c r="AB345">
        <f>IF(Table1[[#This Row],[CStd]]=0,0, (Table1[[#This Row],[FinalElo]]-Table1[[#This Row],[CAvg]]) / Table1[[#This Row],[CStd]])</f>
        <v>-0.19244463933606651</v>
      </c>
      <c r="AC345" t="str">
        <f>IF(Table1[[#This Row],[CStd]]=0,"Normal", IF(ABS(Table1[[#This Row],[CZscore]])&gt;2,"Outlier","Normal"))</f>
        <v>Normal</v>
      </c>
    </row>
    <row r="346" spans="1:29" x14ac:dyDescent="0.35">
      <c r="A346" t="s">
        <v>2148</v>
      </c>
      <c r="B346">
        <v>65.5</v>
      </c>
      <c r="C346">
        <v>175</v>
      </c>
      <c r="D346" t="s">
        <v>82</v>
      </c>
      <c r="E346">
        <v>29</v>
      </c>
      <c r="F346" t="s">
        <v>2149</v>
      </c>
      <c r="G346" t="s">
        <v>28</v>
      </c>
      <c r="H346" t="s">
        <v>29</v>
      </c>
      <c r="I346" t="s">
        <v>73</v>
      </c>
      <c r="J346">
        <v>1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1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1</v>
      </c>
      <c r="X346">
        <v>1100</v>
      </c>
      <c r="Y346">
        <v>1100</v>
      </c>
      <c r="Z346">
        <f>AVERAGEIFS(Table1[FinalElo], Table1[Country], Table1[[#This Row],[Country]])</f>
        <v>1012.5275373134326</v>
      </c>
      <c r="AA346" cm="1">
        <f t="array" ref="AA346">IF(COUNTIFS(Table1[Country],Table1[[#This Row],[Country]])=1,0, _xlfn.STDEV.S(IF(Table1[Country]=Table1[[#This Row],[Country]],Table1[FinalElo])))</f>
        <v>135.61062237674741</v>
      </c>
      <c r="AB346">
        <f>IF(Table1[[#This Row],[CStd]]=0,0, (Table1[[#This Row],[FinalElo]]-Table1[[#This Row],[CAvg]]) / Table1[[#This Row],[CStd]])</f>
        <v>0.64502662957740331</v>
      </c>
      <c r="AC346" t="str">
        <f>IF(Table1[[#This Row],[CStd]]=0,"Normal", IF(ABS(Table1[[#This Row],[CZscore]])&gt;2,"Outlier","Normal"))</f>
        <v>Normal</v>
      </c>
    </row>
    <row r="347" spans="1:29" x14ac:dyDescent="0.35">
      <c r="A347" t="s">
        <v>2146</v>
      </c>
      <c r="B347">
        <v>62.142104000000003</v>
      </c>
      <c r="C347">
        <v>175</v>
      </c>
      <c r="D347" t="s">
        <v>82</v>
      </c>
      <c r="E347">
        <v>26</v>
      </c>
      <c r="F347" t="s">
        <v>2147</v>
      </c>
      <c r="G347" t="s">
        <v>34</v>
      </c>
      <c r="H347" t="s">
        <v>29</v>
      </c>
      <c r="I347" t="s">
        <v>73</v>
      </c>
      <c r="J347">
        <v>1</v>
      </c>
      <c r="K347">
        <v>0</v>
      </c>
      <c r="L347">
        <v>0</v>
      </c>
      <c r="M347">
        <v>1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1</v>
      </c>
      <c r="X347">
        <v>1073.55</v>
      </c>
      <c r="Y347">
        <v>1073.55</v>
      </c>
      <c r="Z347">
        <f>AVERAGEIFS(Table1[FinalElo], Table1[Country], Table1[[#This Row],[Country]])</f>
        <v>1012.5275373134326</v>
      </c>
      <c r="AA347" cm="1">
        <f t="array" ref="AA347">IF(COUNTIFS(Table1[Country],Table1[[#This Row],[Country]])=1,0, _xlfn.STDEV.S(IF(Table1[Country]=Table1[[#This Row],[Country]],Table1[FinalElo])))</f>
        <v>135.61062237674741</v>
      </c>
      <c r="AB347">
        <f>IF(Table1[[#This Row],[CStd]]=0,0, (Table1[[#This Row],[FinalElo]]-Table1[[#This Row],[CAvg]]) / Table1[[#This Row],[CStd]])</f>
        <v>0.44998291149374303</v>
      </c>
      <c r="AC347" t="str">
        <f>IF(Table1[[#This Row],[CStd]]=0,"Normal", IF(ABS(Table1[[#This Row],[CZscore]])&gt;2,"Outlier","Normal"))</f>
        <v>Normal</v>
      </c>
    </row>
    <row r="348" spans="1:29" x14ac:dyDescent="0.35">
      <c r="A348" t="s">
        <v>2144</v>
      </c>
      <c r="B348">
        <v>64.863656000000006</v>
      </c>
      <c r="C348">
        <v>173</v>
      </c>
      <c r="D348" t="s">
        <v>82</v>
      </c>
      <c r="E348">
        <v>35</v>
      </c>
      <c r="F348" t="s">
        <v>2145</v>
      </c>
      <c r="G348" t="s">
        <v>34</v>
      </c>
      <c r="H348" t="s">
        <v>29</v>
      </c>
      <c r="I348" t="s">
        <v>73</v>
      </c>
      <c r="J348">
        <v>1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1</v>
      </c>
      <c r="X348">
        <v>1100</v>
      </c>
      <c r="Y348">
        <v>1100</v>
      </c>
      <c r="Z348">
        <f>AVERAGEIFS(Table1[FinalElo], Table1[Country], Table1[[#This Row],[Country]])</f>
        <v>1012.5275373134326</v>
      </c>
      <c r="AA348" cm="1">
        <f t="array" ref="AA348">IF(COUNTIFS(Table1[Country],Table1[[#This Row],[Country]])=1,0, _xlfn.STDEV.S(IF(Table1[Country]=Table1[[#This Row],[Country]],Table1[FinalElo])))</f>
        <v>135.61062237674741</v>
      </c>
      <c r="AB348">
        <f>IF(Table1[[#This Row],[CStd]]=0,0, (Table1[[#This Row],[FinalElo]]-Table1[[#This Row],[CAvg]]) / Table1[[#This Row],[CStd]])</f>
        <v>0.64502662957740331</v>
      </c>
      <c r="AC348" t="str">
        <f>IF(Table1[[#This Row],[CStd]]=0,"Normal", IF(ABS(Table1[[#This Row],[CZscore]])&gt;2,"Outlier","Normal"))</f>
        <v>Normal</v>
      </c>
    </row>
    <row r="349" spans="1:29" x14ac:dyDescent="0.35">
      <c r="A349" t="s">
        <v>2142</v>
      </c>
      <c r="B349">
        <v>52.16</v>
      </c>
      <c r="C349">
        <v>162</v>
      </c>
      <c r="D349" t="s">
        <v>82</v>
      </c>
      <c r="E349">
        <v>29</v>
      </c>
      <c r="F349" t="s">
        <v>2143</v>
      </c>
      <c r="G349" t="s">
        <v>40</v>
      </c>
      <c r="H349" t="s">
        <v>29</v>
      </c>
      <c r="I349" t="s">
        <v>36</v>
      </c>
      <c r="J349">
        <v>0</v>
      </c>
      <c r="K349">
        <v>1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1</v>
      </c>
      <c r="V349">
        <v>0</v>
      </c>
      <c r="W349">
        <v>1</v>
      </c>
      <c r="X349">
        <v>914.13</v>
      </c>
      <c r="Y349">
        <v>1000</v>
      </c>
      <c r="Z349">
        <f>AVERAGEIFS(Table1[FinalElo], Table1[Country], Table1[[#This Row],[Country]])</f>
        <v>1012.5275373134326</v>
      </c>
      <c r="AA349" cm="1">
        <f t="array" ref="AA349">IF(COUNTIFS(Table1[Country],Table1[[#This Row],[Country]])=1,0, _xlfn.STDEV.S(IF(Table1[Country]=Table1[[#This Row],[Country]],Table1[FinalElo])))</f>
        <v>135.61062237674741</v>
      </c>
      <c r="AB349">
        <f>IF(Table1[[#This Row],[CStd]]=0,0, (Table1[[#This Row],[FinalElo]]-Table1[[#This Row],[CAvg]]) / Table1[[#This Row],[CStd]])</f>
        <v>-0.72558871561011606</v>
      </c>
      <c r="AC349" t="str">
        <f>IF(Table1[[#This Row],[CStd]]=0,"Normal", IF(ABS(Table1[[#This Row],[CZscore]])&gt;2,"Outlier","Normal"))</f>
        <v>Normal</v>
      </c>
    </row>
    <row r="350" spans="1:29" x14ac:dyDescent="0.35">
      <c r="A350" t="s">
        <v>2141</v>
      </c>
      <c r="B350">
        <v>52.16</v>
      </c>
      <c r="C350">
        <v>165</v>
      </c>
      <c r="D350" t="s">
        <v>82</v>
      </c>
      <c r="E350">
        <v>34</v>
      </c>
      <c r="F350" t="s">
        <v>133</v>
      </c>
      <c r="G350" t="s">
        <v>40</v>
      </c>
      <c r="H350" t="s">
        <v>29</v>
      </c>
      <c r="I350" t="s">
        <v>36</v>
      </c>
      <c r="J350">
        <v>2</v>
      </c>
      <c r="K350">
        <v>2</v>
      </c>
      <c r="L350">
        <v>0</v>
      </c>
      <c r="M350">
        <v>0</v>
      </c>
      <c r="N350">
        <v>0</v>
      </c>
      <c r="O350">
        <v>0</v>
      </c>
      <c r="P350">
        <v>2</v>
      </c>
      <c r="Q350">
        <v>0</v>
      </c>
      <c r="R350">
        <v>1</v>
      </c>
      <c r="S350">
        <v>0</v>
      </c>
      <c r="T350">
        <v>0</v>
      </c>
      <c r="U350">
        <v>1</v>
      </c>
      <c r="V350">
        <v>0</v>
      </c>
      <c r="W350">
        <v>4</v>
      </c>
      <c r="X350">
        <v>1010.74</v>
      </c>
      <c r="Y350">
        <v>1135.3</v>
      </c>
      <c r="Z350">
        <f>AVERAGEIFS(Table1[FinalElo], Table1[Country], Table1[[#This Row],[Country]])</f>
        <v>1012.5275373134326</v>
      </c>
      <c r="AA350" cm="1">
        <f t="array" ref="AA350">IF(COUNTIFS(Table1[Country],Table1[[#This Row],[Country]])=1,0, _xlfn.STDEV.S(IF(Table1[Country]=Table1[[#This Row],[Country]],Table1[FinalElo])))</f>
        <v>135.61062237674741</v>
      </c>
      <c r="AB350">
        <f>IF(Table1[[#This Row],[CStd]]=0,0, (Table1[[#This Row],[FinalElo]]-Table1[[#This Row],[CAvg]]) / Table1[[#This Row],[CStd]])</f>
        <v>-1.3181395985828834E-2</v>
      </c>
      <c r="AC350" t="str">
        <f>IF(Table1[[#This Row],[CStd]]=0,"Normal", IF(ABS(Table1[[#This Row],[CZscore]])&gt;2,"Outlier","Normal"))</f>
        <v>Normal</v>
      </c>
    </row>
    <row r="351" spans="1:29" x14ac:dyDescent="0.35">
      <c r="A351" t="s">
        <v>2140</v>
      </c>
      <c r="B351">
        <v>70.3</v>
      </c>
      <c r="C351">
        <v>170</v>
      </c>
      <c r="D351" t="s">
        <v>82</v>
      </c>
      <c r="E351">
        <v>32</v>
      </c>
      <c r="F351" t="s">
        <v>125</v>
      </c>
      <c r="G351" t="s">
        <v>40</v>
      </c>
      <c r="H351" t="s">
        <v>29</v>
      </c>
      <c r="I351" t="s">
        <v>48</v>
      </c>
      <c r="J351">
        <v>2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2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2</v>
      </c>
      <c r="X351">
        <v>1206.1500000000001</v>
      </c>
      <c r="Y351">
        <v>1206.1500000000001</v>
      </c>
      <c r="Z351">
        <f>AVERAGEIFS(Table1[FinalElo], Table1[Country], Table1[[#This Row],[Country]])</f>
        <v>1012.5275373134326</v>
      </c>
      <c r="AA351" cm="1">
        <f t="array" ref="AA351">IF(COUNTIFS(Table1[Country],Table1[[#This Row],[Country]])=1,0, _xlfn.STDEV.S(IF(Table1[Country]=Table1[[#This Row],[Country]],Table1[FinalElo])))</f>
        <v>135.61062237674741</v>
      </c>
      <c r="AB351">
        <f>IF(Table1[[#This Row],[CStd]]=0,0, (Table1[[#This Row],[FinalElo]]-Table1[[#This Row],[CAvg]]) / Table1[[#This Row],[CStd]])</f>
        <v>1.4277824206768563</v>
      </c>
      <c r="AC351" t="str">
        <f>IF(Table1[[#This Row],[CStd]]=0,"Normal", IF(ABS(Table1[[#This Row],[CZscore]])&gt;2,"Outlier","Normal"))</f>
        <v>Normal</v>
      </c>
    </row>
    <row r="352" spans="1:29" x14ac:dyDescent="0.35">
      <c r="A352" t="s">
        <v>2138</v>
      </c>
      <c r="B352">
        <v>64.5</v>
      </c>
      <c r="C352">
        <v>178</v>
      </c>
      <c r="D352" t="s">
        <v>82</v>
      </c>
      <c r="E352">
        <v>30</v>
      </c>
      <c r="F352" t="s">
        <v>2139</v>
      </c>
      <c r="G352" t="s">
        <v>34</v>
      </c>
      <c r="H352" t="s">
        <v>29</v>
      </c>
      <c r="I352" t="s">
        <v>73</v>
      </c>
      <c r="J352">
        <v>0</v>
      </c>
      <c r="K352">
        <v>1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1</v>
      </c>
      <c r="V352">
        <v>0</v>
      </c>
      <c r="W352">
        <v>1</v>
      </c>
      <c r="X352">
        <v>900</v>
      </c>
      <c r="Y352">
        <v>1000</v>
      </c>
      <c r="Z352">
        <f>AVERAGEIFS(Table1[FinalElo], Table1[Country], Table1[[#This Row],[Country]])</f>
        <v>1012.5275373134326</v>
      </c>
      <c r="AA352" cm="1">
        <f t="array" ref="AA352">IF(COUNTIFS(Table1[Country],Table1[[#This Row],[Country]])=1,0, _xlfn.STDEV.S(IF(Table1[Country]=Table1[[#This Row],[Country]],Table1[FinalElo])))</f>
        <v>135.61062237674741</v>
      </c>
      <c r="AB352">
        <f>IF(Table1[[#This Row],[CStd]]=0,0, (Table1[[#This Row],[FinalElo]]-Table1[[#This Row],[CAvg]]) / Table1[[#This Row],[CStd]])</f>
        <v>-0.82978409317238888</v>
      </c>
      <c r="AC352" t="str">
        <f>IF(Table1[[#This Row],[CStd]]=0,"Normal", IF(ABS(Table1[[#This Row],[CZscore]])&gt;2,"Outlier","Normal"))</f>
        <v>Normal</v>
      </c>
    </row>
    <row r="353" spans="1:29" x14ac:dyDescent="0.35">
      <c r="A353" t="s">
        <v>2136</v>
      </c>
      <c r="B353">
        <v>70.099999999999994</v>
      </c>
      <c r="C353">
        <v>170</v>
      </c>
      <c r="D353" t="s">
        <v>82</v>
      </c>
      <c r="E353">
        <v>36</v>
      </c>
      <c r="F353" t="s">
        <v>2137</v>
      </c>
      <c r="G353" t="s">
        <v>40</v>
      </c>
      <c r="H353" t="s">
        <v>29</v>
      </c>
      <c r="I353" t="s">
        <v>48</v>
      </c>
      <c r="J353">
        <v>2</v>
      </c>
      <c r="K353">
        <v>4</v>
      </c>
      <c r="L353">
        <v>0</v>
      </c>
      <c r="M353">
        <v>1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2</v>
      </c>
      <c r="W353">
        <v>6</v>
      </c>
      <c r="X353">
        <v>867.83</v>
      </c>
      <c r="Y353">
        <v>1124.33</v>
      </c>
      <c r="Z353">
        <f>AVERAGEIFS(Table1[FinalElo], Table1[Country], Table1[[#This Row],[Country]])</f>
        <v>1012.5275373134326</v>
      </c>
      <c r="AA353" cm="1">
        <f t="array" ref="AA353">IF(COUNTIFS(Table1[Country],Table1[[#This Row],[Country]])=1,0, _xlfn.STDEV.S(IF(Table1[Country]=Table1[[#This Row],[Country]],Table1[FinalElo])))</f>
        <v>135.61062237674741</v>
      </c>
      <c r="AB353">
        <f>IF(Table1[[#This Row],[CStd]]=0,0, (Table1[[#This Row],[FinalElo]]-Table1[[#This Row],[CAvg]]) / Table1[[#This Row],[CStd]])</f>
        <v>-1.0670073979266925</v>
      </c>
      <c r="AC353" t="str">
        <f>IF(Table1[[#This Row],[CStd]]=0,"Normal", IF(ABS(Table1[[#This Row],[CZscore]])&gt;2,"Outlier","Normal"))</f>
        <v>Normal</v>
      </c>
    </row>
    <row r="354" spans="1:29" x14ac:dyDescent="0.35">
      <c r="A354" t="s">
        <v>2134</v>
      </c>
      <c r="B354">
        <v>60.9</v>
      </c>
      <c r="C354">
        <v>173</v>
      </c>
      <c r="D354" t="s">
        <v>38</v>
      </c>
      <c r="E354">
        <v>18</v>
      </c>
      <c r="F354" t="s">
        <v>2135</v>
      </c>
      <c r="G354" t="s">
        <v>34</v>
      </c>
      <c r="H354" t="s">
        <v>29</v>
      </c>
      <c r="I354" t="s">
        <v>58</v>
      </c>
      <c r="J354">
        <v>4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2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4</v>
      </c>
      <c r="X354">
        <v>1250.19</v>
      </c>
      <c r="Y354">
        <v>1250.19</v>
      </c>
      <c r="Z354">
        <f>AVERAGEIFS(Table1[FinalElo], Table1[Country], Table1[[#This Row],[Country]])</f>
        <v>1057.4495402298851</v>
      </c>
      <c r="AA354" cm="1">
        <f t="array" ref="AA354">IF(COUNTIFS(Table1[Country],Table1[[#This Row],[Country]])=1,0, _xlfn.STDEV.S(IF(Table1[Country]=Table1[[#This Row],[Country]],Table1[FinalElo])))</f>
        <v>156.98667602259493</v>
      </c>
      <c r="AB354">
        <f>IF(Table1[[#This Row],[CStd]]=0,0, (Table1[[#This Row],[FinalElo]]-Table1[[#This Row],[CAvg]]) / Table1[[#This Row],[CStd]])</f>
        <v>1.227750434962863</v>
      </c>
      <c r="AC354" t="str">
        <f>IF(Table1[[#This Row],[CStd]]=0,"Normal", IF(ABS(Table1[[#This Row],[CZscore]])&gt;2,"Outlier","Normal"))</f>
        <v>Normal</v>
      </c>
    </row>
    <row r="355" spans="1:29" x14ac:dyDescent="0.35">
      <c r="A355" t="s">
        <v>2132</v>
      </c>
      <c r="B355">
        <v>56.7</v>
      </c>
      <c r="C355">
        <v>170</v>
      </c>
      <c r="D355" t="s">
        <v>38</v>
      </c>
      <c r="E355">
        <v>26</v>
      </c>
      <c r="F355" t="s">
        <v>2133</v>
      </c>
      <c r="G355" t="s">
        <v>40</v>
      </c>
      <c r="H355" t="s">
        <v>29</v>
      </c>
      <c r="I355" t="s">
        <v>58</v>
      </c>
      <c r="J355">
        <v>1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1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1</v>
      </c>
      <c r="X355">
        <v>1100</v>
      </c>
      <c r="Y355">
        <v>1100</v>
      </c>
      <c r="Z355">
        <f>AVERAGEIFS(Table1[FinalElo], Table1[Country], Table1[[#This Row],[Country]])</f>
        <v>1057.4495402298851</v>
      </c>
      <c r="AA355" cm="1">
        <f t="array" ref="AA355">IF(COUNTIFS(Table1[Country],Table1[[#This Row],[Country]])=1,0, _xlfn.STDEV.S(IF(Table1[Country]=Table1[[#This Row],[Country]],Table1[FinalElo])))</f>
        <v>156.98667602259493</v>
      </c>
      <c r="AB355">
        <f>IF(Table1[[#This Row],[CStd]]=0,0, (Table1[[#This Row],[FinalElo]]-Table1[[#This Row],[CAvg]]) / Table1[[#This Row],[CStd]])</f>
        <v>0.27104503928722373</v>
      </c>
      <c r="AC355" t="str">
        <f>IF(Table1[[#This Row],[CStd]]=0,"Normal", IF(ABS(Table1[[#This Row],[CZscore]])&gt;2,"Outlier","Normal"))</f>
        <v>Normal</v>
      </c>
    </row>
    <row r="356" spans="1:29" x14ac:dyDescent="0.35">
      <c r="A356" t="s">
        <v>2130</v>
      </c>
      <c r="B356">
        <v>83.3</v>
      </c>
      <c r="C356">
        <v>180</v>
      </c>
      <c r="D356" t="s">
        <v>140</v>
      </c>
      <c r="E356">
        <v>34</v>
      </c>
      <c r="F356" t="s">
        <v>2131</v>
      </c>
      <c r="G356" t="s">
        <v>40</v>
      </c>
      <c r="H356" t="s">
        <v>29</v>
      </c>
      <c r="I356" t="s">
        <v>50</v>
      </c>
      <c r="J356">
        <v>3</v>
      </c>
      <c r="K356">
        <v>2</v>
      </c>
      <c r="L356">
        <v>0</v>
      </c>
      <c r="M356">
        <v>0</v>
      </c>
      <c r="N356">
        <v>1</v>
      </c>
      <c r="O356">
        <v>0</v>
      </c>
      <c r="P356">
        <v>1</v>
      </c>
      <c r="Q356">
        <v>1</v>
      </c>
      <c r="R356">
        <v>1</v>
      </c>
      <c r="S356">
        <v>0</v>
      </c>
      <c r="T356">
        <v>0</v>
      </c>
      <c r="U356">
        <v>0</v>
      </c>
      <c r="V356">
        <v>0</v>
      </c>
      <c r="W356">
        <v>5</v>
      </c>
      <c r="X356">
        <v>1136.96</v>
      </c>
      <c r="Y356">
        <v>1136.96</v>
      </c>
      <c r="Z356">
        <f>AVERAGEIFS(Table1[FinalElo], Table1[Country], Table1[[#This Row],[Country]])</f>
        <v>1002.675294117647</v>
      </c>
      <c r="AA356" cm="1">
        <f t="array" ref="AA356">IF(COUNTIFS(Table1[Country],Table1[[#This Row],[Country]])=1,0, _xlfn.STDEV.S(IF(Table1[Country]=Table1[[#This Row],[Country]],Table1[FinalElo])))</f>
        <v>171.59712028169514</v>
      </c>
      <c r="AB356">
        <f>IF(Table1[[#This Row],[CStd]]=0,0, (Table1[[#This Row],[FinalElo]]-Table1[[#This Row],[CAvg]]) / Table1[[#This Row],[CStd]])</f>
        <v>0.78255803863089446</v>
      </c>
      <c r="AC356" t="str">
        <f>IF(Table1[[#This Row],[CStd]]=0,"Normal", IF(ABS(Table1[[#This Row],[CZscore]])&gt;2,"Outlier","Normal"))</f>
        <v>Normal</v>
      </c>
    </row>
    <row r="357" spans="1:29" x14ac:dyDescent="0.35">
      <c r="A357" t="s">
        <v>2128</v>
      </c>
      <c r="B357">
        <v>65</v>
      </c>
      <c r="C357">
        <v>168</v>
      </c>
      <c r="D357" t="s">
        <v>38</v>
      </c>
      <c r="E357">
        <v>32</v>
      </c>
      <c r="F357" t="s">
        <v>2129</v>
      </c>
      <c r="G357" t="s">
        <v>54</v>
      </c>
      <c r="H357" t="s">
        <v>29</v>
      </c>
      <c r="I357" t="s">
        <v>73</v>
      </c>
      <c r="J357">
        <v>0</v>
      </c>
      <c r="K357">
        <v>1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1</v>
      </c>
      <c r="T357">
        <v>0</v>
      </c>
      <c r="U357">
        <v>0</v>
      </c>
      <c r="V357">
        <v>0</v>
      </c>
      <c r="W357">
        <v>1</v>
      </c>
      <c r="X357">
        <v>900</v>
      </c>
      <c r="Y357">
        <v>1000</v>
      </c>
      <c r="Z357">
        <f>AVERAGEIFS(Table1[FinalElo], Table1[Country], Table1[[#This Row],[Country]])</f>
        <v>1057.4495402298851</v>
      </c>
      <c r="AA357" cm="1">
        <f t="array" ref="AA357">IF(COUNTIFS(Table1[Country],Table1[[#This Row],[Country]])=1,0, _xlfn.STDEV.S(IF(Table1[Country]=Table1[[#This Row],[Country]],Table1[FinalElo])))</f>
        <v>156.98667602259493</v>
      </c>
      <c r="AB357">
        <f>IF(Table1[[#This Row],[CStd]]=0,0, (Table1[[#This Row],[FinalElo]]-Table1[[#This Row],[CAvg]]) / Table1[[#This Row],[CStd]])</f>
        <v>-1.0029484298860085</v>
      </c>
      <c r="AC357" t="str">
        <f>IF(Table1[[#This Row],[CStd]]=0,"Normal", IF(ABS(Table1[[#This Row],[CZscore]])&gt;2,"Outlier","Normal"))</f>
        <v>Normal</v>
      </c>
    </row>
    <row r="358" spans="1:29" x14ac:dyDescent="0.35">
      <c r="A358" t="s">
        <v>2126</v>
      </c>
      <c r="B358">
        <v>77.11</v>
      </c>
      <c r="C358">
        <v>184</v>
      </c>
      <c r="D358" t="s">
        <v>247</v>
      </c>
      <c r="E358">
        <v>26</v>
      </c>
      <c r="F358" t="s">
        <v>2127</v>
      </c>
      <c r="G358" t="s">
        <v>40</v>
      </c>
      <c r="H358" t="s">
        <v>29</v>
      </c>
      <c r="I358" t="s">
        <v>50</v>
      </c>
      <c r="J358">
        <v>1</v>
      </c>
      <c r="K358">
        <v>1</v>
      </c>
      <c r="L358">
        <v>0</v>
      </c>
      <c r="M358">
        <v>0</v>
      </c>
      <c r="N358">
        <v>1</v>
      </c>
      <c r="O358">
        <v>0</v>
      </c>
      <c r="P358">
        <v>0</v>
      </c>
      <c r="Q358">
        <v>0</v>
      </c>
      <c r="R358">
        <v>1</v>
      </c>
      <c r="S358">
        <v>0</v>
      </c>
      <c r="T358">
        <v>0</v>
      </c>
      <c r="U358">
        <v>0</v>
      </c>
      <c r="V358">
        <v>0</v>
      </c>
      <c r="W358">
        <v>2</v>
      </c>
      <c r="X358">
        <v>992.75</v>
      </c>
      <c r="Y358">
        <v>1128.01</v>
      </c>
      <c r="Z358">
        <f>AVERAGEIFS(Table1[FinalElo], Table1[Country], Table1[[#This Row],[Country]])</f>
        <v>1050.0176190476191</v>
      </c>
      <c r="AA358" cm="1">
        <f t="array" ref="AA358">IF(COUNTIFS(Table1[Country],Table1[[#This Row],[Country]])=1,0, _xlfn.STDEV.S(IF(Table1[Country]=Table1[[#This Row],[Country]],Table1[FinalElo])))</f>
        <v>127.00578096703971</v>
      </c>
      <c r="AB358">
        <f>IF(Table1[[#This Row],[CStd]]=0,0, (Table1[[#This Row],[FinalElo]]-Table1[[#This Row],[CAvg]]) / Table1[[#This Row],[CStd]])</f>
        <v>-0.45090560926892803</v>
      </c>
      <c r="AC358" t="str">
        <f>IF(Table1[[#This Row],[CStd]]=0,"Normal", IF(ABS(Table1[[#This Row],[CZscore]])&gt;2,"Outlier","Normal"))</f>
        <v>Normal</v>
      </c>
    </row>
    <row r="359" spans="1:29" x14ac:dyDescent="0.35">
      <c r="A359" t="s">
        <v>2124</v>
      </c>
      <c r="B359">
        <v>70.3</v>
      </c>
      <c r="C359">
        <v>180</v>
      </c>
      <c r="D359" t="s">
        <v>321</v>
      </c>
      <c r="E359">
        <v>22</v>
      </c>
      <c r="F359" t="s">
        <v>2125</v>
      </c>
      <c r="G359" t="s">
        <v>40</v>
      </c>
      <c r="H359" t="s">
        <v>29</v>
      </c>
      <c r="I359" t="s">
        <v>48</v>
      </c>
      <c r="J359">
        <v>0</v>
      </c>
      <c r="K359">
        <v>1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1</v>
      </c>
      <c r="V359">
        <v>0</v>
      </c>
      <c r="W359">
        <v>1</v>
      </c>
      <c r="X359">
        <v>928.01</v>
      </c>
      <c r="Y359">
        <v>1000</v>
      </c>
      <c r="Z359">
        <f>AVERAGEIFS(Table1[FinalElo], Table1[Country], Table1[[#This Row],[Country]])</f>
        <v>961.33999999999992</v>
      </c>
      <c r="AA359" cm="1">
        <f t="array" ref="AA359">IF(COUNTIFS(Table1[Country],Table1[[#This Row],[Country]])=1,0, _xlfn.STDEV.S(IF(Table1[Country]=Table1[[#This Row],[Country]],Table1[FinalElo])))</f>
        <v>86.427762032809824</v>
      </c>
      <c r="AB359">
        <f>IF(Table1[[#This Row],[CStd]]=0,0, (Table1[[#This Row],[FinalElo]]-Table1[[#This Row],[CAvg]]) / Table1[[#This Row],[CStd]])</f>
        <v>-0.38563997511988274</v>
      </c>
      <c r="AC359" t="str">
        <f>IF(Table1[[#This Row],[CStd]]=0,"Normal", IF(ABS(Table1[[#This Row],[CZscore]])&gt;2,"Outlier","Normal"))</f>
        <v>Normal</v>
      </c>
    </row>
    <row r="360" spans="1:29" x14ac:dyDescent="0.35">
      <c r="A360" t="s">
        <v>2122</v>
      </c>
      <c r="B360">
        <v>61.688512000000003</v>
      </c>
      <c r="C360">
        <v>174</v>
      </c>
      <c r="D360" t="s">
        <v>89</v>
      </c>
      <c r="E360">
        <v>31</v>
      </c>
      <c r="F360" t="s">
        <v>2123</v>
      </c>
      <c r="G360" t="s">
        <v>34</v>
      </c>
      <c r="H360" t="s">
        <v>29</v>
      </c>
      <c r="I360" t="s">
        <v>73</v>
      </c>
      <c r="J360">
        <v>0</v>
      </c>
      <c r="K360">
        <v>2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1</v>
      </c>
      <c r="V360">
        <v>0</v>
      </c>
      <c r="W360">
        <v>2</v>
      </c>
      <c r="X360">
        <v>779.57</v>
      </c>
      <c r="Y360">
        <v>1000</v>
      </c>
      <c r="Z360">
        <f>AVERAGEIFS(Table1[FinalElo], Table1[Country], Table1[[#This Row],[Country]])</f>
        <v>1012.0629025423733</v>
      </c>
      <c r="AA360" cm="1">
        <f t="array" ref="AA360">IF(COUNTIFS(Table1[Country],Table1[[#This Row],[Country]])=1,0, _xlfn.STDEV.S(IF(Table1[Country]=Table1[[#This Row],[Country]],Table1[FinalElo])))</f>
        <v>148.42180446198614</v>
      </c>
      <c r="AB360">
        <f>IF(Table1[[#This Row],[CStd]]=0,0, (Table1[[#This Row],[FinalElo]]-Table1[[#This Row],[CAvg]]) / Table1[[#This Row],[CStd]])</f>
        <v>-1.5664336071450973</v>
      </c>
      <c r="AC360" t="str">
        <f>IF(Table1[[#This Row],[CStd]]=0,"Normal", IF(ABS(Table1[[#This Row],[CZscore]])&gt;2,"Outlier","Normal"))</f>
        <v>Normal</v>
      </c>
    </row>
    <row r="361" spans="1:29" x14ac:dyDescent="0.35">
      <c r="A361" t="s">
        <v>2120</v>
      </c>
      <c r="B361">
        <v>56.7</v>
      </c>
      <c r="C361">
        <v>170</v>
      </c>
      <c r="D361" t="s">
        <v>89</v>
      </c>
      <c r="E361">
        <v>31</v>
      </c>
      <c r="F361" t="s">
        <v>2121</v>
      </c>
      <c r="G361" t="s">
        <v>40</v>
      </c>
      <c r="H361" t="s">
        <v>29</v>
      </c>
      <c r="I361" t="s">
        <v>58</v>
      </c>
      <c r="J361">
        <v>0</v>
      </c>
      <c r="K361">
        <v>1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1</v>
      </c>
      <c r="S361">
        <v>0</v>
      </c>
      <c r="T361">
        <v>0</v>
      </c>
      <c r="U361">
        <v>0</v>
      </c>
      <c r="V361">
        <v>0</v>
      </c>
      <c r="W361">
        <v>1</v>
      </c>
      <c r="X361">
        <v>900</v>
      </c>
      <c r="Y361">
        <v>1000</v>
      </c>
      <c r="Z361">
        <f>AVERAGEIFS(Table1[FinalElo], Table1[Country], Table1[[#This Row],[Country]])</f>
        <v>1012.0629025423733</v>
      </c>
      <c r="AA361" cm="1">
        <f t="array" ref="AA361">IF(COUNTIFS(Table1[Country],Table1[[#This Row],[Country]])=1,0, _xlfn.STDEV.S(IF(Table1[Country]=Table1[[#This Row],[Country]],Table1[FinalElo])))</f>
        <v>148.42180446198614</v>
      </c>
      <c r="AB361">
        <f>IF(Table1[[#This Row],[CStd]]=0,0, (Table1[[#This Row],[FinalElo]]-Table1[[#This Row],[CAvg]]) / Table1[[#This Row],[CStd]])</f>
        <v>-0.75502991591154589</v>
      </c>
      <c r="AC361" t="str">
        <f>IF(Table1[[#This Row],[CStd]]=0,"Normal", IF(ABS(Table1[[#This Row],[CZscore]])&gt;2,"Outlier","Normal"))</f>
        <v>Normal</v>
      </c>
    </row>
    <row r="362" spans="1:29" x14ac:dyDescent="0.35">
      <c r="A362" t="s">
        <v>2118</v>
      </c>
      <c r="B362">
        <v>76</v>
      </c>
      <c r="C362">
        <v>180</v>
      </c>
      <c r="D362" t="s">
        <v>89</v>
      </c>
      <c r="E362">
        <v>29</v>
      </c>
      <c r="F362" t="s">
        <v>2119</v>
      </c>
      <c r="G362" t="s">
        <v>34</v>
      </c>
      <c r="H362" t="s">
        <v>29</v>
      </c>
      <c r="I362" t="s">
        <v>30</v>
      </c>
      <c r="J362">
        <v>6</v>
      </c>
      <c r="K362">
        <v>2</v>
      </c>
      <c r="L362">
        <v>0</v>
      </c>
      <c r="M362">
        <v>1</v>
      </c>
      <c r="N362">
        <v>0</v>
      </c>
      <c r="O362">
        <v>0</v>
      </c>
      <c r="P362">
        <v>4</v>
      </c>
      <c r="Q362">
        <v>1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8</v>
      </c>
      <c r="X362">
        <v>1261.24</v>
      </c>
      <c r="Y362">
        <v>1288.56</v>
      </c>
      <c r="Z362">
        <f>AVERAGEIFS(Table1[FinalElo], Table1[Country], Table1[[#This Row],[Country]])</f>
        <v>1012.0629025423733</v>
      </c>
      <c r="AA362" cm="1">
        <f t="array" ref="AA362">IF(COUNTIFS(Table1[Country],Table1[[#This Row],[Country]])=1,0, _xlfn.STDEV.S(IF(Table1[Country]=Table1[[#This Row],[Country]],Table1[FinalElo])))</f>
        <v>148.42180446198614</v>
      </c>
      <c r="AB362">
        <f>IF(Table1[[#This Row],[CStd]]=0,0, (Table1[[#This Row],[FinalElo]]-Table1[[#This Row],[CAvg]]) / Table1[[#This Row],[CStd]])</f>
        <v>1.6788442800629475</v>
      </c>
      <c r="AC362" t="str">
        <f>IF(Table1[[#This Row],[CStd]]=0,"Normal", IF(ABS(Table1[[#This Row],[CZscore]])&gt;2,"Outlier","Normal"))</f>
        <v>Normal</v>
      </c>
    </row>
    <row r="363" spans="1:29" x14ac:dyDescent="0.35">
      <c r="A363" t="s">
        <v>2117</v>
      </c>
      <c r="B363">
        <v>58.96696</v>
      </c>
      <c r="C363">
        <v>167</v>
      </c>
      <c r="D363" t="s">
        <v>89</v>
      </c>
      <c r="E363">
        <v>31</v>
      </c>
      <c r="F363" t="s">
        <v>394</v>
      </c>
      <c r="G363" t="s">
        <v>34</v>
      </c>
      <c r="H363" t="s">
        <v>29</v>
      </c>
      <c r="I363" t="s">
        <v>58</v>
      </c>
      <c r="J363">
        <v>0</v>
      </c>
      <c r="K363">
        <v>1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1</v>
      </c>
      <c r="X363">
        <v>900</v>
      </c>
      <c r="Y363">
        <v>1000</v>
      </c>
      <c r="Z363">
        <f>AVERAGEIFS(Table1[FinalElo], Table1[Country], Table1[[#This Row],[Country]])</f>
        <v>1012.0629025423733</v>
      </c>
      <c r="AA363" cm="1">
        <f t="array" ref="AA363">IF(COUNTIFS(Table1[Country],Table1[[#This Row],[Country]])=1,0, _xlfn.STDEV.S(IF(Table1[Country]=Table1[[#This Row],[Country]],Table1[FinalElo])))</f>
        <v>148.42180446198614</v>
      </c>
      <c r="AB363">
        <f>IF(Table1[[#This Row],[CStd]]=0,0, (Table1[[#This Row],[FinalElo]]-Table1[[#This Row],[CAvg]]) / Table1[[#This Row],[CStd]])</f>
        <v>-0.75502991591154589</v>
      </c>
      <c r="AC363" t="str">
        <f>IF(Table1[[#This Row],[CStd]]=0,"Normal", IF(ABS(Table1[[#This Row],[CZscore]])&gt;2,"Outlier","Normal"))</f>
        <v>Normal</v>
      </c>
    </row>
    <row r="364" spans="1:29" x14ac:dyDescent="0.35">
      <c r="A364" t="s">
        <v>2116</v>
      </c>
      <c r="B364">
        <v>52.16</v>
      </c>
      <c r="C364">
        <v>166</v>
      </c>
      <c r="D364" t="s">
        <v>89</v>
      </c>
      <c r="E364">
        <v>30</v>
      </c>
      <c r="F364" t="s">
        <v>114</v>
      </c>
      <c r="G364" t="s">
        <v>34</v>
      </c>
      <c r="H364" t="s">
        <v>29</v>
      </c>
      <c r="I364" t="s">
        <v>36</v>
      </c>
      <c r="J364">
        <v>0</v>
      </c>
      <c r="K364">
        <v>1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1</v>
      </c>
      <c r="U364">
        <v>0</v>
      </c>
      <c r="V364">
        <v>0</v>
      </c>
      <c r="W364">
        <v>1</v>
      </c>
      <c r="X364">
        <v>900</v>
      </c>
      <c r="Y364">
        <v>1000</v>
      </c>
      <c r="Z364">
        <f>AVERAGEIFS(Table1[FinalElo], Table1[Country], Table1[[#This Row],[Country]])</f>
        <v>1012.0629025423733</v>
      </c>
      <c r="AA364" cm="1">
        <f t="array" ref="AA364">IF(COUNTIFS(Table1[Country],Table1[[#This Row],[Country]])=1,0, _xlfn.STDEV.S(IF(Table1[Country]=Table1[[#This Row],[Country]],Table1[FinalElo])))</f>
        <v>148.42180446198614</v>
      </c>
      <c r="AB364">
        <f>IF(Table1[[#This Row],[CStd]]=0,0, (Table1[[#This Row],[FinalElo]]-Table1[[#This Row],[CAvg]]) / Table1[[#This Row],[CStd]])</f>
        <v>-0.75502991591154589</v>
      </c>
      <c r="AC364" t="str">
        <f>IF(Table1[[#This Row],[CStd]]=0,"Normal", IF(ABS(Table1[[#This Row],[CZscore]])&gt;2,"Outlier","Normal"))</f>
        <v>Normal</v>
      </c>
    </row>
    <row r="365" spans="1:29" x14ac:dyDescent="0.35">
      <c r="A365" t="s">
        <v>2114</v>
      </c>
      <c r="B365">
        <v>54.8</v>
      </c>
      <c r="C365">
        <v>165</v>
      </c>
      <c r="D365" t="s">
        <v>82</v>
      </c>
      <c r="E365">
        <v>19</v>
      </c>
      <c r="F365" t="s">
        <v>2115</v>
      </c>
      <c r="G365" t="s">
        <v>28</v>
      </c>
      <c r="H365" t="s">
        <v>29</v>
      </c>
      <c r="I365" t="s">
        <v>36</v>
      </c>
      <c r="J365">
        <v>1</v>
      </c>
      <c r="K365">
        <v>1</v>
      </c>
      <c r="L365">
        <v>0</v>
      </c>
      <c r="M365">
        <v>0</v>
      </c>
      <c r="N365">
        <v>0</v>
      </c>
      <c r="O365">
        <v>0</v>
      </c>
      <c r="P365">
        <v>1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1</v>
      </c>
      <c r="W365">
        <v>2</v>
      </c>
      <c r="X365">
        <v>948.05</v>
      </c>
      <c r="Y365">
        <v>1100</v>
      </c>
      <c r="Z365">
        <f>AVERAGEIFS(Table1[FinalElo], Table1[Country], Table1[[#This Row],[Country]])</f>
        <v>1012.5275373134326</v>
      </c>
      <c r="AA365" cm="1">
        <f t="array" ref="AA365">IF(COUNTIFS(Table1[Country],Table1[[#This Row],[Country]])=1,0, _xlfn.STDEV.S(IF(Table1[Country]=Table1[[#This Row],[Country]],Table1[FinalElo])))</f>
        <v>135.61062237674741</v>
      </c>
      <c r="AB365">
        <f>IF(Table1[[#This Row],[CStd]]=0,0, (Table1[[#This Row],[FinalElo]]-Table1[[#This Row],[CAvg]]) / Table1[[#This Row],[CStd]])</f>
        <v>-0.47546081703175158</v>
      </c>
      <c r="AC365" t="str">
        <f>IF(Table1[[#This Row],[CStd]]=0,"Normal", IF(ABS(Table1[[#This Row],[CZscore]])&gt;2,"Outlier","Normal"))</f>
        <v>Normal</v>
      </c>
    </row>
    <row r="366" spans="1:29" x14ac:dyDescent="0.35">
      <c r="A366" t="s">
        <v>2112</v>
      </c>
      <c r="B366">
        <v>61.2</v>
      </c>
      <c r="C366">
        <v>170</v>
      </c>
      <c r="D366" t="s">
        <v>723</v>
      </c>
      <c r="E366">
        <v>30</v>
      </c>
      <c r="F366" t="s">
        <v>2113</v>
      </c>
      <c r="G366" t="s">
        <v>28</v>
      </c>
      <c r="H366" t="s">
        <v>29</v>
      </c>
      <c r="I366" t="s">
        <v>58</v>
      </c>
      <c r="J366">
        <v>3</v>
      </c>
      <c r="K366">
        <v>7</v>
      </c>
      <c r="L366">
        <v>0</v>
      </c>
      <c r="M366">
        <v>0</v>
      </c>
      <c r="N366">
        <v>0</v>
      </c>
      <c r="O366">
        <v>0</v>
      </c>
      <c r="P366">
        <v>2</v>
      </c>
      <c r="Q366">
        <v>1</v>
      </c>
      <c r="R366">
        <v>0</v>
      </c>
      <c r="S366">
        <v>0</v>
      </c>
      <c r="T366">
        <v>0</v>
      </c>
      <c r="U366">
        <v>4</v>
      </c>
      <c r="V366">
        <v>2</v>
      </c>
      <c r="W366">
        <v>10</v>
      </c>
      <c r="X366">
        <v>986.39</v>
      </c>
      <c r="Y366">
        <v>1053.4100000000001</v>
      </c>
      <c r="Z366">
        <f>AVERAGEIFS(Table1[FinalElo], Table1[Country], Table1[[#This Row],[Country]])</f>
        <v>969.45666666666659</v>
      </c>
      <c r="AA366" cm="1">
        <f t="array" ref="AA366">IF(COUNTIFS(Table1[Country],Table1[[#This Row],[Country]])=1,0, _xlfn.STDEV.S(IF(Table1[Country]=Table1[[#This Row],[Country]],Table1[FinalElo])))</f>
        <v>71.282681674209385</v>
      </c>
      <c r="AB366">
        <f>IF(Table1[[#This Row],[CStd]]=0,0, (Table1[[#This Row],[FinalElo]]-Table1[[#This Row],[CAvg]]) / Table1[[#This Row],[CStd]])</f>
        <v>0.23755185601357648</v>
      </c>
      <c r="AC366" t="str">
        <f>IF(Table1[[#This Row],[CStd]]=0,"Normal", IF(ABS(Table1[[#This Row],[CZscore]])&gt;2,"Outlier","Normal"))</f>
        <v>Normal</v>
      </c>
    </row>
    <row r="367" spans="1:29" x14ac:dyDescent="0.35">
      <c r="A367" t="s">
        <v>2110</v>
      </c>
      <c r="B367">
        <v>72.121127999999999</v>
      </c>
      <c r="C367">
        <v>179</v>
      </c>
      <c r="D367" t="s">
        <v>286</v>
      </c>
      <c r="E367">
        <v>18</v>
      </c>
      <c r="F367" t="s">
        <v>2111</v>
      </c>
      <c r="G367" t="s">
        <v>34</v>
      </c>
      <c r="H367" t="s">
        <v>29</v>
      </c>
      <c r="I367" t="s">
        <v>30</v>
      </c>
      <c r="J367">
        <v>1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1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1</v>
      </c>
      <c r="X367">
        <v>1100</v>
      </c>
      <c r="Y367">
        <v>1100</v>
      </c>
      <c r="Z367">
        <f>AVERAGEIFS(Table1[FinalElo], Table1[Country], Table1[[#This Row],[Country]])</f>
        <v>1087.97</v>
      </c>
      <c r="AA367" cm="1">
        <f t="array" ref="AA367">IF(COUNTIFS(Table1[Country],Table1[[#This Row],[Country]])=1,0, _xlfn.STDEV.S(IF(Table1[Country]=Table1[[#This Row],[Country]],Table1[FinalElo])))</f>
        <v>209.70246125675953</v>
      </c>
      <c r="AB367">
        <f>IF(Table1[[#This Row],[CStd]]=0,0, (Table1[[#This Row],[FinalElo]]-Table1[[#This Row],[CAvg]]) / Table1[[#This Row],[CStd]])</f>
        <v>5.7366994778713876E-2</v>
      </c>
      <c r="AC367" t="str">
        <f>IF(Table1[[#This Row],[CStd]]=0,"Normal", IF(ABS(Table1[[#This Row],[CZscore]])&gt;2,"Outlier","Normal"))</f>
        <v>Normal</v>
      </c>
    </row>
    <row r="368" spans="1:29" x14ac:dyDescent="0.35">
      <c r="A368" t="s">
        <v>2108</v>
      </c>
      <c r="B368">
        <v>61.1</v>
      </c>
      <c r="C368">
        <v>165</v>
      </c>
      <c r="D368" t="s">
        <v>89</v>
      </c>
      <c r="E368">
        <v>26</v>
      </c>
      <c r="F368" t="s">
        <v>2109</v>
      </c>
      <c r="G368" t="s">
        <v>34</v>
      </c>
      <c r="H368" t="s">
        <v>29</v>
      </c>
      <c r="I368" t="s">
        <v>58</v>
      </c>
      <c r="J368">
        <v>0</v>
      </c>
      <c r="K368">
        <v>1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1</v>
      </c>
      <c r="W368">
        <v>1</v>
      </c>
      <c r="X368">
        <v>956.11</v>
      </c>
      <c r="Y368">
        <v>1000</v>
      </c>
      <c r="Z368">
        <f>AVERAGEIFS(Table1[FinalElo], Table1[Country], Table1[[#This Row],[Country]])</f>
        <v>1012.0629025423733</v>
      </c>
      <c r="AA368" cm="1">
        <f t="array" ref="AA368">IF(COUNTIFS(Table1[Country],Table1[[#This Row],[Country]])=1,0, _xlfn.STDEV.S(IF(Table1[Country]=Table1[[#This Row],[Country]],Table1[FinalElo])))</f>
        <v>148.42180446198614</v>
      </c>
      <c r="AB368">
        <f>IF(Table1[[#This Row],[CStd]]=0,0, (Table1[[#This Row],[FinalElo]]-Table1[[#This Row],[CAvg]]) / Table1[[#This Row],[CStd]])</f>
        <v>-0.37698573161266191</v>
      </c>
      <c r="AC368" t="str">
        <f>IF(Table1[[#This Row],[CStd]]=0,"Normal", IF(ABS(Table1[[#This Row],[CZscore]])&gt;2,"Outlier","Normal"))</f>
        <v>Normal</v>
      </c>
    </row>
    <row r="369" spans="1:29" x14ac:dyDescent="0.35">
      <c r="A369" t="s">
        <v>2107</v>
      </c>
      <c r="B369">
        <v>56.245407999999998</v>
      </c>
      <c r="C369">
        <v>170</v>
      </c>
      <c r="D369" t="s">
        <v>89</v>
      </c>
      <c r="E369">
        <v>27</v>
      </c>
      <c r="F369" t="s">
        <v>1867</v>
      </c>
      <c r="G369" t="s">
        <v>34</v>
      </c>
      <c r="H369" t="s">
        <v>29</v>
      </c>
      <c r="I369" t="s">
        <v>36</v>
      </c>
      <c r="J369">
        <v>1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1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1</v>
      </c>
      <c r="X369">
        <v>1100</v>
      </c>
      <c r="Y369">
        <v>1100</v>
      </c>
      <c r="Z369">
        <f>AVERAGEIFS(Table1[FinalElo], Table1[Country], Table1[[#This Row],[Country]])</f>
        <v>1012.0629025423733</v>
      </c>
      <c r="AA369" cm="1">
        <f t="array" ref="AA369">IF(COUNTIFS(Table1[Country],Table1[[#This Row],[Country]])=1,0, _xlfn.STDEV.S(IF(Table1[Country]=Table1[[#This Row],[Country]],Table1[FinalElo])))</f>
        <v>148.42180446198614</v>
      </c>
      <c r="AB369">
        <f>IF(Table1[[#This Row],[CStd]]=0,0, (Table1[[#This Row],[FinalElo]]-Table1[[#This Row],[CAvg]]) / Table1[[#This Row],[CStd]])</f>
        <v>0.59248098873605315</v>
      </c>
      <c r="AC369" t="str">
        <f>IF(Table1[[#This Row],[CStd]]=0,"Normal", IF(ABS(Table1[[#This Row],[CZscore]])&gt;2,"Outlier","Normal"))</f>
        <v>Normal</v>
      </c>
    </row>
    <row r="370" spans="1:29" x14ac:dyDescent="0.35">
      <c r="A370" t="s">
        <v>2106</v>
      </c>
      <c r="B370">
        <v>56.7</v>
      </c>
      <c r="C370">
        <v>170</v>
      </c>
      <c r="D370" t="s">
        <v>140</v>
      </c>
      <c r="E370">
        <v>24</v>
      </c>
      <c r="F370" t="s">
        <v>141</v>
      </c>
      <c r="G370" t="s">
        <v>40</v>
      </c>
      <c r="H370" t="s">
        <v>29</v>
      </c>
      <c r="I370" t="s">
        <v>58</v>
      </c>
      <c r="J370">
        <v>0</v>
      </c>
      <c r="K370">
        <v>1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1</v>
      </c>
      <c r="T370">
        <v>0</v>
      </c>
      <c r="U370">
        <v>0</v>
      </c>
      <c r="V370">
        <v>0</v>
      </c>
      <c r="W370">
        <v>1</v>
      </c>
      <c r="X370">
        <v>900</v>
      </c>
      <c r="Y370">
        <v>1000</v>
      </c>
      <c r="Z370">
        <f>AVERAGEIFS(Table1[FinalElo], Table1[Country], Table1[[#This Row],[Country]])</f>
        <v>1002.675294117647</v>
      </c>
      <c r="AA370" cm="1">
        <f t="array" ref="AA370">IF(COUNTIFS(Table1[Country],Table1[[#This Row],[Country]])=1,0, _xlfn.STDEV.S(IF(Table1[Country]=Table1[[#This Row],[Country]],Table1[FinalElo])))</f>
        <v>171.59712028169514</v>
      </c>
      <c r="AB370">
        <f>IF(Table1[[#This Row],[CStd]]=0,0, (Table1[[#This Row],[FinalElo]]-Table1[[#This Row],[CAvg]]) / Table1[[#This Row],[CStd]])</f>
        <v>-0.59835091608235891</v>
      </c>
      <c r="AC370" t="str">
        <f>IF(Table1[[#This Row],[CStd]]=0,"Normal", IF(ABS(Table1[[#This Row],[CZscore]])&gt;2,"Outlier","Normal"))</f>
        <v>Normal</v>
      </c>
    </row>
    <row r="371" spans="1:29" x14ac:dyDescent="0.35">
      <c r="A371" t="s">
        <v>105</v>
      </c>
      <c r="B371">
        <v>105.1</v>
      </c>
      <c r="C371">
        <v>200</v>
      </c>
      <c r="D371" t="s">
        <v>106</v>
      </c>
      <c r="E371">
        <v>33</v>
      </c>
      <c r="F371" t="s">
        <v>107</v>
      </c>
      <c r="G371" t="s">
        <v>34</v>
      </c>
      <c r="H371" t="s">
        <v>29</v>
      </c>
      <c r="I371" t="s">
        <v>94</v>
      </c>
      <c r="J371">
        <v>7</v>
      </c>
      <c r="K371">
        <v>0</v>
      </c>
      <c r="L371">
        <v>0</v>
      </c>
      <c r="M371">
        <v>3</v>
      </c>
      <c r="N371">
        <v>0</v>
      </c>
      <c r="O371">
        <v>0</v>
      </c>
      <c r="P371">
        <v>1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7</v>
      </c>
      <c r="X371">
        <v>1422.67</v>
      </c>
      <c r="Y371">
        <v>1422.67</v>
      </c>
      <c r="Z371">
        <f>AVERAGEIFS(Table1[FinalElo], Table1[Country], Table1[[#This Row],[Country]])</f>
        <v>1073.1599999999999</v>
      </c>
      <c r="AA371" cm="1">
        <f t="array" ref="AA371">IF(COUNTIFS(Table1[Country],Table1[[#This Row],[Country]])=1,0, _xlfn.STDEV.S(IF(Table1[Country]=Table1[[#This Row],[Country]],Table1[FinalElo])))</f>
        <v>207.614862425599</v>
      </c>
      <c r="AB371">
        <f>IF(Table1[[#This Row],[CStd]]=0,0, (Table1[[#This Row],[FinalElo]]-Table1[[#This Row],[CAvg]]) / Table1[[#This Row],[CStd]])</f>
        <v>1.6834536598999548</v>
      </c>
      <c r="AC371" t="str">
        <f>IF(Table1[[#This Row],[CStd]]=0,"Normal", IF(ABS(Table1[[#This Row],[CZscore]])&gt;2,"Outlier","Normal"))</f>
        <v>Normal</v>
      </c>
    </row>
    <row r="372" spans="1:29" x14ac:dyDescent="0.35">
      <c r="A372" t="s">
        <v>2104</v>
      </c>
      <c r="B372">
        <v>51.2</v>
      </c>
      <c r="C372">
        <v>166</v>
      </c>
      <c r="D372" t="s">
        <v>89</v>
      </c>
      <c r="E372">
        <v>22</v>
      </c>
      <c r="F372" t="s">
        <v>2105</v>
      </c>
      <c r="G372" t="s">
        <v>34</v>
      </c>
      <c r="H372" t="s">
        <v>29</v>
      </c>
      <c r="I372" t="s">
        <v>55</v>
      </c>
      <c r="J372">
        <v>1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1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1</v>
      </c>
      <c r="X372">
        <v>1100</v>
      </c>
      <c r="Y372">
        <v>1100</v>
      </c>
      <c r="Z372">
        <f>AVERAGEIFS(Table1[FinalElo], Table1[Country], Table1[[#This Row],[Country]])</f>
        <v>1012.0629025423733</v>
      </c>
      <c r="AA372" cm="1">
        <f t="array" ref="AA372">IF(COUNTIFS(Table1[Country],Table1[[#This Row],[Country]])=1,0, _xlfn.STDEV.S(IF(Table1[Country]=Table1[[#This Row],[Country]],Table1[FinalElo])))</f>
        <v>148.42180446198614</v>
      </c>
      <c r="AB372">
        <f>IF(Table1[[#This Row],[CStd]]=0,0, (Table1[[#This Row],[FinalElo]]-Table1[[#This Row],[CAvg]]) / Table1[[#This Row],[CStd]])</f>
        <v>0.59248098873605315</v>
      </c>
      <c r="AC372" t="str">
        <f>IF(Table1[[#This Row],[CStd]]=0,"Normal", IF(ABS(Table1[[#This Row],[CZscore]])&gt;2,"Outlier","Normal"))</f>
        <v>Normal</v>
      </c>
    </row>
    <row r="373" spans="1:29" x14ac:dyDescent="0.35">
      <c r="A373" t="s">
        <v>103</v>
      </c>
      <c r="B373">
        <v>61.2</v>
      </c>
      <c r="C373">
        <v>168</v>
      </c>
      <c r="D373" t="s">
        <v>89</v>
      </c>
      <c r="E373">
        <v>28</v>
      </c>
      <c r="F373" t="s">
        <v>104</v>
      </c>
      <c r="G373" t="s">
        <v>34</v>
      </c>
      <c r="H373" t="s">
        <v>29</v>
      </c>
      <c r="I373" t="s">
        <v>58</v>
      </c>
      <c r="J373">
        <v>17</v>
      </c>
      <c r="K373">
        <v>2</v>
      </c>
      <c r="L373">
        <v>0</v>
      </c>
      <c r="M373">
        <v>1</v>
      </c>
      <c r="N373">
        <v>0</v>
      </c>
      <c r="O373">
        <v>0</v>
      </c>
      <c r="P373">
        <v>9</v>
      </c>
      <c r="Q373">
        <v>3</v>
      </c>
      <c r="R373">
        <v>0</v>
      </c>
      <c r="S373">
        <v>1</v>
      </c>
      <c r="T373">
        <v>0</v>
      </c>
      <c r="U373">
        <v>1</v>
      </c>
      <c r="V373">
        <v>0</v>
      </c>
      <c r="W373">
        <v>19</v>
      </c>
      <c r="X373">
        <v>1452.05</v>
      </c>
      <c r="Y373">
        <v>1482.19</v>
      </c>
      <c r="Z373">
        <f>AVERAGEIFS(Table1[FinalElo], Table1[Country], Table1[[#This Row],[Country]])</f>
        <v>1012.0629025423733</v>
      </c>
      <c r="AA373" cm="1">
        <f t="array" ref="AA373">IF(COUNTIFS(Table1[Country],Table1[[#This Row],[Country]])=1,0, _xlfn.STDEV.S(IF(Table1[Country]=Table1[[#This Row],[Country]],Table1[FinalElo])))</f>
        <v>148.42180446198614</v>
      </c>
      <c r="AB373">
        <f>IF(Table1[[#This Row],[CStd]]=0,0, (Table1[[#This Row],[FinalElo]]-Table1[[#This Row],[CAvg]]) / Table1[[#This Row],[CStd]])</f>
        <v>2.9644370586419893</v>
      </c>
      <c r="AC373" t="str">
        <f>IF(Table1[[#This Row],[CStd]]=0,"Normal", IF(ABS(Table1[[#This Row],[CZscore]])&gt;2,"Outlier","Normal"))</f>
        <v>Outlier</v>
      </c>
    </row>
    <row r="374" spans="1:29" x14ac:dyDescent="0.35">
      <c r="A374" t="s">
        <v>2103</v>
      </c>
      <c r="B374">
        <v>65.599999999999994</v>
      </c>
      <c r="C374">
        <v>175</v>
      </c>
      <c r="D374" t="s">
        <v>32</v>
      </c>
      <c r="E374">
        <v>30</v>
      </c>
      <c r="F374" t="s">
        <v>90</v>
      </c>
      <c r="G374" t="s">
        <v>54</v>
      </c>
      <c r="H374" t="s">
        <v>29</v>
      </c>
      <c r="I374" t="s">
        <v>73</v>
      </c>
      <c r="J374">
        <v>1</v>
      </c>
      <c r="K374">
        <v>1</v>
      </c>
      <c r="L374">
        <v>0</v>
      </c>
      <c r="M374">
        <v>0</v>
      </c>
      <c r="N374">
        <v>1</v>
      </c>
      <c r="O374">
        <v>0</v>
      </c>
      <c r="P374">
        <v>0</v>
      </c>
      <c r="Q374">
        <v>0</v>
      </c>
      <c r="R374">
        <v>0</v>
      </c>
      <c r="S374">
        <v>1</v>
      </c>
      <c r="T374">
        <v>0</v>
      </c>
      <c r="U374">
        <v>0</v>
      </c>
      <c r="V374">
        <v>0</v>
      </c>
      <c r="W374">
        <v>2</v>
      </c>
      <c r="X374">
        <v>971.99</v>
      </c>
      <c r="Y374">
        <v>1100</v>
      </c>
      <c r="Z374">
        <f>AVERAGEIFS(Table1[FinalElo], Table1[Country], Table1[[#This Row],[Country]])</f>
        <v>1025.3786885245902</v>
      </c>
      <c r="AA374" cm="1">
        <f t="array" ref="AA374">IF(COUNTIFS(Table1[Country],Table1[[#This Row],[Country]])=1,0, _xlfn.STDEV.S(IF(Table1[Country]=Table1[[#This Row],[Country]],Table1[FinalElo])))</f>
        <v>144.71595558743479</v>
      </c>
      <c r="AB374">
        <f>IF(Table1[[#This Row],[CStd]]=0,0, (Table1[[#This Row],[FinalElo]]-Table1[[#This Row],[CAvg]]) / Table1[[#This Row],[CStd]])</f>
        <v>-0.36892054029476862</v>
      </c>
      <c r="AC374" t="str">
        <f>IF(Table1[[#This Row],[CStd]]=0,"Normal", IF(ABS(Table1[[#This Row],[CZscore]])&gt;2,"Outlier","Normal"))</f>
        <v>Normal</v>
      </c>
    </row>
    <row r="375" spans="1:29" hidden="1" x14ac:dyDescent="0.35">
      <c r="A375" t="s">
        <v>770</v>
      </c>
      <c r="B375">
        <v>56.7</v>
      </c>
      <c r="C375">
        <v>170</v>
      </c>
      <c r="D375" t="s">
        <v>771</v>
      </c>
      <c r="E375">
        <v>34</v>
      </c>
      <c r="F375" t="s">
        <v>47</v>
      </c>
      <c r="G375" t="s">
        <v>34</v>
      </c>
      <c r="H375" t="s">
        <v>35</v>
      </c>
      <c r="I375" t="s">
        <v>58</v>
      </c>
      <c r="J375">
        <v>1</v>
      </c>
      <c r="K375">
        <v>4</v>
      </c>
      <c r="L375">
        <v>0</v>
      </c>
      <c r="M375">
        <v>0</v>
      </c>
      <c r="N375">
        <v>0</v>
      </c>
      <c r="O375">
        <v>0</v>
      </c>
      <c r="P375">
        <v>1</v>
      </c>
      <c r="Q375">
        <v>0</v>
      </c>
      <c r="R375">
        <v>0</v>
      </c>
      <c r="S375">
        <v>0</v>
      </c>
      <c r="T375">
        <v>0</v>
      </c>
      <c r="U375">
        <v>1</v>
      </c>
      <c r="V375">
        <v>1</v>
      </c>
      <c r="W375">
        <v>5</v>
      </c>
      <c r="X375">
        <v>945.98</v>
      </c>
      <c r="Y375">
        <v>1000</v>
      </c>
      <c r="Z375">
        <f>AVERAGEIFS(Table1[FinalElo], Table1[Country], Table1[[#This Row],[Country]])</f>
        <v>1087.95</v>
      </c>
      <c r="AA375" cm="1">
        <f t="array" ref="AA375">IF(COUNTIFS(Table1[Country],Table1[[#This Row],[Country]])=1,0, _xlfn.STDEV.S(IF(Table1[Country]=Table1[[#This Row],[Country]],Table1[FinalElo])))</f>
        <v>180.95070019206861</v>
      </c>
      <c r="AB375">
        <f>IF(Table1[[#This Row],[CStd]]=0,0, (Table1[[#This Row],[FinalElo]]-Table1[[#This Row],[CAvg]]) / Table1[[#This Row],[CStd]])</f>
        <v>-0.78457834011864647</v>
      </c>
      <c r="AC375" t="str">
        <f>IF(Table1[[#This Row],[CStd]]=0,"Normal", IF(ABS(Table1[[#This Row],[CZscore]])&gt;2,"Outlier","Normal"))</f>
        <v>Normal</v>
      </c>
    </row>
    <row r="376" spans="1:29" x14ac:dyDescent="0.35">
      <c r="A376" t="s">
        <v>2102</v>
      </c>
      <c r="B376">
        <v>65.8</v>
      </c>
      <c r="C376">
        <v>168</v>
      </c>
      <c r="D376" t="s">
        <v>89</v>
      </c>
      <c r="E376">
        <v>35</v>
      </c>
      <c r="F376" t="s">
        <v>99</v>
      </c>
      <c r="G376" t="s">
        <v>28</v>
      </c>
      <c r="H376" t="s">
        <v>29</v>
      </c>
      <c r="I376" t="s">
        <v>48</v>
      </c>
      <c r="J376">
        <v>4</v>
      </c>
      <c r="K376">
        <v>3</v>
      </c>
      <c r="L376">
        <v>0</v>
      </c>
      <c r="M376">
        <v>0</v>
      </c>
      <c r="N376">
        <v>0</v>
      </c>
      <c r="O376">
        <v>0</v>
      </c>
      <c r="P376">
        <v>3</v>
      </c>
      <c r="Q376">
        <v>0</v>
      </c>
      <c r="R376">
        <v>0</v>
      </c>
      <c r="S376">
        <v>0</v>
      </c>
      <c r="T376">
        <v>0</v>
      </c>
      <c r="U376">
        <v>1</v>
      </c>
      <c r="V376">
        <v>0</v>
      </c>
      <c r="W376">
        <v>7</v>
      </c>
      <c r="X376">
        <v>1054.57</v>
      </c>
      <c r="Y376">
        <v>1223.82</v>
      </c>
      <c r="Z376">
        <f>AVERAGEIFS(Table1[FinalElo], Table1[Country], Table1[[#This Row],[Country]])</f>
        <v>1012.0629025423733</v>
      </c>
      <c r="AA376" cm="1">
        <f t="array" ref="AA376">IF(COUNTIFS(Table1[Country],Table1[[#This Row],[Country]])=1,0, _xlfn.STDEV.S(IF(Table1[Country]=Table1[[#This Row],[Country]],Table1[FinalElo])))</f>
        <v>148.42180446198614</v>
      </c>
      <c r="AB376">
        <f>IF(Table1[[#This Row],[CStd]]=0,0, (Table1[[#This Row],[FinalElo]]-Table1[[#This Row],[CAvg]]) / Table1[[#This Row],[CStd]])</f>
        <v>0.2863938867453506</v>
      </c>
      <c r="AC376" t="str">
        <f>IF(Table1[[#This Row],[CStd]]=0,"Normal", IF(ABS(Table1[[#This Row],[CZscore]])&gt;2,"Outlier","Normal"))</f>
        <v>Normal</v>
      </c>
    </row>
    <row r="377" spans="1:29" x14ac:dyDescent="0.35">
      <c r="A377" t="s">
        <v>2101</v>
      </c>
      <c r="B377">
        <v>50.4</v>
      </c>
      <c r="C377">
        <v>168</v>
      </c>
      <c r="D377" t="s">
        <v>89</v>
      </c>
      <c r="E377">
        <v>23</v>
      </c>
      <c r="F377" t="s">
        <v>99</v>
      </c>
      <c r="G377" t="s">
        <v>34</v>
      </c>
      <c r="H377" t="s">
        <v>29</v>
      </c>
      <c r="I377" t="s">
        <v>55</v>
      </c>
      <c r="J377">
        <v>0</v>
      </c>
      <c r="K377">
        <v>1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1</v>
      </c>
      <c r="W377">
        <v>1</v>
      </c>
      <c r="X377">
        <v>914.94</v>
      </c>
      <c r="Y377">
        <v>1000</v>
      </c>
      <c r="Z377">
        <f>AVERAGEIFS(Table1[FinalElo], Table1[Country], Table1[[#This Row],[Country]])</f>
        <v>1012.0629025423733</v>
      </c>
      <c r="AA377" cm="1">
        <f t="array" ref="AA377">IF(COUNTIFS(Table1[Country],Table1[[#This Row],[Country]])=1,0, _xlfn.STDEV.S(IF(Table1[Country]=Table1[[#This Row],[Country]],Table1[FinalElo])))</f>
        <v>148.42180446198614</v>
      </c>
      <c r="AB377">
        <f>IF(Table1[[#This Row],[CStd]]=0,0, (Table1[[#This Row],[FinalElo]]-Table1[[#This Row],[CAvg]]) / Table1[[#This Row],[CStd]])</f>
        <v>-0.6543708513343699</v>
      </c>
      <c r="AC377" t="str">
        <f>IF(Table1[[#This Row],[CStd]]=0,"Normal", IF(ABS(Table1[[#This Row],[CZscore]])&gt;2,"Outlier","Normal"))</f>
        <v>Normal</v>
      </c>
    </row>
    <row r="378" spans="1:29" x14ac:dyDescent="0.35">
      <c r="A378" t="s">
        <v>2100</v>
      </c>
      <c r="B378">
        <v>52.16</v>
      </c>
      <c r="C378">
        <v>169</v>
      </c>
      <c r="D378" t="s">
        <v>89</v>
      </c>
      <c r="E378">
        <v>24</v>
      </c>
      <c r="F378" t="s">
        <v>284</v>
      </c>
      <c r="G378" t="s">
        <v>34</v>
      </c>
      <c r="H378" t="s">
        <v>29</v>
      </c>
      <c r="I378" t="s">
        <v>36</v>
      </c>
      <c r="J378">
        <v>1</v>
      </c>
      <c r="K378">
        <v>1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1</v>
      </c>
      <c r="V378">
        <v>0</v>
      </c>
      <c r="W378">
        <v>2</v>
      </c>
      <c r="X378">
        <v>1010.49</v>
      </c>
      <c r="Y378">
        <v>1091.96</v>
      </c>
      <c r="Z378">
        <f>AVERAGEIFS(Table1[FinalElo], Table1[Country], Table1[[#This Row],[Country]])</f>
        <v>1012.0629025423733</v>
      </c>
      <c r="AA378" cm="1">
        <f t="array" ref="AA378">IF(COUNTIFS(Table1[Country],Table1[[#This Row],[Country]])=1,0, _xlfn.STDEV.S(IF(Table1[Country]=Table1[[#This Row],[Country]],Table1[FinalElo])))</f>
        <v>148.42180446198614</v>
      </c>
      <c r="AB378">
        <f>IF(Table1[[#This Row],[CStd]]=0,0, (Table1[[#This Row],[FinalElo]]-Table1[[#This Row],[CAvg]]) / Table1[[#This Row],[CStd]])</f>
        <v>-1.0597516638979764E-2</v>
      </c>
      <c r="AC378" t="str">
        <f>IF(Table1[[#This Row],[CStd]]=0,"Normal", IF(ABS(Table1[[#This Row],[CZscore]])&gt;2,"Outlier","Normal"))</f>
        <v>Normal</v>
      </c>
    </row>
    <row r="379" spans="1:29" x14ac:dyDescent="0.35">
      <c r="A379" t="s">
        <v>2097</v>
      </c>
      <c r="B379">
        <v>58.96696</v>
      </c>
      <c r="C379">
        <v>167</v>
      </c>
      <c r="D379" t="s">
        <v>2098</v>
      </c>
      <c r="E379">
        <v>18</v>
      </c>
      <c r="F379" t="s">
        <v>2099</v>
      </c>
      <c r="G379" t="s">
        <v>34</v>
      </c>
      <c r="H379" t="s">
        <v>29</v>
      </c>
      <c r="I379" t="s">
        <v>58</v>
      </c>
      <c r="J379">
        <v>0</v>
      </c>
      <c r="K379">
        <v>1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1</v>
      </c>
      <c r="V379">
        <v>0</v>
      </c>
      <c r="W379">
        <v>1</v>
      </c>
      <c r="X379">
        <v>879.57</v>
      </c>
      <c r="Y379">
        <v>1000</v>
      </c>
      <c r="Z379">
        <f>AVERAGEIFS(Table1[FinalElo], Table1[Country], Table1[[#This Row],[Country]])</f>
        <v>879.57</v>
      </c>
      <c r="AA379" cm="1">
        <f t="array" ref="AA379">IF(COUNTIFS(Table1[Country],Table1[[#This Row],[Country]])=1,0, _xlfn.STDEV.S(IF(Table1[Country]=Table1[[#This Row],[Country]],Table1[FinalElo])))</f>
        <v>0</v>
      </c>
      <c r="AB379">
        <f>IF(Table1[[#This Row],[CStd]]=0,0, (Table1[[#This Row],[FinalElo]]-Table1[[#This Row],[CAvg]]) / Table1[[#This Row],[CStd]])</f>
        <v>0</v>
      </c>
      <c r="AC379" t="str">
        <f>IF(Table1[[#This Row],[CStd]]=0,"Normal", IF(ABS(Table1[[#This Row],[CZscore]])&gt;2,"Outlier","Normal"))</f>
        <v>Normal</v>
      </c>
    </row>
    <row r="380" spans="1:29" x14ac:dyDescent="0.35">
      <c r="A380" t="s">
        <v>2096</v>
      </c>
      <c r="B380">
        <v>61.2</v>
      </c>
      <c r="C380">
        <v>168</v>
      </c>
      <c r="D380" t="s">
        <v>60</v>
      </c>
      <c r="E380">
        <v>26</v>
      </c>
      <c r="F380" t="s">
        <v>204</v>
      </c>
      <c r="G380" t="s">
        <v>40</v>
      </c>
      <c r="H380" t="s">
        <v>29</v>
      </c>
      <c r="I380" t="s">
        <v>58</v>
      </c>
      <c r="J380">
        <v>0</v>
      </c>
      <c r="K380">
        <v>3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3</v>
      </c>
      <c r="S380">
        <v>0</v>
      </c>
      <c r="T380">
        <v>0</v>
      </c>
      <c r="U380">
        <v>0</v>
      </c>
      <c r="V380">
        <v>0</v>
      </c>
      <c r="W380">
        <v>3</v>
      </c>
      <c r="X380">
        <v>846.49</v>
      </c>
      <c r="Y380">
        <v>1000</v>
      </c>
      <c r="Z380">
        <f>AVERAGEIFS(Table1[FinalElo], Table1[Country], Table1[[#This Row],[Country]])</f>
        <v>1034.681315789474</v>
      </c>
      <c r="AA380" cm="1">
        <f t="array" ref="AA380">IF(COUNTIFS(Table1[Country],Table1[[#This Row],[Country]])=1,0, _xlfn.STDEV.S(IF(Table1[Country]=Table1[[#This Row],[Country]],Table1[FinalElo])))</f>
        <v>152.902810204692</v>
      </c>
      <c r="AB380">
        <f>IF(Table1[[#This Row],[CStd]]=0,0, (Table1[[#This Row],[FinalElo]]-Table1[[#This Row],[CAvg]]) / Table1[[#This Row],[CStd]])</f>
        <v>-1.2307904317621172</v>
      </c>
      <c r="AC380" t="str">
        <f>IF(Table1[[#This Row],[CStd]]=0,"Normal", IF(ABS(Table1[[#This Row],[CZscore]])&gt;2,"Outlier","Normal"))</f>
        <v>Normal</v>
      </c>
    </row>
    <row r="381" spans="1:29" x14ac:dyDescent="0.35">
      <c r="A381" t="s">
        <v>2095</v>
      </c>
      <c r="B381">
        <v>58.059775999999999</v>
      </c>
      <c r="C381">
        <v>163</v>
      </c>
      <c r="D381" t="s">
        <v>32</v>
      </c>
      <c r="E381">
        <v>32</v>
      </c>
      <c r="F381" t="s">
        <v>848</v>
      </c>
      <c r="G381" t="s">
        <v>40</v>
      </c>
      <c r="H381" t="s">
        <v>29</v>
      </c>
      <c r="I381" t="s">
        <v>58</v>
      </c>
      <c r="J381">
        <v>3</v>
      </c>
      <c r="K381">
        <v>1</v>
      </c>
      <c r="L381">
        <v>0</v>
      </c>
      <c r="M381">
        <v>0</v>
      </c>
      <c r="N381">
        <v>2</v>
      </c>
      <c r="O381">
        <v>0</v>
      </c>
      <c r="P381">
        <v>1</v>
      </c>
      <c r="Q381">
        <v>0</v>
      </c>
      <c r="R381">
        <v>1</v>
      </c>
      <c r="S381">
        <v>0</v>
      </c>
      <c r="T381">
        <v>0</v>
      </c>
      <c r="U381">
        <v>0</v>
      </c>
      <c r="V381">
        <v>0</v>
      </c>
      <c r="W381">
        <v>4</v>
      </c>
      <c r="X381">
        <v>1145.2</v>
      </c>
      <c r="Y381">
        <v>1246</v>
      </c>
      <c r="Z381">
        <f>AVERAGEIFS(Table1[FinalElo], Table1[Country], Table1[[#This Row],[Country]])</f>
        <v>1025.3786885245902</v>
      </c>
      <c r="AA381" cm="1">
        <f t="array" ref="AA381">IF(COUNTIFS(Table1[Country],Table1[[#This Row],[Country]])=1,0, _xlfn.STDEV.S(IF(Table1[Country]=Table1[[#This Row],[Country]],Table1[FinalElo])))</f>
        <v>144.71595558743479</v>
      </c>
      <c r="AB381">
        <f>IF(Table1[[#This Row],[CStd]]=0,0, (Table1[[#This Row],[FinalElo]]-Table1[[#This Row],[CAvg]]) / Table1[[#This Row],[CStd]])</f>
        <v>0.82797581641242013</v>
      </c>
      <c r="AC381" t="str">
        <f>IF(Table1[[#This Row],[CStd]]=0,"Normal", IF(ABS(Table1[[#This Row],[CZscore]])&gt;2,"Outlier","Normal"))</f>
        <v>Normal</v>
      </c>
    </row>
    <row r="382" spans="1:29" x14ac:dyDescent="0.35">
      <c r="A382" t="s">
        <v>2094</v>
      </c>
      <c r="B382">
        <v>54.431040000000003</v>
      </c>
      <c r="C382">
        <v>165</v>
      </c>
      <c r="D382" t="s">
        <v>89</v>
      </c>
      <c r="E382">
        <v>25</v>
      </c>
      <c r="F382" t="s">
        <v>99</v>
      </c>
      <c r="G382" t="s">
        <v>34</v>
      </c>
      <c r="H382" t="s">
        <v>29</v>
      </c>
      <c r="I382" t="s">
        <v>36</v>
      </c>
      <c r="J382">
        <v>1</v>
      </c>
      <c r="K382">
        <v>1</v>
      </c>
      <c r="L382">
        <v>0</v>
      </c>
      <c r="M382">
        <v>0</v>
      </c>
      <c r="N382">
        <v>0</v>
      </c>
      <c r="O382">
        <v>0</v>
      </c>
      <c r="P382">
        <v>1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1</v>
      </c>
      <c r="W382">
        <v>2</v>
      </c>
      <c r="X382">
        <v>912.5</v>
      </c>
      <c r="Y382">
        <v>1054.18</v>
      </c>
      <c r="Z382">
        <f>AVERAGEIFS(Table1[FinalElo], Table1[Country], Table1[[#This Row],[Country]])</f>
        <v>1012.0629025423733</v>
      </c>
      <c r="AA382" cm="1">
        <f t="array" ref="AA382">IF(COUNTIFS(Table1[Country],Table1[[#This Row],[Country]])=1,0, _xlfn.STDEV.S(IF(Table1[Country]=Table1[[#This Row],[Country]],Table1[FinalElo])))</f>
        <v>148.42180446198614</v>
      </c>
      <c r="AB382">
        <f>IF(Table1[[#This Row],[CStd]]=0,0, (Table1[[#This Row],[FinalElo]]-Table1[[#This Row],[CAvg]]) / Table1[[#This Row],[CStd]])</f>
        <v>-0.67081048437107094</v>
      </c>
      <c r="AC382" t="str">
        <f>IF(Table1[[#This Row],[CStd]]=0,"Normal", IF(ABS(Table1[[#This Row],[CZscore]])&gt;2,"Outlier","Normal"))</f>
        <v>Normal</v>
      </c>
    </row>
    <row r="383" spans="1:29" x14ac:dyDescent="0.35">
      <c r="A383" t="s">
        <v>2092</v>
      </c>
      <c r="B383">
        <v>56.6</v>
      </c>
      <c r="C383">
        <v>155</v>
      </c>
      <c r="D383" t="s">
        <v>60</v>
      </c>
      <c r="E383">
        <v>34</v>
      </c>
      <c r="F383" t="s">
        <v>2093</v>
      </c>
      <c r="G383" t="s">
        <v>40</v>
      </c>
      <c r="H383" t="s">
        <v>29</v>
      </c>
      <c r="I383" t="s">
        <v>36</v>
      </c>
      <c r="J383">
        <v>5</v>
      </c>
      <c r="K383">
        <v>6</v>
      </c>
      <c r="L383">
        <v>0</v>
      </c>
      <c r="M383">
        <v>0</v>
      </c>
      <c r="N383">
        <v>1</v>
      </c>
      <c r="O383">
        <v>1</v>
      </c>
      <c r="P383">
        <v>1</v>
      </c>
      <c r="Q383">
        <v>1</v>
      </c>
      <c r="R383">
        <v>1</v>
      </c>
      <c r="S383">
        <v>4</v>
      </c>
      <c r="T383">
        <v>0</v>
      </c>
      <c r="U383">
        <v>0</v>
      </c>
      <c r="V383">
        <v>0</v>
      </c>
      <c r="W383">
        <v>11</v>
      </c>
      <c r="X383">
        <v>853.14</v>
      </c>
      <c r="Y383">
        <v>1163.18</v>
      </c>
      <c r="Z383">
        <f>AVERAGEIFS(Table1[FinalElo], Table1[Country], Table1[[#This Row],[Country]])</f>
        <v>1034.681315789474</v>
      </c>
      <c r="AA383" cm="1">
        <f t="array" ref="AA383">IF(COUNTIFS(Table1[Country],Table1[[#This Row],[Country]])=1,0, _xlfn.STDEV.S(IF(Table1[Country]=Table1[[#This Row],[Country]],Table1[FinalElo])))</f>
        <v>152.902810204692</v>
      </c>
      <c r="AB383">
        <f>IF(Table1[[#This Row],[CStd]]=0,0, (Table1[[#This Row],[FinalElo]]-Table1[[#This Row],[CAvg]]) / Table1[[#This Row],[CStd]])</f>
        <v>-1.1872987523672287</v>
      </c>
      <c r="AC383" t="str">
        <f>IF(Table1[[#This Row],[CStd]]=0,"Normal", IF(ABS(Table1[[#This Row],[CZscore]])&gt;2,"Outlier","Normal"))</f>
        <v>Normal</v>
      </c>
    </row>
    <row r="384" spans="1:29" x14ac:dyDescent="0.35">
      <c r="A384" t="s">
        <v>2091</v>
      </c>
      <c r="B384">
        <v>83.6</v>
      </c>
      <c r="C384">
        <v>180</v>
      </c>
      <c r="D384" t="s">
        <v>1565</v>
      </c>
      <c r="E384">
        <v>30</v>
      </c>
      <c r="F384" t="s">
        <v>191</v>
      </c>
      <c r="G384" t="s">
        <v>40</v>
      </c>
      <c r="H384" t="s">
        <v>29</v>
      </c>
      <c r="I384" t="s">
        <v>50</v>
      </c>
      <c r="J384">
        <v>1</v>
      </c>
      <c r="K384">
        <v>1</v>
      </c>
      <c r="L384">
        <v>1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3</v>
      </c>
      <c r="X384">
        <v>1131.1300000000001</v>
      </c>
      <c r="Y384">
        <v>1131.1300000000001</v>
      </c>
      <c r="Z384">
        <f>AVERAGEIFS(Table1[FinalElo], Table1[Country], Table1[[#This Row],[Country]])</f>
        <v>1065.5650000000001</v>
      </c>
      <c r="AA384" cm="1">
        <f t="array" ref="AA384">IF(COUNTIFS(Table1[Country],Table1[[#This Row],[Country]])=1,0, _xlfn.STDEV.S(IF(Table1[Country]=Table1[[#This Row],[Country]],Table1[FinalElo])))</f>
        <v>92.722912216992057</v>
      </c>
      <c r="AB384">
        <f>IF(Table1[[#This Row],[CStd]]=0,0, (Table1[[#This Row],[FinalElo]]-Table1[[#This Row],[CAvg]]) / Table1[[#This Row],[CStd]])</f>
        <v>0.70710678118654746</v>
      </c>
      <c r="AC384" t="str">
        <f>IF(Table1[[#This Row],[CStd]]=0,"Normal", IF(ABS(Table1[[#This Row],[CZscore]])&gt;2,"Outlier","Normal"))</f>
        <v>Normal</v>
      </c>
    </row>
    <row r="385" spans="1:29" x14ac:dyDescent="0.35">
      <c r="A385" t="s">
        <v>2090</v>
      </c>
      <c r="B385">
        <v>65.5</v>
      </c>
      <c r="C385">
        <v>175</v>
      </c>
      <c r="D385" t="s">
        <v>174</v>
      </c>
      <c r="E385">
        <v>32</v>
      </c>
      <c r="F385" t="s">
        <v>110</v>
      </c>
      <c r="G385" t="s">
        <v>34</v>
      </c>
      <c r="H385" t="s">
        <v>29</v>
      </c>
      <c r="I385" t="s">
        <v>73</v>
      </c>
      <c r="J385">
        <v>1</v>
      </c>
      <c r="K385">
        <v>2</v>
      </c>
      <c r="L385">
        <v>0</v>
      </c>
      <c r="M385">
        <v>0</v>
      </c>
      <c r="N385">
        <v>0</v>
      </c>
      <c r="O385">
        <v>0</v>
      </c>
      <c r="P385">
        <v>1</v>
      </c>
      <c r="Q385">
        <v>0</v>
      </c>
      <c r="R385">
        <v>0</v>
      </c>
      <c r="S385">
        <v>0</v>
      </c>
      <c r="T385">
        <v>0</v>
      </c>
      <c r="U385">
        <v>1</v>
      </c>
      <c r="V385">
        <v>1</v>
      </c>
      <c r="W385">
        <v>3</v>
      </c>
      <c r="X385">
        <v>970.57</v>
      </c>
      <c r="Y385">
        <v>1000</v>
      </c>
      <c r="Z385">
        <f>AVERAGEIFS(Table1[FinalElo], Table1[Country], Table1[[#This Row],[Country]])</f>
        <v>980.52444444444427</v>
      </c>
      <c r="AA385" cm="1">
        <f t="array" ref="AA385">IF(COUNTIFS(Table1[Country],Table1[[#This Row],[Country]])=1,0, _xlfn.STDEV.S(IF(Table1[Country]=Table1[[#This Row],[Country]],Table1[FinalElo])))</f>
        <v>143.66034832022171</v>
      </c>
      <c r="AB385">
        <f>IF(Table1[[#This Row],[CStd]]=0,0, (Table1[[#This Row],[FinalElo]]-Table1[[#This Row],[CAvg]]) / Table1[[#This Row],[CStd]])</f>
        <v>-6.9291523797892857E-2</v>
      </c>
      <c r="AC385" t="str">
        <f>IF(Table1[[#This Row],[CStd]]=0,"Normal", IF(ABS(Table1[[#This Row],[CZscore]])&gt;2,"Outlier","Normal"))</f>
        <v>Normal</v>
      </c>
    </row>
    <row r="386" spans="1:29" x14ac:dyDescent="0.35">
      <c r="A386" t="s">
        <v>2088</v>
      </c>
      <c r="B386">
        <v>59.9</v>
      </c>
      <c r="C386">
        <v>175</v>
      </c>
      <c r="D386" t="s">
        <v>89</v>
      </c>
      <c r="E386">
        <v>27</v>
      </c>
      <c r="F386">
        <v>3</v>
      </c>
      <c r="G386" t="s">
        <v>34</v>
      </c>
      <c r="H386" t="s">
        <v>29</v>
      </c>
      <c r="I386" t="s">
        <v>58</v>
      </c>
      <c r="J386">
        <v>4</v>
      </c>
      <c r="K386">
        <v>5</v>
      </c>
      <c r="L386">
        <v>0</v>
      </c>
      <c r="M386">
        <v>0</v>
      </c>
      <c r="N386">
        <v>0</v>
      </c>
      <c r="O386">
        <v>0</v>
      </c>
      <c r="P386">
        <v>1</v>
      </c>
      <c r="Q386">
        <v>0</v>
      </c>
      <c r="R386">
        <v>2</v>
      </c>
      <c r="S386">
        <v>0</v>
      </c>
      <c r="T386">
        <v>0</v>
      </c>
      <c r="U386">
        <v>1</v>
      </c>
      <c r="V386">
        <v>0</v>
      </c>
      <c r="W386">
        <v>9</v>
      </c>
      <c r="X386">
        <v>894.48</v>
      </c>
      <c r="Y386">
        <v>1149.17</v>
      </c>
      <c r="Z386">
        <f>AVERAGEIFS(Table1[FinalElo], Table1[Country], Table1[[#This Row],[Country]])</f>
        <v>1012.0629025423733</v>
      </c>
      <c r="AA386" cm="1">
        <f t="array" ref="AA386">IF(COUNTIFS(Table1[Country],Table1[[#This Row],[Country]])=1,0, _xlfn.STDEV.S(IF(Table1[Country]=Table1[[#This Row],[Country]],Table1[FinalElo])))</f>
        <v>148.42180446198614</v>
      </c>
      <c r="AB386">
        <f>IF(Table1[[#This Row],[CStd]]=0,0, (Table1[[#This Row],[FinalElo]]-Table1[[#This Row],[CAvg]]) / Table1[[#This Row],[CStd]])</f>
        <v>-0.7922212168798195</v>
      </c>
      <c r="AC386" t="str">
        <f>IF(Table1[[#This Row],[CStd]]=0,"Normal", IF(ABS(Table1[[#This Row],[CZscore]])&gt;2,"Outlier","Normal"))</f>
        <v>Normal</v>
      </c>
    </row>
    <row r="387" spans="1:29" x14ac:dyDescent="0.35">
      <c r="A387" t="s">
        <v>2087</v>
      </c>
      <c r="B387">
        <v>65.8</v>
      </c>
      <c r="C387">
        <v>180</v>
      </c>
      <c r="D387" t="s">
        <v>89</v>
      </c>
      <c r="E387">
        <v>29</v>
      </c>
      <c r="F387" t="s">
        <v>519</v>
      </c>
      <c r="G387" t="s">
        <v>34</v>
      </c>
      <c r="H387" t="s">
        <v>29</v>
      </c>
      <c r="I387" t="s">
        <v>48</v>
      </c>
      <c r="J387">
        <v>1</v>
      </c>
      <c r="K387">
        <v>1</v>
      </c>
      <c r="L387">
        <v>0</v>
      </c>
      <c r="M387">
        <v>1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2</v>
      </c>
      <c r="X387">
        <v>1028.52</v>
      </c>
      <c r="Y387">
        <v>1174.75</v>
      </c>
      <c r="Z387">
        <f>AVERAGEIFS(Table1[FinalElo], Table1[Country], Table1[[#This Row],[Country]])</f>
        <v>1012.0629025423733</v>
      </c>
      <c r="AA387" cm="1">
        <f t="array" ref="AA387">IF(COUNTIFS(Table1[Country],Table1[[#This Row],[Country]])=1,0, _xlfn.STDEV.S(IF(Table1[Country]=Table1[[#This Row],[Country]],Table1[FinalElo])))</f>
        <v>148.42180446198614</v>
      </c>
      <c r="AB387">
        <f>IF(Table1[[#This Row],[CStd]]=0,0, (Table1[[#This Row],[FinalElo]]-Table1[[#This Row],[CAvg]]) / Table1[[#This Row],[CStd]])</f>
        <v>0.1108805914150011</v>
      </c>
      <c r="AC387" t="str">
        <f>IF(Table1[[#This Row],[CStd]]=0,"Normal", IF(ABS(Table1[[#This Row],[CZscore]])&gt;2,"Outlier","Normal"))</f>
        <v>Normal</v>
      </c>
    </row>
    <row r="388" spans="1:29" x14ac:dyDescent="0.35">
      <c r="A388" t="s">
        <v>2086</v>
      </c>
      <c r="B388">
        <v>53.070264000000002</v>
      </c>
      <c r="C388">
        <v>167</v>
      </c>
      <c r="D388" t="s">
        <v>89</v>
      </c>
      <c r="E388">
        <v>23</v>
      </c>
      <c r="F388" t="s">
        <v>1943</v>
      </c>
      <c r="G388" t="s">
        <v>34</v>
      </c>
      <c r="H388" t="s">
        <v>29</v>
      </c>
      <c r="I388" t="s">
        <v>36</v>
      </c>
      <c r="J388">
        <v>1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1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1</v>
      </c>
      <c r="X388">
        <v>1100</v>
      </c>
      <c r="Y388">
        <v>1100</v>
      </c>
      <c r="Z388">
        <f>AVERAGEIFS(Table1[FinalElo], Table1[Country], Table1[[#This Row],[Country]])</f>
        <v>1012.0629025423733</v>
      </c>
      <c r="AA388" cm="1">
        <f t="array" ref="AA388">IF(COUNTIFS(Table1[Country],Table1[[#This Row],[Country]])=1,0, _xlfn.STDEV.S(IF(Table1[Country]=Table1[[#This Row],[Country]],Table1[FinalElo])))</f>
        <v>148.42180446198614</v>
      </c>
      <c r="AB388">
        <f>IF(Table1[[#This Row],[CStd]]=0,0, (Table1[[#This Row],[FinalElo]]-Table1[[#This Row],[CAvg]]) / Table1[[#This Row],[CStd]])</f>
        <v>0.59248098873605315</v>
      </c>
      <c r="AC388" t="str">
        <f>IF(Table1[[#This Row],[CStd]]=0,"Normal", IF(ABS(Table1[[#This Row],[CZscore]])&gt;2,"Outlier","Normal"))</f>
        <v>Normal</v>
      </c>
    </row>
    <row r="389" spans="1:29" x14ac:dyDescent="0.35">
      <c r="A389" t="s">
        <v>2084</v>
      </c>
      <c r="B389">
        <v>61.23</v>
      </c>
      <c r="C389">
        <v>165</v>
      </c>
      <c r="D389" t="s">
        <v>89</v>
      </c>
      <c r="E389">
        <v>34</v>
      </c>
      <c r="F389" t="s">
        <v>2085</v>
      </c>
      <c r="G389" t="s">
        <v>34</v>
      </c>
      <c r="H389" t="s">
        <v>29</v>
      </c>
      <c r="I389" t="s">
        <v>73</v>
      </c>
      <c r="J389">
        <v>1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1</v>
      </c>
      <c r="X389">
        <v>1071.99</v>
      </c>
      <c r="Y389">
        <v>1071.99</v>
      </c>
      <c r="Z389">
        <f>AVERAGEIFS(Table1[FinalElo], Table1[Country], Table1[[#This Row],[Country]])</f>
        <v>1012.0629025423733</v>
      </c>
      <c r="AA389" cm="1">
        <f t="array" ref="AA389">IF(COUNTIFS(Table1[Country],Table1[[#This Row],[Country]])=1,0, _xlfn.STDEV.S(IF(Table1[Country]=Table1[[#This Row],[Country]],Table1[FinalElo])))</f>
        <v>148.42180446198614</v>
      </c>
      <c r="AB389">
        <f>IF(Table1[[#This Row],[CStd]]=0,0, (Table1[[#This Row],[FinalElo]]-Table1[[#This Row],[CAvg]]) / Table1[[#This Row],[CStd]])</f>
        <v>0.40376208654015694</v>
      </c>
      <c r="AC389" t="str">
        <f>IF(Table1[[#This Row],[CStd]]=0,"Normal", IF(ABS(Table1[[#This Row],[CZscore]])&gt;2,"Outlier","Normal"))</f>
        <v>Normal</v>
      </c>
    </row>
    <row r="390" spans="1:29" x14ac:dyDescent="0.35">
      <c r="A390" t="s">
        <v>2082</v>
      </c>
      <c r="B390">
        <v>65.400000000000006</v>
      </c>
      <c r="C390">
        <v>172</v>
      </c>
      <c r="D390" t="s">
        <v>82</v>
      </c>
      <c r="E390">
        <v>23</v>
      </c>
      <c r="F390" t="s">
        <v>2083</v>
      </c>
      <c r="G390" t="s">
        <v>28</v>
      </c>
      <c r="H390" t="s">
        <v>29</v>
      </c>
      <c r="I390" t="s">
        <v>73</v>
      </c>
      <c r="J390">
        <v>0</v>
      </c>
      <c r="K390">
        <v>1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1</v>
      </c>
      <c r="W390">
        <v>1</v>
      </c>
      <c r="X390">
        <v>871.99</v>
      </c>
      <c r="Y390">
        <v>1000</v>
      </c>
      <c r="Z390">
        <f>AVERAGEIFS(Table1[FinalElo], Table1[Country], Table1[[#This Row],[Country]])</f>
        <v>1012.5275373134326</v>
      </c>
      <c r="AA390" cm="1">
        <f t="array" ref="AA390">IF(COUNTIFS(Table1[Country],Table1[[#This Row],[Country]])=1,0, _xlfn.STDEV.S(IF(Table1[Country]=Table1[[#This Row],[Country]],Table1[FinalElo])))</f>
        <v>135.61062237674741</v>
      </c>
      <c r="AB390">
        <f>IF(Table1[[#This Row],[CStd]]=0,0, (Table1[[#This Row],[FinalElo]]-Table1[[#This Row],[CAvg]]) / Table1[[#This Row],[CStd]])</f>
        <v>-1.0363313348934973</v>
      </c>
      <c r="AC390" t="str">
        <f>IF(Table1[[#This Row],[CStd]]=0,"Normal", IF(ABS(Table1[[#This Row],[CZscore]])&gt;2,"Outlier","Normal"))</f>
        <v>Normal</v>
      </c>
    </row>
    <row r="391" spans="1:29" x14ac:dyDescent="0.35">
      <c r="A391" t="s">
        <v>2081</v>
      </c>
      <c r="B391">
        <v>50.6</v>
      </c>
      <c r="C391">
        <v>162</v>
      </c>
      <c r="D391" t="s">
        <v>358</v>
      </c>
      <c r="E391">
        <v>22</v>
      </c>
      <c r="F391" t="s">
        <v>535</v>
      </c>
      <c r="G391" t="s">
        <v>34</v>
      </c>
      <c r="H391" t="s">
        <v>29</v>
      </c>
      <c r="I391" t="s">
        <v>55</v>
      </c>
      <c r="J391">
        <v>4</v>
      </c>
      <c r="K391">
        <v>1</v>
      </c>
      <c r="L391">
        <v>0</v>
      </c>
      <c r="M391">
        <v>2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5</v>
      </c>
      <c r="X391">
        <v>1267.4100000000001</v>
      </c>
      <c r="Y391">
        <v>1267.4100000000001</v>
      </c>
      <c r="Z391">
        <f>AVERAGEIFS(Table1[FinalElo], Table1[Country], Table1[[#This Row],[Country]])</f>
        <v>974.61500000000012</v>
      </c>
      <c r="AA391" cm="1">
        <f t="array" ref="AA391">IF(COUNTIFS(Table1[Country],Table1[[#This Row],[Country]])=1,0, _xlfn.STDEV.S(IF(Table1[Country]=Table1[[#This Row],[Country]],Table1[FinalElo])))</f>
        <v>146.82246313768914</v>
      </c>
      <c r="AB391">
        <f>IF(Table1[[#This Row],[CStd]]=0,0, (Table1[[#This Row],[FinalElo]]-Table1[[#This Row],[CAvg]]) / Table1[[#This Row],[CStd]])</f>
        <v>1.9942111972703982</v>
      </c>
      <c r="AC391" t="str">
        <f>IF(Table1[[#This Row],[CStd]]=0,"Normal", IF(ABS(Table1[[#This Row],[CZscore]])&gt;2,"Outlier","Normal"))</f>
        <v>Normal</v>
      </c>
    </row>
    <row r="392" spans="1:29" x14ac:dyDescent="0.35">
      <c r="A392" t="s">
        <v>2079</v>
      </c>
      <c r="B392">
        <v>62.142104000000003</v>
      </c>
      <c r="C392">
        <v>172</v>
      </c>
      <c r="D392" t="s">
        <v>358</v>
      </c>
      <c r="E392">
        <v>23</v>
      </c>
      <c r="F392" t="s">
        <v>2080</v>
      </c>
      <c r="G392" t="s">
        <v>34</v>
      </c>
      <c r="H392" t="s">
        <v>29</v>
      </c>
      <c r="I392" t="s">
        <v>73</v>
      </c>
      <c r="J392">
        <v>0</v>
      </c>
      <c r="K392">
        <v>1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1</v>
      </c>
      <c r="X392">
        <v>900</v>
      </c>
      <c r="Y392">
        <v>1000</v>
      </c>
      <c r="Z392">
        <f>AVERAGEIFS(Table1[FinalElo], Table1[Country], Table1[[#This Row],[Country]])</f>
        <v>974.61500000000012</v>
      </c>
      <c r="AA392" cm="1">
        <f t="array" ref="AA392">IF(COUNTIFS(Table1[Country],Table1[[#This Row],[Country]])=1,0, _xlfn.STDEV.S(IF(Table1[Country]=Table1[[#This Row],[Country]],Table1[FinalElo])))</f>
        <v>146.82246313768914</v>
      </c>
      <c r="AB392">
        <f>IF(Table1[[#This Row],[CStd]]=0,0, (Table1[[#This Row],[FinalElo]]-Table1[[#This Row],[CAvg]]) / Table1[[#This Row],[CStd]])</f>
        <v>-0.50819880286320129</v>
      </c>
      <c r="AC392" t="str">
        <f>IF(Table1[[#This Row],[CStd]]=0,"Normal", IF(ABS(Table1[[#This Row],[CZscore]])&gt;2,"Outlier","Normal"))</f>
        <v>Normal</v>
      </c>
    </row>
    <row r="393" spans="1:29" x14ac:dyDescent="0.35">
      <c r="A393" t="s">
        <v>2077</v>
      </c>
      <c r="B393">
        <v>70.31</v>
      </c>
      <c r="C393">
        <v>180</v>
      </c>
      <c r="D393" t="s">
        <v>32</v>
      </c>
      <c r="E393">
        <v>37</v>
      </c>
      <c r="F393" t="s">
        <v>2078</v>
      </c>
      <c r="G393" t="s">
        <v>40</v>
      </c>
      <c r="H393" t="s">
        <v>29</v>
      </c>
      <c r="I393" t="s">
        <v>30</v>
      </c>
      <c r="J393">
        <v>1</v>
      </c>
      <c r="K393">
        <v>1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1</v>
      </c>
      <c r="R393">
        <v>1</v>
      </c>
      <c r="S393">
        <v>0</v>
      </c>
      <c r="T393">
        <v>0</v>
      </c>
      <c r="U393">
        <v>0</v>
      </c>
      <c r="V393">
        <v>0</v>
      </c>
      <c r="W393">
        <v>2</v>
      </c>
      <c r="X393">
        <v>1004.7</v>
      </c>
      <c r="Y393">
        <v>1100</v>
      </c>
      <c r="Z393">
        <f>AVERAGEIFS(Table1[FinalElo], Table1[Country], Table1[[#This Row],[Country]])</f>
        <v>1025.3786885245902</v>
      </c>
      <c r="AA393" cm="1">
        <f t="array" ref="AA393">IF(COUNTIFS(Table1[Country],Table1[[#This Row],[Country]])=1,0, _xlfn.STDEV.S(IF(Table1[Country]=Table1[[#This Row],[Country]],Table1[FinalElo])))</f>
        <v>144.71595558743479</v>
      </c>
      <c r="AB393">
        <f>IF(Table1[[#This Row],[CStd]]=0,0, (Table1[[#This Row],[FinalElo]]-Table1[[#This Row],[CAvg]]) / Table1[[#This Row],[CStd]])</f>
        <v>-0.14289155912802198</v>
      </c>
      <c r="AC393" t="str">
        <f>IF(Table1[[#This Row],[CStd]]=0,"Normal", IF(ABS(Table1[[#This Row],[CZscore]])&gt;2,"Outlier","Normal"))</f>
        <v>Normal</v>
      </c>
    </row>
    <row r="394" spans="1:29" x14ac:dyDescent="0.35">
      <c r="A394" t="s">
        <v>2076</v>
      </c>
      <c r="B394">
        <v>61.23</v>
      </c>
      <c r="C394">
        <v>178</v>
      </c>
      <c r="D394" t="s">
        <v>71</v>
      </c>
      <c r="E394">
        <v>32</v>
      </c>
      <c r="F394" t="s">
        <v>602</v>
      </c>
      <c r="G394" t="s">
        <v>40</v>
      </c>
      <c r="H394" t="s">
        <v>29</v>
      </c>
      <c r="I394" t="s">
        <v>73</v>
      </c>
      <c r="J394">
        <v>0</v>
      </c>
      <c r="K394">
        <v>2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1</v>
      </c>
      <c r="S394">
        <v>0</v>
      </c>
      <c r="T394">
        <v>0</v>
      </c>
      <c r="U394">
        <v>1</v>
      </c>
      <c r="V394">
        <v>0</v>
      </c>
      <c r="W394">
        <v>2</v>
      </c>
      <c r="X394">
        <v>828.01</v>
      </c>
      <c r="Y394">
        <v>1000</v>
      </c>
      <c r="Z394">
        <f>AVERAGEIFS(Table1[FinalElo], Table1[Country], Table1[[#This Row],[Country]])</f>
        <v>991.47826086956536</v>
      </c>
      <c r="AA394" cm="1">
        <f t="array" ref="AA394">IF(COUNTIFS(Table1[Country],Table1[[#This Row],[Country]])=1,0, _xlfn.STDEV.S(IF(Table1[Country]=Table1[[#This Row],[Country]],Table1[FinalElo])))</f>
        <v>164.61500422203164</v>
      </c>
      <c r="AB394">
        <f>IF(Table1[[#This Row],[CStd]]=0,0, (Table1[[#This Row],[FinalElo]]-Table1[[#This Row],[CAvg]]) / Table1[[#This Row],[CStd]])</f>
        <v>-0.99303378596692471</v>
      </c>
      <c r="AC394" t="str">
        <f>IF(Table1[[#This Row],[CStd]]=0,"Normal", IF(ABS(Table1[[#This Row],[CZscore]])&gt;2,"Outlier","Normal"))</f>
        <v>Normal</v>
      </c>
    </row>
    <row r="395" spans="1:29" x14ac:dyDescent="0.35">
      <c r="A395" t="s">
        <v>2074</v>
      </c>
      <c r="B395">
        <v>72.8</v>
      </c>
      <c r="C395">
        <v>180</v>
      </c>
      <c r="D395" t="s">
        <v>218</v>
      </c>
      <c r="E395">
        <v>25</v>
      </c>
      <c r="F395" t="s">
        <v>2075</v>
      </c>
      <c r="G395" t="s">
        <v>34</v>
      </c>
      <c r="H395" t="s">
        <v>29</v>
      </c>
      <c r="I395" t="s">
        <v>30</v>
      </c>
      <c r="J395">
        <v>3</v>
      </c>
      <c r="K395">
        <v>2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2</v>
      </c>
      <c r="V395">
        <v>0</v>
      </c>
      <c r="W395">
        <v>5</v>
      </c>
      <c r="X395">
        <v>950.81</v>
      </c>
      <c r="Y395">
        <v>1226.17</v>
      </c>
      <c r="Z395">
        <f>AVERAGEIFS(Table1[FinalElo], Table1[Country], Table1[[#This Row],[Country]])</f>
        <v>953.02272727272725</v>
      </c>
      <c r="AA395" cm="1">
        <f t="array" ref="AA395">IF(COUNTIFS(Table1[Country],Table1[[#This Row],[Country]])=1,0, _xlfn.STDEV.S(IF(Table1[Country]=Table1[[#This Row],[Country]],Table1[FinalElo])))</f>
        <v>75.051454894746612</v>
      </c>
      <c r="AB395">
        <f>IF(Table1[[#This Row],[CStd]]=0,0, (Table1[[#This Row],[FinalElo]]-Table1[[#This Row],[CAvg]]) / Table1[[#This Row],[CStd]])</f>
        <v>-2.9482803175907402E-2</v>
      </c>
      <c r="AC395" t="str">
        <f>IF(Table1[[#This Row],[CStd]]=0,"Normal", IF(ABS(Table1[[#This Row],[CZscore]])&gt;2,"Outlier","Normal"))</f>
        <v>Normal</v>
      </c>
    </row>
    <row r="396" spans="1:29" x14ac:dyDescent="0.35">
      <c r="A396" t="s">
        <v>2073</v>
      </c>
      <c r="B396">
        <v>57.606183999999999</v>
      </c>
      <c r="C396">
        <v>180</v>
      </c>
      <c r="D396" t="s">
        <v>82</v>
      </c>
      <c r="E396">
        <v>20</v>
      </c>
      <c r="F396" t="s">
        <v>2053</v>
      </c>
      <c r="G396" t="s">
        <v>34</v>
      </c>
      <c r="H396" t="s">
        <v>29</v>
      </c>
      <c r="I396" t="s">
        <v>58</v>
      </c>
      <c r="J396">
        <v>0</v>
      </c>
      <c r="K396">
        <v>1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1</v>
      </c>
      <c r="V396">
        <v>0</v>
      </c>
      <c r="W396">
        <v>1</v>
      </c>
      <c r="X396">
        <v>933</v>
      </c>
      <c r="Y396">
        <v>1000</v>
      </c>
      <c r="Z396">
        <f>AVERAGEIFS(Table1[FinalElo], Table1[Country], Table1[[#This Row],[Country]])</f>
        <v>1012.5275373134326</v>
      </c>
      <c r="AA396" cm="1">
        <f t="array" ref="AA396">IF(COUNTIFS(Table1[Country],Table1[[#This Row],[Country]])=1,0, _xlfn.STDEV.S(IF(Table1[Country]=Table1[[#This Row],[Country]],Table1[FinalElo])))</f>
        <v>135.61062237674741</v>
      </c>
      <c r="AB396">
        <f>IF(Table1[[#This Row],[CStd]]=0,0, (Table1[[#This Row],[FinalElo]]-Table1[[#This Row],[CAvg]]) / Table1[[#This Row],[CStd]])</f>
        <v>-0.58644032391867318</v>
      </c>
      <c r="AC396" t="str">
        <f>IF(Table1[[#This Row],[CStd]]=0,"Normal", IF(ABS(Table1[[#This Row],[CZscore]])&gt;2,"Outlier","Normal"))</f>
        <v>Normal</v>
      </c>
    </row>
    <row r="397" spans="1:29" x14ac:dyDescent="0.35">
      <c r="A397" t="s">
        <v>2071</v>
      </c>
      <c r="B397">
        <v>61.2</v>
      </c>
      <c r="C397">
        <v>165</v>
      </c>
      <c r="D397" t="s">
        <v>32</v>
      </c>
      <c r="E397">
        <v>26</v>
      </c>
      <c r="F397" t="s">
        <v>2072</v>
      </c>
      <c r="G397" t="s">
        <v>34</v>
      </c>
      <c r="H397" t="s">
        <v>29</v>
      </c>
      <c r="I397" t="s">
        <v>58</v>
      </c>
      <c r="J397">
        <v>2</v>
      </c>
      <c r="K397">
        <v>2</v>
      </c>
      <c r="L397">
        <v>0</v>
      </c>
      <c r="M397">
        <v>1</v>
      </c>
      <c r="N397">
        <v>0</v>
      </c>
      <c r="O397">
        <v>0</v>
      </c>
      <c r="P397">
        <v>0</v>
      </c>
      <c r="Q397">
        <v>1</v>
      </c>
      <c r="R397">
        <v>0</v>
      </c>
      <c r="S397">
        <v>0</v>
      </c>
      <c r="T397">
        <v>0</v>
      </c>
      <c r="U397">
        <v>2</v>
      </c>
      <c r="V397">
        <v>0</v>
      </c>
      <c r="W397">
        <v>4</v>
      </c>
      <c r="X397">
        <v>1012.33</v>
      </c>
      <c r="Y397">
        <v>1249.74</v>
      </c>
      <c r="Z397">
        <f>AVERAGEIFS(Table1[FinalElo], Table1[Country], Table1[[#This Row],[Country]])</f>
        <v>1025.3786885245902</v>
      </c>
      <c r="AA397" cm="1">
        <f t="array" ref="AA397">IF(COUNTIFS(Table1[Country],Table1[[#This Row],[Country]])=1,0, _xlfn.STDEV.S(IF(Table1[Country]=Table1[[#This Row],[Country]],Table1[FinalElo])))</f>
        <v>144.71595558743479</v>
      </c>
      <c r="AB397">
        <f>IF(Table1[[#This Row],[CStd]]=0,0, (Table1[[#This Row],[FinalElo]]-Table1[[#This Row],[CAvg]]) / Table1[[#This Row],[CStd]])</f>
        <v>-9.0167587061306204E-2</v>
      </c>
      <c r="AC397" t="str">
        <f>IF(Table1[[#This Row],[CStd]]=0,"Normal", IF(ABS(Table1[[#This Row],[CZscore]])&gt;2,"Outlier","Normal"))</f>
        <v>Normal</v>
      </c>
    </row>
    <row r="398" spans="1:29" x14ac:dyDescent="0.35">
      <c r="A398" t="s">
        <v>2069</v>
      </c>
      <c r="B398">
        <v>65.400000000000006</v>
      </c>
      <c r="C398">
        <v>178</v>
      </c>
      <c r="D398" t="s">
        <v>146</v>
      </c>
      <c r="E398">
        <v>25</v>
      </c>
      <c r="F398" t="s">
        <v>2070</v>
      </c>
      <c r="G398" t="s">
        <v>40</v>
      </c>
      <c r="H398" t="s">
        <v>29</v>
      </c>
      <c r="I398" t="s">
        <v>73</v>
      </c>
      <c r="J398">
        <v>0</v>
      </c>
      <c r="K398">
        <v>1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1</v>
      </c>
      <c r="X398">
        <v>900</v>
      </c>
      <c r="Y398">
        <v>1000</v>
      </c>
      <c r="Z398">
        <f>AVERAGEIFS(Table1[FinalElo], Table1[Country], Table1[[#This Row],[Country]])</f>
        <v>971.46103448275846</v>
      </c>
      <c r="AA398" cm="1">
        <f t="array" ref="AA398">IF(COUNTIFS(Table1[Country],Table1[[#This Row],[Country]])=1,0, _xlfn.STDEV.S(IF(Table1[Country]=Table1[[#This Row],[Country]],Table1[FinalElo])))</f>
        <v>107.62263899334665</v>
      </c>
      <c r="AB398">
        <f>IF(Table1[[#This Row],[CStd]]=0,0, (Table1[[#This Row],[FinalElo]]-Table1[[#This Row],[CAvg]]) / Table1[[#This Row],[CStd]])</f>
        <v>-0.66399630366967921</v>
      </c>
      <c r="AC398" t="str">
        <f>IF(Table1[[#This Row],[CStd]]=0,"Normal", IF(ABS(Table1[[#This Row],[CZscore]])&gt;2,"Outlier","Normal"))</f>
        <v>Normal</v>
      </c>
    </row>
    <row r="399" spans="1:29" x14ac:dyDescent="0.35">
      <c r="A399" t="s">
        <v>2067</v>
      </c>
      <c r="B399">
        <v>65.77</v>
      </c>
      <c r="C399">
        <v>170</v>
      </c>
      <c r="D399" t="s">
        <v>146</v>
      </c>
      <c r="E399">
        <v>30</v>
      </c>
      <c r="F399" t="s">
        <v>2068</v>
      </c>
      <c r="G399" t="s">
        <v>40</v>
      </c>
      <c r="H399" t="s">
        <v>29</v>
      </c>
      <c r="I399" t="s">
        <v>48</v>
      </c>
      <c r="J399">
        <v>0</v>
      </c>
      <c r="K399">
        <v>1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1</v>
      </c>
      <c r="S399">
        <v>0</v>
      </c>
      <c r="T399">
        <v>0</v>
      </c>
      <c r="U399">
        <v>0</v>
      </c>
      <c r="V399">
        <v>0</v>
      </c>
      <c r="W399">
        <v>1</v>
      </c>
      <c r="X399">
        <v>900</v>
      </c>
      <c r="Y399">
        <v>1000</v>
      </c>
      <c r="Z399">
        <f>AVERAGEIFS(Table1[FinalElo], Table1[Country], Table1[[#This Row],[Country]])</f>
        <v>971.46103448275846</v>
      </c>
      <c r="AA399" cm="1">
        <f t="array" ref="AA399">IF(COUNTIFS(Table1[Country],Table1[[#This Row],[Country]])=1,0, _xlfn.STDEV.S(IF(Table1[Country]=Table1[[#This Row],[Country]],Table1[FinalElo])))</f>
        <v>107.62263899334665</v>
      </c>
      <c r="AB399">
        <f>IF(Table1[[#This Row],[CStd]]=0,0, (Table1[[#This Row],[FinalElo]]-Table1[[#This Row],[CAvg]]) / Table1[[#This Row],[CStd]])</f>
        <v>-0.66399630366967921</v>
      </c>
      <c r="AC399" t="str">
        <f>IF(Table1[[#This Row],[CStd]]=0,"Normal", IF(ABS(Table1[[#This Row],[CZscore]])&gt;2,"Outlier","Normal"))</f>
        <v>Normal</v>
      </c>
    </row>
    <row r="400" spans="1:29" x14ac:dyDescent="0.35">
      <c r="A400" t="s">
        <v>2066</v>
      </c>
      <c r="B400">
        <v>69.399575999999996</v>
      </c>
      <c r="C400">
        <v>170</v>
      </c>
      <c r="D400" t="s">
        <v>89</v>
      </c>
      <c r="E400">
        <v>25</v>
      </c>
      <c r="F400" t="s">
        <v>535</v>
      </c>
      <c r="G400" t="s">
        <v>34</v>
      </c>
      <c r="H400" t="s">
        <v>29</v>
      </c>
      <c r="I400" t="s">
        <v>48</v>
      </c>
      <c r="J400">
        <v>0</v>
      </c>
      <c r="K400">
        <v>1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1</v>
      </c>
      <c r="S400">
        <v>0</v>
      </c>
      <c r="T400">
        <v>0</v>
      </c>
      <c r="U400">
        <v>0</v>
      </c>
      <c r="V400">
        <v>0</v>
      </c>
      <c r="W400">
        <v>1</v>
      </c>
      <c r="X400">
        <v>900</v>
      </c>
      <c r="Y400">
        <v>1000</v>
      </c>
      <c r="Z400">
        <f>AVERAGEIFS(Table1[FinalElo], Table1[Country], Table1[[#This Row],[Country]])</f>
        <v>1012.0629025423733</v>
      </c>
      <c r="AA400" cm="1">
        <f t="array" ref="AA400">IF(COUNTIFS(Table1[Country],Table1[[#This Row],[Country]])=1,0, _xlfn.STDEV.S(IF(Table1[Country]=Table1[[#This Row],[Country]],Table1[FinalElo])))</f>
        <v>148.42180446198614</v>
      </c>
      <c r="AB400">
        <f>IF(Table1[[#This Row],[CStd]]=0,0, (Table1[[#This Row],[FinalElo]]-Table1[[#This Row],[CAvg]]) / Table1[[#This Row],[CStd]])</f>
        <v>-0.75502991591154589</v>
      </c>
      <c r="AC400" t="str">
        <f>IF(Table1[[#This Row],[CStd]]=0,"Normal", IF(ABS(Table1[[#This Row],[CZscore]])&gt;2,"Outlier","Normal"))</f>
        <v>Normal</v>
      </c>
    </row>
    <row r="401" spans="1:29" x14ac:dyDescent="0.35">
      <c r="A401" t="s">
        <v>2064</v>
      </c>
      <c r="B401">
        <v>77</v>
      </c>
      <c r="C401">
        <v>177</v>
      </c>
      <c r="D401" t="s">
        <v>32</v>
      </c>
      <c r="E401">
        <v>-1</v>
      </c>
      <c r="F401" t="s">
        <v>2065</v>
      </c>
      <c r="G401" t="s">
        <v>54</v>
      </c>
      <c r="H401" t="s">
        <v>29</v>
      </c>
      <c r="I401" t="s">
        <v>30</v>
      </c>
      <c r="J401">
        <v>0</v>
      </c>
      <c r="K401">
        <v>1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1</v>
      </c>
      <c r="V401">
        <v>0</v>
      </c>
      <c r="W401">
        <v>1</v>
      </c>
      <c r="X401">
        <v>900</v>
      </c>
      <c r="Y401">
        <v>1000</v>
      </c>
      <c r="Z401">
        <f>AVERAGEIFS(Table1[FinalElo], Table1[Country], Table1[[#This Row],[Country]])</f>
        <v>1025.3786885245902</v>
      </c>
      <c r="AA401" cm="1">
        <f t="array" ref="AA401">IF(COUNTIFS(Table1[Country],Table1[[#This Row],[Country]])=1,0, _xlfn.STDEV.S(IF(Table1[Country]=Table1[[#This Row],[Country]],Table1[FinalElo])))</f>
        <v>144.71595558743479</v>
      </c>
      <c r="AB401">
        <f>IF(Table1[[#This Row],[CStd]]=0,0, (Table1[[#This Row],[FinalElo]]-Table1[[#This Row],[CAvg]]) / Table1[[#This Row],[CStd]])</f>
        <v>-0.86637778132791055</v>
      </c>
      <c r="AC401" t="str">
        <f>IF(Table1[[#This Row],[CStd]]=0,"Normal", IF(ABS(Table1[[#This Row],[CZscore]])&gt;2,"Outlier","Normal"))</f>
        <v>Normal</v>
      </c>
    </row>
    <row r="402" spans="1:29" x14ac:dyDescent="0.35">
      <c r="A402" t="s">
        <v>2063</v>
      </c>
      <c r="B402">
        <v>70.3</v>
      </c>
      <c r="C402">
        <v>177</v>
      </c>
      <c r="D402" t="s">
        <v>116</v>
      </c>
      <c r="E402">
        <v>27</v>
      </c>
      <c r="F402" t="s">
        <v>1662</v>
      </c>
      <c r="G402" t="s">
        <v>28</v>
      </c>
      <c r="H402" t="s">
        <v>29</v>
      </c>
      <c r="I402" t="s">
        <v>48</v>
      </c>
      <c r="J402">
        <v>1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1</v>
      </c>
      <c r="X402">
        <v>1087.83</v>
      </c>
      <c r="Y402">
        <v>1087.83</v>
      </c>
      <c r="Z402">
        <f>AVERAGEIFS(Table1[FinalElo], Table1[Country], Table1[[#This Row],[Country]])</f>
        <v>980.88090909090931</v>
      </c>
      <c r="AA402" cm="1">
        <f t="array" ref="AA402">IF(COUNTIFS(Table1[Country],Table1[[#This Row],[Country]])=1,0, _xlfn.STDEV.S(IF(Table1[Country]=Table1[[#This Row],[Country]],Table1[FinalElo])))</f>
        <v>133.41794796376408</v>
      </c>
      <c r="AB402">
        <f>IF(Table1[[#This Row],[CStd]]=0,0, (Table1[[#This Row],[FinalElo]]-Table1[[#This Row],[CAvg]]) / Table1[[#This Row],[CStd]])</f>
        <v>0.80160947264859506</v>
      </c>
      <c r="AC402" t="str">
        <f>IF(Table1[[#This Row],[CStd]]=0,"Normal", IF(ABS(Table1[[#This Row],[CZscore]])&gt;2,"Outlier","Normal"))</f>
        <v>Normal</v>
      </c>
    </row>
    <row r="403" spans="1:29" x14ac:dyDescent="0.35">
      <c r="A403" t="s">
        <v>2062</v>
      </c>
      <c r="B403">
        <v>63.1</v>
      </c>
      <c r="C403">
        <v>181</v>
      </c>
      <c r="D403" t="s">
        <v>82</v>
      </c>
      <c r="E403">
        <v>25</v>
      </c>
      <c r="F403" t="s">
        <v>1582</v>
      </c>
      <c r="G403" t="s">
        <v>34</v>
      </c>
      <c r="H403" t="s">
        <v>29</v>
      </c>
      <c r="I403" t="s">
        <v>73</v>
      </c>
      <c r="J403">
        <v>0</v>
      </c>
      <c r="K403">
        <v>1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1</v>
      </c>
      <c r="X403">
        <v>900</v>
      </c>
      <c r="Y403">
        <v>1000</v>
      </c>
      <c r="Z403">
        <f>AVERAGEIFS(Table1[FinalElo], Table1[Country], Table1[[#This Row],[Country]])</f>
        <v>1012.5275373134326</v>
      </c>
      <c r="AA403" cm="1">
        <f t="array" ref="AA403">IF(COUNTIFS(Table1[Country],Table1[[#This Row],[Country]])=1,0, _xlfn.STDEV.S(IF(Table1[Country]=Table1[[#This Row],[Country]],Table1[FinalElo])))</f>
        <v>135.61062237674741</v>
      </c>
      <c r="AB403">
        <f>IF(Table1[[#This Row],[CStd]]=0,0, (Table1[[#This Row],[FinalElo]]-Table1[[#This Row],[CAvg]]) / Table1[[#This Row],[CStd]])</f>
        <v>-0.82978409317238888</v>
      </c>
      <c r="AC403" t="str">
        <f>IF(Table1[[#This Row],[CStd]]=0,"Normal", IF(ABS(Table1[[#This Row],[CZscore]])&gt;2,"Outlier","Normal"))</f>
        <v>Normal</v>
      </c>
    </row>
    <row r="404" spans="1:29" x14ac:dyDescent="0.35">
      <c r="A404" t="s">
        <v>100</v>
      </c>
      <c r="B404">
        <v>77.099999999999994</v>
      </c>
      <c r="C404">
        <v>189</v>
      </c>
      <c r="D404" t="s">
        <v>101</v>
      </c>
      <c r="E404">
        <v>32</v>
      </c>
      <c r="F404" t="s">
        <v>102</v>
      </c>
      <c r="G404" t="s">
        <v>34</v>
      </c>
      <c r="H404" t="s">
        <v>29</v>
      </c>
      <c r="I404" t="s">
        <v>30</v>
      </c>
      <c r="J404">
        <v>13</v>
      </c>
      <c r="K404">
        <v>1</v>
      </c>
      <c r="L404">
        <v>0</v>
      </c>
      <c r="M404">
        <v>0</v>
      </c>
      <c r="N404">
        <v>0</v>
      </c>
      <c r="O404">
        <v>0</v>
      </c>
      <c r="P404">
        <v>6</v>
      </c>
      <c r="Q404">
        <v>2</v>
      </c>
      <c r="R404">
        <v>0</v>
      </c>
      <c r="S404">
        <v>0</v>
      </c>
      <c r="T404">
        <v>0</v>
      </c>
      <c r="U404">
        <v>1</v>
      </c>
      <c r="V404">
        <v>0</v>
      </c>
      <c r="W404">
        <v>14</v>
      </c>
      <c r="X404">
        <v>1521.99</v>
      </c>
      <c r="Y404">
        <v>1521.99</v>
      </c>
      <c r="Z404">
        <f>AVERAGEIFS(Table1[FinalElo], Table1[Country], Table1[[#This Row],[Country]])</f>
        <v>1521.99</v>
      </c>
      <c r="AA404" cm="1">
        <f t="array" ref="AA404">IF(COUNTIFS(Table1[Country],Table1[[#This Row],[Country]])=1,0, _xlfn.STDEV.S(IF(Table1[Country]=Table1[[#This Row],[Country]],Table1[FinalElo])))</f>
        <v>0</v>
      </c>
      <c r="AB404">
        <f>IF(Table1[[#This Row],[CStd]]=0,0, (Table1[[#This Row],[FinalElo]]-Table1[[#This Row],[CAvg]]) / Table1[[#This Row],[CStd]])</f>
        <v>0</v>
      </c>
      <c r="AC404" t="str">
        <f>IF(Table1[[#This Row],[CStd]]=0,"Normal", IF(ABS(Table1[[#This Row],[CZscore]])&gt;2,"Outlier","Normal"))</f>
        <v>Normal</v>
      </c>
    </row>
    <row r="405" spans="1:29" x14ac:dyDescent="0.35">
      <c r="A405" t="s">
        <v>2060</v>
      </c>
      <c r="B405">
        <v>61.2</v>
      </c>
      <c r="C405">
        <v>168</v>
      </c>
      <c r="D405" t="s">
        <v>174</v>
      </c>
      <c r="E405">
        <v>33</v>
      </c>
      <c r="F405" t="s">
        <v>2061</v>
      </c>
      <c r="G405" t="s">
        <v>40</v>
      </c>
      <c r="H405" t="s">
        <v>29</v>
      </c>
      <c r="I405" t="s">
        <v>58</v>
      </c>
      <c r="J405">
        <v>11</v>
      </c>
      <c r="K405">
        <v>6</v>
      </c>
      <c r="L405">
        <v>0</v>
      </c>
      <c r="M405">
        <v>1</v>
      </c>
      <c r="N405">
        <v>5</v>
      </c>
      <c r="O405">
        <v>0</v>
      </c>
      <c r="P405">
        <v>1</v>
      </c>
      <c r="Q405">
        <v>3</v>
      </c>
      <c r="R405">
        <v>0</v>
      </c>
      <c r="S405">
        <v>0</v>
      </c>
      <c r="T405">
        <v>0</v>
      </c>
      <c r="U405">
        <v>3</v>
      </c>
      <c r="V405">
        <v>2</v>
      </c>
      <c r="W405">
        <v>17</v>
      </c>
      <c r="X405">
        <v>1499.81</v>
      </c>
      <c r="Y405">
        <v>1499.81</v>
      </c>
      <c r="Z405">
        <f>AVERAGEIFS(Table1[FinalElo], Table1[Country], Table1[[#This Row],[Country]])</f>
        <v>980.52444444444427</v>
      </c>
      <c r="AA405" cm="1">
        <f t="array" ref="AA405">IF(COUNTIFS(Table1[Country],Table1[[#This Row],[Country]])=1,0, _xlfn.STDEV.S(IF(Table1[Country]=Table1[[#This Row],[Country]],Table1[FinalElo])))</f>
        <v>143.66034832022171</v>
      </c>
      <c r="AB405">
        <f>IF(Table1[[#This Row],[CStd]]=0,0, (Table1[[#This Row],[FinalElo]]-Table1[[#This Row],[CAvg]]) / Table1[[#This Row],[CStd]])</f>
        <v>3.6146755985726697</v>
      </c>
      <c r="AC405" t="str">
        <f>IF(Table1[[#This Row],[CStd]]=0,"Normal", IF(ABS(Table1[[#This Row],[CZscore]])&gt;2,"Outlier","Normal"))</f>
        <v>Outlier</v>
      </c>
    </row>
    <row r="406" spans="1:29" x14ac:dyDescent="0.35">
      <c r="A406" t="s">
        <v>2059</v>
      </c>
      <c r="B406">
        <v>53.1</v>
      </c>
      <c r="C406">
        <v>167</v>
      </c>
      <c r="D406" t="s">
        <v>89</v>
      </c>
      <c r="E406">
        <v>18</v>
      </c>
      <c r="F406" t="s">
        <v>612</v>
      </c>
      <c r="G406" t="s">
        <v>34</v>
      </c>
      <c r="H406" t="s">
        <v>29</v>
      </c>
      <c r="I406" t="s">
        <v>36</v>
      </c>
      <c r="J406">
        <v>1</v>
      </c>
      <c r="K406">
        <v>1</v>
      </c>
      <c r="L406">
        <v>0</v>
      </c>
      <c r="M406">
        <v>0</v>
      </c>
      <c r="N406">
        <v>0</v>
      </c>
      <c r="O406">
        <v>0</v>
      </c>
      <c r="P406">
        <v>1</v>
      </c>
      <c r="Q406">
        <v>0</v>
      </c>
      <c r="R406">
        <v>0</v>
      </c>
      <c r="S406">
        <v>0</v>
      </c>
      <c r="T406">
        <v>0</v>
      </c>
      <c r="U406">
        <v>1</v>
      </c>
      <c r="V406">
        <v>0</v>
      </c>
      <c r="W406">
        <v>2</v>
      </c>
      <c r="X406">
        <v>992.75</v>
      </c>
      <c r="Y406">
        <v>1128.01</v>
      </c>
      <c r="Z406">
        <f>AVERAGEIFS(Table1[FinalElo], Table1[Country], Table1[[#This Row],[Country]])</f>
        <v>1012.0629025423733</v>
      </c>
      <c r="AA406" cm="1">
        <f t="array" ref="AA406">IF(COUNTIFS(Table1[Country],Table1[[#This Row],[Country]])=1,0, _xlfn.STDEV.S(IF(Table1[Country]=Table1[[#This Row],[Country]],Table1[FinalElo])))</f>
        <v>148.42180446198614</v>
      </c>
      <c r="AB406">
        <f>IF(Table1[[#This Row],[CStd]]=0,0, (Table1[[#This Row],[FinalElo]]-Table1[[#This Row],[CAvg]]) / Table1[[#This Row],[CStd]])</f>
        <v>-0.13012173388122186</v>
      </c>
      <c r="AC406" t="str">
        <f>IF(Table1[[#This Row],[CStd]]=0,"Normal", IF(ABS(Table1[[#This Row],[CZscore]])&gt;2,"Outlier","Normal"))</f>
        <v>Normal</v>
      </c>
    </row>
    <row r="407" spans="1:29" x14ac:dyDescent="0.35">
      <c r="A407" t="s">
        <v>2057</v>
      </c>
      <c r="B407">
        <v>53.7</v>
      </c>
      <c r="C407">
        <v>170</v>
      </c>
      <c r="D407" t="s">
        <v>89</v>
      </c>
      <c r="E407">
        <v>23</v>
      </c>
      <c r="F407" t="s">
        <v>2058</v>
      </c>
      <c r="G407" t="s">
        <v>34</v>
      </c>
      <c r="H407" t="s">
        <v>29</v>
      </c>
      <c r="I407" t="s">
        <v>36</v>
      </c>
      <c r="J407">
        <v>0</v>
      </c>
      <c r="K407">
        <v>1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1</v>
      </c>
      <c r="X407">
        <v>920.43</v>
      </c>
      <c r="Y407">
        <v>1000</v>
      </c>
      <c r="Z407">
        <f>AVERAGEIFS(Table1[FinalElo], Table1[Country], Table1[[#This Row],[Country]])</f>
        <v>1012.0629025423733</v>
      </c>
      <c r="AA407" cm="1">
        <f t="array" ref="AA407">IF(COUNTIFS(Table1[Country],Table1[[#This Row],[Country]])=1,0, _xlfn.STDEV.S(IF(Table1[Country]=Table1[[#This Row],[Country]],Table1[FinalElo])))</f>
        <v>148.42180446198614</v>
      </c>
      <c r="AB407">
        <f>IF(Table1[[#This Row],[CStd]]=0,0, (Table1[[#This Row],[FinalElo]]-Table1[[#This Row],[CAvg]]) / Table1[[#This Row],[CStd]])</f>
        <v>-0.61738167700179403</v>
      </c>
      <c r="AC407" t="str">
        <f>IF(Table1[[#This Row],[CStd]]=0,"Normal", IF(ABS(Table1[[#This Row],[CZscore]])&gt;2,"Outlier","Normal"))</f>
        <v>Normal</v>
      </c>
    </row>
    <row r="408" spans="1:29" x14ac:dyDescent="0.35">
      <c r="A408" t="s">
        <v>2054</v>
      </c>
      <c r="B408">
        <v>45.359200000000001</v>
      </c>
      <c r="C408">
        <v>157</v>
      </c>
      <c r="D408" t="s">
        <v>116</v>
      </c>
      <c r="E408">
        <v>19</v>
      </c>
      <c r="F408" t="s">
        <v>1455</v>
      </c>
      <c r="G408" t="s">
        <v>28</v>
      </c>
      <c r="H408" t="s">
        <v>29</v>
      </c>
      <c r="I408" t="s">
        <v>55</v>
      </c>
      <c r="J408">
        <v>0</v>
      </c>
      <c r="K408">
        <v>2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2</v>
      </c>
      <c r="V408">
        <v>0</v>
      </c>
      <c r="W408">
        <v>2</v>
      </c>
      <c r="X408">
        <v>848.44</v>
      </c>
      <c r="Y408">
        <v>1000</v>
      </c>
      <c r="Z408">
        <f>AVERAGEIFS(Table1[FinalElo], Table1[Country], Table1[[#This Row],[Country]])</f>
        <v>980.88090909090931</v>
      </c>
      <c r="AA408" cm="1">
        <f t="array" ref="AA408">IF(COUNTIFS(Table1[Country],Table1[[#This Row],[Country]])=1,0, _xlfn.STDEV.S(IF(Table1[Country]=Table1[[#This Row],[Country]],Table1[FinalElo])))</f>
        <v>133.41794796376408</v>
      </c>
      <c r="AB408">
        <f>IF(Table1[[#This Row],[CStd]]=0,0, (Table1[[#This Row],[FinalElo]]-Table1[[#This Row],[CAvg]]) / Table1[[#This Row],[CStd]])</f>
        <v>-0.99267685579214437</v>
      </c>
      <c r="AC408" t="str">
        <f>IF(Table1[[#This Row],[CStd]]=0,"Normal", IF(ABS(Table1[[#This Row],[CZscore]])&gt;2,"Outlier","Normal"))</f>
        <v>Normal</v>
      </c>
    </row>
    <row r="409" spans="1:29" x14ac:dyDescent="0.35">
      <c r="A409" t="s">
        <v>2052</v>
      </c>
      <c r="B409">
        <v>61.1</v>
      </c>
      <c r="C409">
        <v>175</v>
      </c>
      <c r="D409" t="s">
        <v>82</v>
      </c>
      <c r="E409">
        <v>24</v>
      </c>
      <c r="F409" t="s">
        <v>2053</v>
      </c>
      <c r="G409" t="s">
        <v>34</v>
      </c>
      <c r="H409" t="s">
        <v>29</v>
      </c>
      <c r="I409" t="s">
        <v>58</v>
      </c>
      <c r="J409">
        <v>0</v>
      </c>
      <c r="K409">
        <v>1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1</v>
      </c>
      <c r="V409">
        <v>0</v>
      </c>
      <c r="W409">
        <v>1</v>
      </c>
      <c r="X409">
        <v>900</v>
      </c>
      <c r="Y409">
        <v>1000</v>
      </c>
      <c r="Z409">
        <f>AVERAGEIFS(Table1[FinalElo], Table1[Country], Table1[[#This Row],[Country]])</f>
        <v>1012.5275373134326</v>
      </c>
      <c r="AA409" cm="1">
        <f t="array" ref="AA409">IF(COUNTIFS(Table1[Country],Table1[[#This Row],[Country]])=1,0, _xlfn.STDEV.S(IF(Table1[Country]=Table1[[#This Row],[Country]],Table1[FinalElo])))</f>
        <v>135.61062237674741</v>
      </c>
      <c r="AB409">
        <f>IF(Table1[[#This Row],[CStd]]=0,0, (Table1[[#This Row],[FinalElo]]-Table1[[#This Row],[CAvg]]) / Table1[[#This Row],[CStd]])</f>
        <v>-0.82978409317238888</v>
      </c>
      <c r="AC409" t="str">
        <f>IF(Table1[[#This Row],[CStd]]=0,"Normal", IF(ABS(Table1[[#This Row],[CZscore]])&gt;2,"Outlier","Normal"))</f>
        <v>Normal</v>
      </c>
    </row>
    <row r="410" spans="1:29" x14ac:dyDescent="0.35">
      <c r="A410" t="s">
        <v>2050</v>
      </c>
      <c r="B410">
        <v>57.8</v>
      </c>
      <c r="C410">
        <v>160</v>
      </c>
      <c r="D410" t="s">
        <v>89</v>
      </c>
      <c r="E410">
        <v>28</v>
      </c>
      <c r="F410" t="s">
        <v>2051</v>
      </c>
      <c r="G410" t="s">
        <v>34</v>
      </c>
      <c r="H410" t="s">
        <v>29</v>
      </c>
      <c r="I410" t="s">
        <v>58</v>
      </c>
      <c r="J410">
        <v>8</v>
      </c>
      <c r="K410">
        <v>3</v>
      </c>
      <c r="L410">
        <v>0</v>
      </c>
      <c r="M410">
        <v>1</v>
      </c>
      <c r="N410">
        <v>0</v>
      </c>
      <c r="O410">
        <v>0</v>
      </c>
      <c r="P410">
        <v>3</v>
      </c>
      <c r="Q410">
        <v>1</v>
      </c>
      <c r="R410">
        <v>0</v>
      </c>
      <c r="S410">
        <v>0</v>
      </c>
      <c r="T410">
        <v>0</v>
      </c>
      <c r="U410">
        <v>1</v>
      </c>
      <c r="V410">
        <v>0</v>
      </c>
      <c r="W410">
        <v>11</v>
      </c>
      <c r="X410">
        <v>1149.4100000000001</v>
      </c>
      <c r="Y410">
        <v>1303.3399999999999</v>
      </c>
      <c r="Z410">
        <f>AVERAGEIFS(Table1[FinalElo], Table1[Country], Table1[[#This Row],[Country]])</f>
        <v>1012.0629025423733</v>
      </c>
      <c r="AA410" cm="1">
        <f t="array" ref="AA410">IF(COUNTIFS(Table1[Country],Table1[[#This Row],[Country]])=1,0, _xlfn.STDEV.S(IF(Table1[Country]=Table1[[#This Row],[Country]],Table1[FinalElo])))</f>
        <v>148.42180446198614</v>
      </c>
      <c r="AB410">
        <f>IF(Table1[[#This Row],[CStd]]=0,0, (Table1[[#This Row],[FinalElo]]-Table1[[#This Row],[CAvg]]) / Table1[[#This Row],[CStd]])</f>
        <v>0.92538355772924308</v>
      </c>
      <c r="AC410" t="str">
        <f>IF(Table1[[#This Row],[CStd]]=0,"Normal", IF(ABS(Table1[[#This Row],[CZscore]])&gt;2,"Outlier","Normal"))</f>
        <v>Normal</v>
      </c>
    </row>
    <row r="411" spans="1:29" x14ac:dyDescent="0.35">
      <c r="A411" t="s">
        <v>2049</v>
      </c>
      <c r="B411">
        <v>65.400000000000006</v>
      </c>
      <c r="C411">
        <v>173</v>
      </c>
      <c r="D411" t="s">
        <v>89</v>
      </c>
      <c r="E411">
        <v>22</v>
      </c>
      <c r="F411" t="s">
        <v>341</v>
      </c>
      <c r="G411" t="s">
        <v>34</v>
      </c>
      <c r="H411" t="s">
        <v>29</v>
      </c>
      <c r="I411" t="s">
        <v>73</v>
      </c>
      <c r="J411">
        <v>5</v>
      </c>
      <c r="K411">
        <v>2</v>
      </c>
      <c r="L411">
        <v>0</v>
      </c>
      <c r="M411">
        <v>1</v>
      </c>
      <c r="N411">
        <v>0</v>
      </c>
      <c r="O411">
        <v>0</v>
      </c>
      <c r="P411">
        <v>2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1</v>
      </c>
      <c r="W411">
        <v>7</v>
      </c>
      <c r="X411">
        <v>1299.3900000000001</v>
      </c>
      <c r="Y411">
        <v>1299.3900000000001</v>
      </c>
      <c r="Z411">
        <f>AVERAGEIFS(Table1[FinalElo], Table1[Country], Table1[[#This Row],[Country]])</f>
        <v>1012.0629025423733</v>
      </c>
      <c r="AA411" cm="1">
        <f t="array" ref="AA411">IF(COUNTIFS(Table1[Country],Table1[[#This Row],[Country]])=1,0, _xlfn.STDEV.S(IF(Table1[Country]=Table1[[#This Row],[Country]],Table1[FinalElo])))</f>
        <v>148.42180446198614</v>
      </c>
      <c r="AB411">
        <f>IF(Table1[[#This Row],[CStd]]=0,0, (Table1[[#This Row],[FinalElo]]-Table1[[#This Row],[CAvg]]) / Table1[[#This Row],[CStd]])</f>
        <v>1.9358819851244777</v>
      </c>
      <c r="AC411" t="str">
        <f>IF(Table1[[#This Row],[CStd]]=0,"Normal", IF(ABS(Table1[[#This Row],[CZscore]])&gt;2,"Outlier","Normal"))</f>
        <v>Normal</v>
      </c>
    </row>
    <row r="412" spans="1:29" x14ac:dyDescent="0.35">
      <c r="A412" t="s">
        <v>2047</v>
      </c>
      <c r="B412">
        <v>61.23</v>
      </c>
      <c r="C412">
        <v>174</v>
      </c>
      <c r="D412" t="s">
        <v>89</v>
      </c>
      <c r="E412">
        <v>34</v>
      </c>
      <c r="F412" t="s">
        <v>2048</v>
      </c>
      <c r="G412" t="s">
        <v>34</v>
      </c>
      <c r="H412" t="s">
        <v>29</v>
      </c>
      <c r="I412" t="s">
        <v>73</v>
      </c>
      <c r="J412">
        <v>0</v>
      </c>
      <c r="K412">
        <v>3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2</v>
      </c>
      <c r="V412">
        <v>0</v>
      </c>
      <c r="W412">
        <v>3</v>
      </c>
      <c r="X412">
        <v>758.5</v>
      </c>
      <c r="Y412">
        <v>1000</v>
      </c>
      <c r="Z412">
        <f>AVERAGEIFS(Table1[FinalElo], Table1[Country], Table1[[#This Row],[Country]])</f>
        <v>1012.0629025423733</v>
      </c>
      <c r="AA412" cm="1">
        <f t="array" ref="AA412">IF(COUNTIFS(Table1[Country],Table1[[#This Row],[Country]])=1,0, _xlfn.STDEV.S(IF(Table1[Country]=Table1[[#This Row],[Country]],Table1[FinalElo])))</f>
        <v>148.42180446198614</v>
      </c>
      <c r="AB412">
        <f>IF(Table1[[#This Row],[CStd]]=0,0, (Table1[[#This Row],[FinalElo]]-Table1[[#This Row],[CAvg]]) / Table1[[#This Row],[CStd]])</f>
        <v>-1.7083938809497223</v>
      </c>
      <c r="AC412" t="str">
        <f>IF(Table1[[#This Row],[CStd]]=0,"Normal", IF(ABS(Table1[[#This Row],[CZscore]])&gt;2,"Outlier","Normal"))</f>
        <v>Normal</v>
      </c>
    </row>
    <row r="413" spans="1:29" x14ac:dyDescent="0.35">
      <c r="A413" t="s">
        <v>2046</v>
      </c>
      <c r="B413">
        <v>65.77</v>
      </c>
      <c r="C413">
        <v>175</v>
      </c>
      <c r="D413" t="s">
        <v>38</v>
      </c>
      <c r="E413">
        <v>23</v>
      </c>
      <c r="F413" t="s">
        <v>87</v>
      </c>
      <c r="G413" t="s">
        <v>40</v>
      </c>
      <c r="H413" t="s">
        <v>29</v>
      </c>
      <c r="I413" t="s">
        <v>48</v>
      </c>
      <c r="J413">
        <v>1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1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1</v>
      </c>
      <c r="X413">
        <v>1071.99</v>
      </c>
      <c r="Y413">
        <v>1071.99</v>
      </c>
      <c r="Z413">
        <f>AVERAGEIFS(Table1[FinalElo], Table1[Country], Table1[[#This Row],[Country]])</f>
        <v>1057.4495402298851</v>
      </c>
      <c r="AA413" cm="1">
        <f t="array" ref="AA413">IF(COUNTIFS(Table1[Country],Table1[[#This Row],[Country]])=1,0, _xlfn.STDEV.S(IF(Table1[Country]=Table1[[#This Row],[Country]],Table1[FinalElo])))</f>
        <v>156.98667602259493</v>
      </c>
      <c r="AB413">
        <f>IF(Table1[[#This Row],[CStd]]=0,0, (Table1[[#This Row],[FinalElo]]-Table1[[#This Row],[CAvg]]) / Table1[[#This Row],[CStd]])</f>
        <v>9.2622253929512635E-2</v>
      </c>
      <c r="AC413" t="str">
        <f>IF(Table1[[#This Row],[CStd]]=0,"Normal", IF(ABS(Table1[[#This Row],[CZscore]])&gt;2,"Outlier","Normal"))</f>
        <v>Normal</v>
      </c>
    </row>
    <row r="414" spans="1:29" x14ac:dyDescent="0.35">
      <c r="A414" t="s">
        <v>2044</v>
      </c>
      <c r="B414">
        <v>65.77</v>
      </c>
      <c r="C414">
        <v>182</v>
      </c>
      <c r="D414" t="s">
        <v>38</v>
      </c>
      <c r="E414">
        <v>23</v>
      </c>
      <c r="F414" t="s">
        <v>2045</v>
      </c>
      <c r="G414" t="s">
        <v>40</v>
      </c>
      <c r="H414" t="s">
        <v>29</v>
      </c>
      <c r="I414" t="s">
        <v>48</v>
      </c>
      <c r="J414">
        <v>0</v>
      </c>
      <c r="K414">
        <v>1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1</v>
      </c>
      <c r="W414">
        <v>1</v>
      </c>
      <c r="X414">
        <v>900</v>
      </c>
      <c r="Y414">
        <v>1000</v>
      </c>
      <c r="Z414">
        <f>AVERAGEIFS(Table1[FinalElo], Table1[Country], Table1[[#This Row],[Country]])</f>
        <v>1057.4495402298851</v>
      </c>
      <c r="AA414" cm="1">
        <f t="array" ref="AA414">IF(COUNTIFS(Table1[Country],Table1[[#This Row],[Country]])=1,0, _xlfn.STDEV.S(IF(Table1[Country]=Table1[[#This Row],[Country]],Table1[FinalElo])))</f>
        <v>156.98667602259493</v>
      </c>
      <c r="AB414">
        <f>IF(Table1[[#This Row],[CStd]]=0,0, (Table1[[#This Row],[FinalElo]]-Table1[[#This Row],[CAvg]]) / Table1[[#This Row],[CStd]])</f>
        <v>-1.0029484298860085</v>
      </c>
      <c r="AC414" t="str">
        <f>IF(Table1[[#This Row],[CStd]]=0,"Normal", IF(ABS(Table1[[#This Row],[CZscore]])&gt;2,"Outlier","Normal"))</f>
        <v>Normal</v>
      </c>
    </row>
    <row r="415" spans="1:29" x14ac:dyDescent="0.35">
      <c r="A415" t="s">
        <v>2043</v>
      </c>
      <c r="B415">
        <v>52.16</v>
      </c>
      <c r="C415">
        <v>168</v>
      </c>
      <c r="D415" t="s">
        <v>132</v>
      </c>
      <c r="E415">
        <v>18</v>
      </c>
      <c r="F415" t="s">
        <v>133</v>
      </c>
      <c r="G415" t="s">
        <v>34</v>
      </c>
      <c r="H415" t="s">
        <v>29</v>
      </c>
      <c r="I415" t="s">
        <v>36</v>
      </c>
      <c r="J415">
        <v>4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2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4</v>
      </c>
      <c r="X415">
        <v>1445.93</v>
      </c>
      <c r="Y415">
        <v>1445.93</v>
      </c>
      <c r="Z415">
        <f>AVERAGEIFS(Table1[FinalElo], Table1[Country], Table1[[#This Row],[Country]])</f>
        <v>1177.8375000000001</v>
      </c>
      <c r="AA415" cm="1">
        <f t="array" ref="AA415">IF(COUNTIFS(Table1[Country],Table1[[#This Row],[Country]])=1,0, _xlfn.STDEV.S(IF(Table1[Country]=Table1[[#This Row],[Country]],Table1[FinalElo])))</f>
        <v>270.87013535087192</v>
      </c>
      <c r="AB415">
        <f>IF(Table1[[#This Row],[CStd]]=0,0, (Table1[[#This Row],[FinalElo]]-Table1[[#This Row],[CAvg]]) / Table1[[#This Row],[CStd]])</f>
        <v>0.98974550905261693</v>
      </c>
      <c r="AC415" t="str">
        <f>IF(Table1[[#This Row],[CStd]]=0,"Normal", IF(ABS(Table1[[#This Row],[CZscore]])&gt;2,"Outlier","Normal"))</f>
        <v>Normal</v>
      </c>
    </row>
    <row r="416" spans="1:29" x14ac:dyDescent="0.35">
      <c r="A416" t="s">
        <v>2042</v>
      </c>
      <c r="B416">
        <v>63</v>
      </c>
      <c r="C416">
        <v>178</v>
      </c>
      <c r="D416" t="s">
        <v>89</v>
      </c>
      <c r="E416">
        <v>22</v>
      </c>
      <c r="F416" t="s">
        <v>492</v>
      </c>
      <c r="G416" t="s">
        <v>34</v>
      </c>
      <c r="H416" t="s">
        <v>29</v>
      </c>
      <c r="I416" t="s">
        <v>73</v>
      </c>
      <c r="J416">
        <v>0</v>
      </c>
      <c r="K416">
        <v>1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1</v>
      </c>
      <c r="V416">
        <v>0</v>
      </c>
      <c r="W416">
        <v>1</v>
      </c>
      <c r="X416">
        <v>897.45</v>
      </c>
      <c r="Y416">
        <v>1000</v>
      </c>
      <c r="Z416">
        <f>AVERAGEIFS(Table1[FinalElo], Table1[Country], Table1[[#This Row],[Country]])</f>
        <v>1012.0629025423733</v>
      </c>
      <c r="AA416" cm="1">
        <f t="array" ref="AA416">IF(COUNTIFS(Table1[Country],Table1[[#This Row],[Country]])=1,0, _xlfn.STDEV.S(IF(Table1[Country]=Table1[[#This Row],[Country]],Table1[FinalElo])))</f>
        <v>148.42180446198614</v>
      </c>
      <c r="AB416">
        <f>IF(Table1[[#This Row],[CStd]]=0,0, (Table1[[#This Row],[FinalElo]]-Table1[[#This Row],[CAvg]]) / Table1[[#This Row],[CStd]])</f>
        <v>-0.7722106799458025</v>
      </c>
      <c r="AC416" t="str">
        <f>IF(Table1[[#This Row],[CStd]]=0,"Normal", IF(ABS(Table1[[#This Row],[CZscore]])&gt;2,"Outlier","Normal"))</f>
        <v>Normal</v>
      </c>
    </row>
    <row r="417" spans="1:29" x14ac:dyDescent="0.35">
      <c r="A417" t="s">
        <v>2040</v>
      </c>
      <c r="B417">
        <v>55.5</v>
      </c>
      <c r="C417">
        <v>173</v>
      </c>
      <c r="D417" t="s">
        <v>89</v>
      </c>
      <c r="E417">
        <v>20</v>
      </c>
      <c r="F417" t="s">
        <v>2041</v>
      </c>
      <c r="G417" t="s">
        <v>34</v>
      </c>
      <c r="H417" t="s">
        <v>29</v>
      </c>
      <c r="I417" t="s">
        <v>36</v>
      </c>
      <c r="J417">
        <v>1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1</v>
      </c>
      <c r="X417">
        <v>1100</v>
      </c>
      <c r="Y417">
        <v>1100</v>
      </c>
      <c r="Z417">
        <f>AVERAGEIFS(Table1[FinalElo], Table1[Country], Table1[[#This Row],[Country]])</f>
        <v>1012.0629025423733</v>
      </c>
      <c r="AA417" cm="1">
        <f t="array" ref="AA417">IF(COUNTIFS(Table1[Country],Table1[[#This Row],[Country]])=1,0, _xlfn.STDEV.S(IF(Table1[Country]=Table1[[#This Row],[Country]],Table1[FinalElo])))</f>
        <v>148.42180446198614</v>
      </c>
      <c r="AB417">
        <f>IF(Table1[[#This Row],[CStd]]=0,0, (Table1[[#This Row],[FinalElo]]-Table1[[#This Row],[CAvg]]) / Table1[[#This Row],[CStd]])</f>
        <v>0.59248098873605315</v>
      </c>
      <c r="AC417" t="str">
        <f>IF(Table1[[#This Row],[CStd]]=0,"Normal", IF(ABS(Table1[[#This Row],[CZscore]])&gt;2,"Outlier","Normal"))</f>
        <v>Normal</v>
      </c>
    </row>
    <row r="418" spans="1:29" x14ac:dyDescent="0.35">
      <c r="A418" t="s">
        <v>2039</v>
      </c>
      <c r="B418">
        <v>47.63</v>
      </c>
      <c r="C418">
        <v>164</v>
      </c>
      <c r="D418" t="s">
        <v>89</v>
      </c>
      <c r="E418">
        <v>24</v>
      </c>
      <c r="F418" t="s">
        <v>830</v>
      </c>
      <c r="G418" t="s">
        <v>34</v>
      </c>
      <c r="H418" t="s">
        <v>29</v>
      </c>
      <c r="I418" t="s">
        <v>55</v>
      </c>
      <c r="J418">
        <v>5</v>
      </c>
      <c r="K418">
        <v>4</v>
      </c>
      <c r="L418">
        <v>0</v>
      </c>
      <c r="M418">
        <v>2</v>
      </c>
      <c r="N418">
        <v>0</v>
      </c>
      <c r="O418">
        <v>0</v>
      </c>
      <c r="P418">
        <v>1</v>
      </c>
      <c r="Q418">
        <v>0</v>
      </c>
      <c r="R418">
        <v>0</v>
      </c>
      <c r="S418">
        <v>0</v>
      </c>
      <c r="T418">
        <v>0</v>
      </c>
      <c r="U418">
        <v>3</v>
      </c>
      <c r="V418">
        <v>0</v>
      </c>
      <c r="W418">
        <v>9</v>
      </c>
      <c r="X418">
        <v>1020.38</v>
      </c>
      <c r="Y418">
        <v>1221.4100000000001</v>
      </c>
      <c r="Z418">
        <f>AVERAGEIFS(Table1[FinalElo], Table1[Country], Table1[[#This Row],[Country]])</f>
        <v>1012.0629025423733</v>
      </c>
      <c r="AA418" cm="1">
        <f t="array" ref="AA418">IF(COUNTIFS(Table1[Country],Table1[[#This Row],[Country]])=1,0, _xlfn.STDEV.S(IF(Table1[Country]=Table1[[#This Row],[Country]],Table1[FinalElo])))</f>
        <v>148.42180446198614</v>
      </c>
      <c r="AB418">
        <f>IF(Table1[[#This Row],[CStd]]=0,0, (Table1[[#This Row],[FinalElo]]-Table1[[#This Row],[CAvg]]) / Table1[[#This Row],[CStd]])</f>
        <v>5.6036897595843918E-2</v>
      </c>
      <c r="AC418" t="str">
        <f>IF(Table1[[#This Row],[CStd]]=0,"Normal", IF(ABS(Table1[[#This Row],[CZscore]])&gt;2,"Outlier","Normal"))</f>
        <v>Normal</v>
      </c>
    </row>
    <row r="419" spans="1:29" x14ac:dyDescent="0.35">
      <c r="A419" t="s">
        <v>2037</v>
      </c>
      <c r="B419">
        <v>83.9</v>
      </c>
      <c r="C419">
        <v>185</v>
      </c>
      <c r="D419" t="s">
        <v>38</v>
      </c>
      <c r="E419">
        <v>35</v>
      </c>
      <c r="F419" t="s">
        <v>2038</v>
      </c>
      <c r="G419" t="s">
        <v>40</v>
      </c>
      <c r="H419" t="s">
        <v>29</v>
      </c>
      <c r="I419" t="s">
        <v>50</v>
      </c>
      <c r="J419">
        <v>3</v>
      </c>
      <c r="K419">
        <v>1</v>
      </c>
      <c r="L419">
        <v>0</v>
      </c>
      <c r="M419">
        <v>0</v>
      </c>
      <c r="N419">
        <v>1</v>
      </c>
      <c r="O419">
        <v>0</v>
      </c>
      <c r="P419">
        <v>1</v>
      </c>
      <c r="Q419">
        <v>0</v>
      </c>
      <c r="R419">
        <v>0</v>
      </c>
      <c r="S419">
        <v>0</v>
      </c>
      <c r="T419">
        <v>0</v>
      </c>
      <c r="U419">
        <v>1</v>
      </c>
      <c r="V419">
        <v>0</v>
      </c>
      <c r="W419">
        <v>4</v>
      </c>
      <c r="X419">
        <v>1186.75</v>
      </c>
      <c r="Y419">
        <v>1186.75</v>
      </c>
      <c r="Z419">
        <f>AVERAGEIFS(Table1[FinalElo], Table1[Country], Table1[[#This Row],[Country]])</f>
        <v>1057.4495402298851</v>
      </c>
      <c r="AA419" cm="1">
        <f t="array" ref="AA419">IF(COUNTIFS(Table1[Country],Table1[[#This Row],[Country]])=1,0, _xlfn.STDEV.S(IF(Table1[Country]=Table1[[#This Row],[Country]],Table1[FinalElo])))</f>
        <v>156.98667602259493</v>
      </c>
      <c r="AB419">
        <f>IF(Table1[[#This Row],[CStd]]=0,0, (Table1[[#This Row],[FinalElo]]-Table1[[#This Row],[CAvg]]) / Table1[[#This Row],[CStd]])</f>
        <v>0.82363970654111329</v>
      </c>
      <c r="AC419" t="str">
        <f>IF(Table1[[#This Row],[CStd]]=0,"Normal", IF(ABS(Table1[[#This Row],[CZscore]])&gt;2,"Outlier","Normal"))</f>
        <v>Normal</v>
      </c>
    </row>
    <row r="420" spans="1:29" x14ac:dyDescent="0.35">
      <c r="A420" t="s">
        <v>2036</v>
      </c>
      <c r="B420">
        <v>76.3</v>
      </c>
      <c r="C420">
        <v>185</v>
      </c>
      <c r="D420" t="s">
        <v>368</v>
      </c>
      <c r="E420">
        <v>34</v>
      </c>
      <c r="F420" t="s">
        <v>382</v>
      </c>
      <c r="G420" t="s">
        <v>40</v>
      </c>
      <c r="H420" t="s">
        <v>29</v>
      </c>
      <c r="I420" t="s">
        <v>30</v>
      </c>
      <c r="J420">
        <v>3</v>
      </c>
      <c r="K420">
        <v>6</v>
      </c>
      <c r="L420">
        <v>0</v>
      </c>
      <c r="M420">
        <v>0</v>
      </c>
      <c r="N420">
        <v>3</v>
      </c>
      <c r="O420">
        <v>0</v>
      </c>
      <c r="P420">
        <v>0</v>
      </c>
      <c r="Q420">
        <v>0</v>
      </c>
      <c r="R420">
        <v>0</v>
      </c>
      <c r="S420">
        <v>1</v>
      </c>
      <c r="T420">
        <v>0</v>
      </c>
      <c r="U420">
        <v>1</v>
      </c>
      <c r="V420">
        <v>0</v>
      </c>
      <c r="W420">
        <v>9</v>
      </c>
      <c r="X420">
        <v>925.64</v>
      </c>
      <c r="Y420">
        <v>1080.99</v>
      </c>
      <c r="Z420">
        <f>AVERAGEIFS(Table1[FinalElo], Table1[Country], Table1[[#This Row],[Country]])</f>
        <v>980.53583333333336</v>
      </c>
      <c r="AA420" cm="1">
        <f t="array" ref="AA420">IF(COUNTIFS(Table1[Country],Table1[[#This Row],[Country]])=1,0, _xlfn.STDEV.S(IF(Table1[Country]=Table1[[#This Row],[Country]],Table1[FinalElo])))</f>
        <v>85.643213227725752</v>
      </c>
      <c r="AB420">
        <f>IF(Table1[[#This Row],[CStd]]=0,0, (Table1[[#This Row],[FinalElo]]-Table1[[#This Row],[CAvg]]) / Table1[[#This Row],[CStd]])</f>
        <v>-0.64098287843737323</v>
      </c>
      <c r="AC420" t="str">
        <f>IF(Table1[[#This Row],[CStd]]=0,"Normal", IF(ABS(Table1[[#This Row],[CZscore]])&gt;2,"Outlier","Normal"))</f>
        <v>Normal</v>
      </c>
    </row>
    <row r="421" spans="1:29" x14ac:dyDescent="0.35">
      <c r="A421" t="s">
        <v>2035</v>
      </c>
      <c r="B421">
        <v>52.16</v>
      </c>
      <c r="C421">
        <v>170</v>
      </c>
      <c r="D421" t="s">
        <v>1291</v>
      </c>
      <c r="E421">
        <v>28</v>
      </c>
      <c r="F421" t="s">
        <v>843</v>
      </c>
      <c r="G421" t="s">
        <v>40</v>
      </c>
      <c r="H421" t="s">
        <v>29</v>
      </c>
      <c r="I421" t="s">
        <v>36</v>
      </c>
      <c r="J421">
        <v>0</v>
      </c>
      <c r="K421">
        <v>1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1</v>
      </c>
      <c r="T421">
        <v>0</v>
      </c>
      <c r="U421">
        <v>0</v>
      </c>
      <c r="V421">
        <v>0</v>
      </c>
      <c r="W421">
        <v>1</v>
      </c>
      <c r="X421">
        <v>900</v>
      </c>
      <c r="Y421">
        <v>1000</v>
      </c>
      <c r="Z421">
        <f>AVERAGEIFS(Table1[FinalElo], Table1[Country], Table1[[#This Row],[Country]])</f>
        <v>922.91000000000008</v>
      </c>
      <c r="AA421" cm="1">
        <f t="array" ref="AA421">IF(COUNTIFS(Table1[Country],Table1[[#This Row],[Country]])=1,0, _xlfn.STDEV.S(IF(Table1[Country]=Table1[[#This Row],[Country]],Table1[FinalElo])))</f>
        <v>32.399632713967641</v>
      </c>
      <c r="AB421">
        <f>IF(Table1[[#This Row],[CStd]]=0,0, (Table1[[#This Row],[FinalElo]]-Table1[[#This Row],[CAvg]]) / Table1[[#This Row],[CStd]])</f>
        <v>-0.70710678118654935</v>
      </c>
      <c r="AC421" t="str">
        <f>IF(Table1[[#This Row],[CStd]]=0,"Normal", IF(ABS(Table1[[#This Row],[CZscore]])&gt;2,"Outlier","Normal"))</f>
        <v>Normal</v>
      </c>
    </row>
    <row r="422" spans="1:29" x14ac:dyDescent="0.35">
      <c r="A422" t="s">
        <v>2032</v>
      </c>
      <c r="B422">
        <v>65.8</v>
      </c>
      <c r="C422">
        <v>177</v>
      </c>
      <c r="D422" t="s">
        <v>26</v>
      </c>
      <c r="E422">
        <v>34</v>
      </c>
      <c r="F422" t="s">
        <v>598</v>
      </c>
      <c r="G422" t="s">
        <v>34</v>
      </c>
      <c r="H422" t="s">
        <v>29</v>
      </c>
      <c r="I422" t="s">
        <v>48</v>
      </c>
      <c r="J422">
        <v>1</v>
      </c>
      <c r="K422">
        <v>3</v>
      </c>
      <c r="L422">
        <v>1</v>
      </c>
      <c r="M422">
        <v>0</v>
      </c>
      <c r="N422">
        <v>0</v>
      </c>
      <c r="O422">
        <v>0</v>
      </c>
      <c r="P422">
        <v>0</v>
      </c>
      <c r="Q422">
        <v>1</v>
      </c>
      <c r="R422">
        <v>0</v>
      </c>
      <c r="S422">
        <v>0</v>
      </c>
      <c r="T422">
        <v>0</v>
      </c>
      <c r="U422">
        <v>2</v>
      </c>
      <c r="V422">
        <v>0</v>
      </c>
      <c r="W422">
        <v>5</v>
      </c>
      <c r="X422">
        <v>858.79</v>
      </c>
      <c r="Y422">
        <v>1100</v>
      </c>
      <c r="Z422">
        <f>AVERAGEIFS(Table1[FinalElo], Table1[Country], Table1[[#This Row],[Country]])</f>
        <v>979.07416666666666</v>
      </c>
      <c r="AA422" cm="1">
        <f t="array" ref="AA422">IF(COUNTIFS(Table1[Country],Table1[[#This Row],[Country]])=1,0, _xlfn.STDEV.S(IF(Table1[Country]=Table1[[#This Row],[Country]],Table1[FinalElo])))</f>
        <v>130.18126931728986</v>
      </c>
      <c r="AB422">
        <f>IF(Table1[[#This Row],[CStd]]=0,0, (Table1[[#This Row],[FinalElo]]-Table1[[#This Row],[CAvg]]) / Table1[[#This Row],[CStd]])</f>
        <v>-0.92397444960763875</v>
      </c>
      <c r="AC422" t="str">
        <f>IF(Table1[[#This Row],[CStd]]=0,"Normal", IF(ABS(Table1[[#This Row],[CZscore]])&gt;2,"Outlier","Normal"))</f>
        <v>Normal</v>
      </c>
    </row>
    <row r="423" spans="1:29" x14ac:dyDescent="0.35">
      <c r="A423" t="s">
        <v>2030</v>
      </c>
      <c r="B423">
        <v>70.3</v>
      </c>
      <c r="C423">
        <v>181</v>
      </c>
      <c r="D423" t="s">
        <v>32</v>
      </c>
      <c r="E423">
        <v>37</v>
      </c>
      <c r="F423" t="s">
        <v>2031</v>
      </c>
      <c r="G423" t="s">
        <v>40</v>
      </c>
      <c r="H423" t="s">
        <v>29</v>
      </c>
      <c r="I423" t="s">
        <v>48</v>
      </c>
      <c r="J423">
        <v>1</v>
      </c>
      <c r="K423">
        <v>2</v>
      </c>
      <c r="L423">
        <v>0</v>
      </c>
      <c r="M423">
        <v>0</v>
      </c>
      <c r="N423">
        <v>1</v>
      </c>
      <c r="O423">
        <v>0</v>
      </c>
      <c r="P423">
        <v>0</v>
      </c>
      <c r="Q423">
        <v>0</v>
      </c>
      <c r="R423">
        <v>2</v>
      </c>
      <c r="S423">
        <v>0</v>
      </c>
      <c r="T423">
        <v>0</v>
      </c>
      <c r="U423">
        <v>0</v>
      </c>
      <c r="V423">
        <v>0</v>
      </c>
      <c r="W423">
        <v>3</v>
      </c>
      <c r="X423">
        <v>856.13</v>
      </c>
      <c r="Y423">
        <v>1055.53</v>
      </c>
      <c r="Z423">
        <f>AVERAGEIFS(Table1[FinalElo], Table1[Country], Table1[[#This Row],[Country]])</f>
        <v>1025.3786885245902</v>
      </c>
      <c r="AA423" cm="1">
        <f t="array" ref="AA423">IF(COUNTIFS(Table1[Country],Table1[[#This Row],[Country]])=1,0, _xlfn.STDEV.S(IF(Table1[Country]=Table1[[#This Row],[Country]],Table1[FinalElo])))</f>
        <v>144.71595558743479</v>
      </c>
      <c r="AB423">
        <f>IF(Table1[[#This Row],[CStd]]=0,0, (Table1[[#This Row],[FinalElo]]-Table1[[#This Row],[CAvg]]) / Table1[[#This Row],[CStd]])</f>
        <v>-1.1695233454913212</v>
      </c>
      <c r="AC423" t="str">
        <f>IF(Table1[[#This Row],[CStd]]=0,"Normal", IF(ABS(Table1[[#This Row],[CZscore]])&gt;2,"Outlier","Normal"))</f>
        <v>Normal</v>
      </c>
    </row>
    <row r="424" spans="1:29" x14ac:dyDescent="0.35">
      <c r="A424" t="s">
        <v>2029</v>
      </c>
      <c r="B424">
        <v>50.802303999999999</v>
      </c>
      <c r="C424">
        <v>165</v>
      </c>
      <c r="D424" t="s">
        <v>89</v>
      </c>
      <c r="E424">
        <v>28</v>
      </c>
      <c r="F424" t="s">
        <v>344</v>
      </c>
      <c r="G424" t="s">
        <v>34</v>
      </c>
      <c r="H424" t="s">
        <v>29</v>
      </c>
      <c r="I424" t="s">
        <v>55</v>
      </c>
      <c r="J424">
        <v>1</v>
      </c>
      <c r="K424">
        <v>3</v>
      </c>
      <c r="L424">
        <v>0</v>
      </c>
      <c r="M424">
        <v>1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1</v>
      </c>
      <c r="W424">
        <v>4</v>
      </c>
      <c r="X424">
        <v>836.73</v>
      </c>
      <c r="Y424">
        <v>1145.82</v>
      </c>
      <c r="Z424">
        <f>AVERAGEIFS(Table1[FinalElo], Table1[Country], Table1[[#This Row],[Country]])</f>
        <v>1012.0629025423733</v>
      </c>
      <c r="AA424" cm="1">
        <f t="array" ref="AA424">IF(COUNTIFS(Table1[Country],Table1[[#This Row],[Country]])=1,0, _xlfn.STDEV.S(IF(Table1[Country]=Table1[[#This Row],[Country]],Table1[FinalElo])))</f>
        <v>148.42180446198614</v>
      </c>
      <c r="AB424">
        <f>IF(Table1[[#This Row],[CStd]]=0,0, (Table1[[#This Row],[FinalElo]]-Table1[[#This Row],[CAvg]]) / Table1[[#This Row],[CStd]])</f>
        <v>-1.1813149905968137</v>
      </c>
      <c r="AC424" t="str">
        <f>IF(Table1[[#This Row],[CStd]]=0,"Normal", IF(ABS(Table1[[#This Row],[CZscore]])&gt;2,"Outlier","Normal"))</f>
        <v>Normal</v>
      </c>
    </row>
    <row r="425" spans="1:29" x14ac:dyDescent="0.35">
      <c r="A425" t="s">
        <v>2026</v>
      </c>
      <c r="B425">
        <v>56.7</v>
      </c>
      <c r="C425">
        <v>176</v>
      </c>
      <c r="D425" t="s">
        <v>2027</v>
      </c>
      <c r="E425">
        <v>26</v>
      </c>
      <c r="F425" t="s">
        <v>2028</v>
      </c>
      <c r="G425" t="s">
        <v>40</v>
      </c>
      <c r="H425" t="s">
        <v>29</v>
      </c>
      <c r="I425" t="s">
        <v>58</v>
      </c>
      <c r="J425">
        <v>1</v>
      </c>
      <c r="K425">
        <v>1</v>
      </c>
      <c r="L425">
        <v>0</v>
      </c>
      <c r="M425">
        <v>1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1</v>
      </c>
      <c r="V425">
        <v>0</v>
      </c>
      <c r="W425">
        <v>2</v>
      </c>
      <c r="X425">
        <v>1007.92</v>
      </c>
      <c r="Y425">
        <v>1111.1199999999999</v>
      </c>
      <c r="Z425">
        <f>AVERAGEIFS(Table1[FinalElo], Table1[Country], Table1[[#This Row],[Country]])</f>
        <v>953.96</v>
      </c>
      <c r="AA425" cm="1">
        <f t="array" ref="AA425">IF(COUNTIFS(Table1[Country],Table1[[#This Row],[Country]])=1,0, _xlfn.STDEV.S(IF(Table1[Country]=Table1[[#This Row],[Country]],Table1[FinalElo])))</f>
        <v>76.310963825652181</v>
      </c>
      <c r="AB425">
        <f>IF(Table1[[#This Row],[CStd]]=0,0, (Table1[[#This Row],[FinalElo]]-Table1[[#This Row],[CAvg]]) / Table1[[#This Row],[CStd]])</f>
        <v>0.7071067811865468</v>
      </c>
      <c r="AC425" t="str">
        <f>IF(Table1[[#This Row],[CStd]]=0,"Normal", IF(ABS(Table1[[#This Row],[CZscore]])&gt;2,"Outlier","Normal"))</f>
        <v>Normal</v>
      </c>
    </row>
    <row r="426" spans="1:29" x14ac:dyDescent="0.35">
      <c r="A426" t="s">
        <v>2025</v>
      </c>
      <c r="B426">
        <v>65.8</v>
      </c>
      <c r="C426">
        <v>172</v>
      </c>
      <c r="D426" t="s">
        <v>116</v>
      </c>
      <c r="E426">
        <v>35</v>
      </c>
      <c r="F426" t="s">
        <v>869</v>
      </c>
      <c r="G426" t="s">
        <v>28</v>
      </c>
      <c r="H426" t="s">
        <v>29</v>
      </c>
      <c r="I426" t="s">
        <v>48</v>
      </c>
      <c r="J426">
        <v>0</v>
      </c>
      <c r="K426">
        <v>1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1</v>
      </c>
      <c r="V426">
        <v>0</v>
      </c>
      <c r="W426">
        <v>1</v>
      </c>
      <c r="X426">
        <v>935.3</v>
      </c>
      <c r="Y426">
        <v>1000</v>
      </c>
      <c r="Z426">
        <f>AVERAGEIFS(Table1[FinalElo], Table1[Country], Table1[[#This Row],[Country]])</f>
        <v>980.88090909090931</v>
      </c>
      <c r="AA426" cm="1">
        <f t="array" ref="AA426">IF(COUNTIFS(Table1[Country],Table1[[#This Row],[Country]])=1,0, _xlfn.STDEV.S(IF(Table1[Country]=Table1[[#This Row],[Country]],Table1[FinalElo])))</f>
        <v>133.41794796376408</v>
      </c>
      <c r="AB426">
        <f>IF(Table1[[#This Row],[CStd]]=0,0, (Table1[[#This Row],[FinalElo]]-Table1[[#This Row],[CAvg]]) / Table1[[#This Row],[CStd]])</f>
        <v>-0.34164001010785294</v>
      </c>
      <c r="AC426" t="str">
        <f>IF(Table1[[#This Row],[CStd]]=0,"Normal", IF(ABS(Table1[[#This Row],[CZscore]])&gt;2,"Outlier","Normal"))</f>
        <v>Normal</v>
      </c>
    </row>
    <row r="427" spans="1:29" x14ac:dyDescent="0.35">
      <c r="A427" t="s">
        <v>2022</v>
      </c>
      <c r="B427">
        <v>56.2</v>
      </c>
      <c r="C427">
        <v>162</v>
      </c>
      <c r="D427" t="s">
        <v>89</v>
      </c>
      <c r="E427">
        <v>29</v>
      </c>
      <c r="F427" t="s">
        <v>2023</v>
      </c>
      <c r="G427" t="s">
        <v>34</v>
      </c>
      <c r="H427" t="s">
        <v>29</v>
      </c>
      <c r="I427" t="s">
        <v>36</v>
      </c>
      <c r="J427">
        <v>1</v>
      </c>
      <c r="K427">
        <v>1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1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2</v>
      </c>
      <c r="X427">
        <v>1043.6500000000001</v>
      </c>
      <c r="Y427">
        <v>1043.6500000000001</v>
      </c>
      <c r="Z427">
        <f>AVERAGEIFS(Table1[FinalElo], Table1[Country], Table1[[#This Row],[Country]])</f>
        <v>1012.0629025423733</v>
      </c>
      <c r="AA427" cm="1">
        <f t="array" ref="AA427">IF(COUNTIFS(Table1[Country],Table1[[#This Row],[Country]])=1,0, _xlfn.STDEV.S(IF(Table1[Country]=Table1[[#This Row],[Country]],Table1[FinalElo])))</f>
        <v>148.42180446198614</v>
      </c>
      <c r="AB427">
        <f>IF(Table1[[#This Row],[CStd]]=0,0, (Table1[[#This Row],[FinalElo]]-Table1[[#This Row],[CAvg]]) / Table1[[#This Row],[CStd]])</f>
        <v>0.21281979135159271</v>
      </c>
      <c r="AC427" t="str">
        <f>IF(Table1[[#This Row],[CStd]]=0,"Normal", IF(ABS(Table1[[#This Row],[CZscore]])&gt;2,"Outlier","Normal"))</f>
        <v>Normal</v>
      </c>
    </row>
    <row r="428" spans="1:29" x14ac:dyDescent="0.35">
      <c r="A428" t="s">
        <v>2020</v>
      </c>
      <c r="B428">
        <v>61.1</v>
      </c>
      <c r="C428">
        <v>169</v>
      </c>
      <c r="D428" t="s">
        <v>89</v>
      </c>
      <c r="E428">
        <v>25</v>
      </c>
      <c r="F428" t="s">
        <v>2021</v>
      </c>
      <c r="G428" t="s">
        <v>34</v>
      </c>
      <c r="H428" t="s">
        <v>29</v>
      </c>
      <c r="I428" t="s">
        <v>58</v>
      </c>
      <c r="J428">
        <v>7</v>
      </c>
      <c r="K428">
        <v>5</v>
      </c>
      <c r="L428">
        <v>0</v>
      </c>
      <c r="M428">
        <v>0</v>
      </c>
      <c r="N428">
        <v>0</v>
      </c>
      <c r="O428">
        <v>0</v>
      </c>
      <c r="P428">
        <v>4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12</v>
      </c>
      <c r="X428">
        <v>975.85</v>
      </c>
      <c r="Y428">
        <v>1405.03</v>
      </c>
      <c r="Z428">
        <f>AVERAGEIFS(Table1[FinalElo], Table1[Country], Table1[[#This Row],[Country]])</f>
        <v>1012.0629025423733</v>
      </c>
      <c r="AA428" cm="1">
        <f t="array" ref="AA428">IF(COUNTIFS(Table1[Country],Table1[[#This Row],[Country]])=1,0, _xlfn.STDEV.S(IF(Table1[Country]=Table1[[#This Row],[Country]],Table1[FinalElo])))</f>
        <v>148.42180446198614</v>
      </c>
      <c r="AB428">
        <f>IF(Table1[[#This Row],[CStd]]=0,0, (Table1[[#This Row],[FinalElo]]-Table1[[#This Row],[CAvg]]) / Table1[[#This Row],[CStd]])</f>
        <v>-0.24398640532394383</v>
      </c>
      <c r="AC428" t="str">
        <f>IF(Table1[[#This Row],[CStd]]=0,"Normal", IF(ABS(Table1[[#This Row],[CZscore]])&gt;2,"Outlier","Normal"))</f>
        <v>Normal</v>
      </c>
    </row>
    <row r="429" spans="1:29" x14ac:dyDescent="0.35">
      <c r="A429" t="s">
        <v>2019</v>
      </c>
      <c r="B429">
        <v>65.77</v>
      </c>
      <c r="C429">
        <v>178</v>
      </c>
      <c r="D429" t="s">
        <v>89</v>
      </c>
      <c r="E429">
        <v>27</v>
      </c>
      <c r="F429" t="s">
        <v>87</v>
      </c>
      <c r="G429" t="s">
        <v>34</v>
      </c>
      <c r="H429" t="s">
        <v>29</v>
      </c>
      <c r="I429" t="s">
        <v>48</v>
      </c>
      <c r="J429">
        <v>0</v>
      </c>
      <c r="K429">
        <v>1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1</v>
      </c>
      <c r="W429">
        <v>1</v>
      </c>
      <c r="X429">
        <v>900</v>
      </c>
      <c r="Y429">
        <v>1000</v>
      </c>
      <c r="Z429">
        <f>AVERAGEIFS(Table1[FinalElo], Table1[Country], Table1[[#This Row],[Country]])</f>
        <v>1012.0629025423733</v>
      </c>
      <c r="AA429" cm="1">
        <f t="array" ref="AA429">IF(COUNTIFS(Table1[Country],Table1[[#This Row],[Country]])=1,0, _xlfn.STDEV.S(IF(Table1[Country]=Table1[[#This Row],[Country]],Table1[FinalElo])))</f>
        <v>148.42180446198614</v>
      </c>
      <c r="AB429">
        <f>IF(Table1[[#This Row],[CStd]]=0,0, (Table1[[#This Row],[FinalElo]]-Table1[[#This Row],[CAvg]]) / Table1[[#This Row],[CStd]])</f>
        <v>-0.75502991591154589</v>
      </c>
      <c r="AC429" t="str">
        <f>IF(Table1[[#This Row],[CStd]]=0,"Normal", IF(ABS(Table1[[#This Row],[CZscore]])&gt;2,"Outlier","Normal"))</f>
        <v>Normal</v>
      </c>
    </row>
    <row r="430" spans="1:29" x14ac:dyDescent="0.35">
      <c r="A430" t="s">
        <v>2018</v>
      </c>
      <c r="B430">
        <v>60.327736000000002</v>
      </c>
      <c r="C430">
        <v>170</v>
      </c>
      <c r="D430" t="s">
        <v>89</v>
      </c>
      <c r="E430">
        <v>26</v>
      </c>
      <c r="F430" t="s">
        <v>709</v>
      </c>
      <c r="G430" t="s">
        <v>34</v>
      </c>
      <c r="H430" t="s">
        <v>29</v>
      </c>
      <c r="I430" t="s">
        <v>58</v>
      </c>
      <c r="J430">
        <v>0</v>
      </c>
      <c r="K430">
        <v>1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1</v>
      </c>
      <c r="W430">
        <v>1</v>
      </c>
      <c r="X430">
        <v>871.99</v>
      </c>
      <c r="Y430">
        <v>1000</v>
      </c>
      <c r="Z430">
        <f>AVERAGEIFS(Table1[FinalElo], Table1[Country], Table1[[#This Row],[Country]])</f>
        <v>1012.0629025423733</v>
      </c>
      <c r="AA430" cm="1">
        <f t="array" ref="AA430">IF(COUNTIFS(Table1[Country],Table1[[#This Row],[Country]])=1,0, _xlfn.STDEV.S(IF(Table1[Country]=Table1[[#This Row],[Country]],Table1[FinalElo])))</f>
        <v>148.42180446198614</v>
      </c>
      <c r="AB430">
        <f>IF(Table1[[#This Row],[CStd]]=0,0, (Table1[[#This Row],[FinalElo]]-Table1[[#This Row],[CAvg]]) / Table1[[#This Row],[CStd]])</f>
        <v>-0.94374881810744216</v>
      </c>
      <c r="AC430" t="str">
        <f>IF(Table1[[#This Row],[CStd]]=0,"Normal", IF(ABS(Table1[[#This Row],[CZscore]])&gt;2,"Outlier","Normal"))</f>
        <v>Normal</v>
      </c>
    </row>
    <row r="431" spans="1:29" x14ac:dyDescent="0.35">
      <c r="A431" t="s">
        <v>2016</v>
      </c>
      <c r="B431">
        <v>53.2</v>
      </c>
      <c r="C431">
        <v>168</v>
      </c>
      <c r="D431" t="s">
        <v>89</v>
      </c>
      <c r="E431">
        <v>26</v>
      </c>
      <c r="F431" t="s">
        <v>2017</v>
      </c>
      <c r="G431" t="s">
        <v>34</v>
      </c>
      <c r="H431" t="s">
        <v>29</v>
      </c>
      <c r="I431" t="s">
        <v>36</v>
      </c>
      <c r="J431">
        <v>0</v>
      </c>
      <c r="K431">
        <v>1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1</v>
      </c>
      <c r="X431">
        <v>928.01</v>
      </c>
      <c r="Y431">
        <v>1000</v>
      </c>
      <c r="Z431">
        <f>AVERAGEIFS(Table1[FinalElo], Table1[Country], Table1[[#This Row],[Country]])</f>
        <v>1012.0629025423733</v>
      </c>
      <c r="AA431" cm="1">
        <f t="array" ref="AA431">IF(COUNTIFS(Table1[Country],Table1[[#This Row],[Country]])=1,0, _xlfn.STDEV.S(IF(Table1[Country]=Table1[[#This Row],[Country]],Table1[FinalElo])))</f>
        <v>148.42180446198614</v>
      </c>
      <c r="AB431">
        <f>IF(Table1[[#This Row],[CStd]]=0,0, (Table1[[#This Row],[FinalElo]]-Table1[[#This Row],[CAvg]]) / Table1[[#This Row],[CStd]])</f>
        <v>-0.56631101371564974</v>
      </c>
      <c r="AC431" t="str">
        <f>IF(Table1[[#This Row],[CStd]]=0,"Normal", IF(ABS(Table1[[#This Row],[CZscore]])&gt;2,"Outlier","Normal"))</f>
        <v>Normal</v>
      </c>
    </row>
    <row r="432" spans="1:29" x14ac:dyDescent="0.35">
      <c r="A432" t="s">
        <v>2014</v>
      </c>
      <c r="B432">
        <v>52.2</v>
      </c>
      <c r="C432">
        <v>155</v>
      </c>
      <c r="D432" t="s">
        <v>150</v>
      </c>
      <c r="E432">
        <v>37</v>
      </c>
      <c r="F432" t="s">
        <v>2015</v>
      </c>
      <c r="G432" t="s">
        <v>40</v>
      </c>
      <c r="H432" t="s">
        <v>29</v>
      </c>
      <c r="I432" t="s">
        <v>36</v>
      </c>
      <c r="J432">
        <v>7</v>
      </c>
      <c r="K432">
        <v>5</v>
      </c>
      <c r="L432">
        <v>0</v>
      </c>
      <c r="M432">
        <v>1</v>
      </c>
      <c r="N432">
        <v>2</v>
      </c>
      <c r="O432">
        <v>0</v>
      </c>
      <c r="P432">
        <v>4</v>
      </c>
      <c r="Q432">
        <v>0</v>
      </c>
      <c r="R432">
        <v>1</v>
      </c>
      <c r="S432">
        <v>0</v>
      </c>
      <c r="T432">
        <v>0</v>
      </c>
      <c r="U432">
        <v>2</v>
      </c>
      <c r="V432">
        <v>1</v>
      </c>
      <c r="W432">
        <v>12</v>
      </c>
      <c r="X432">
        <v>1075.9000000000001</v>
      </c>
      <c r="Y432">
        <v>1219.1099999999999</v>
      </c>
      <c r="Z432">
        <f>AVERAGEIFS(Table1[FinalElo], Table1[Country], Table1[[#This Row],[Country]])</f>
        <v>983.37272727272716</v>
      </c>
      <c r="AA432" cm="1">
        <f t="array" ref="AA432">IF(COUNTIFS(Table1[Country],Table1[[#This Row],[Country]])=1,0, _xlfn.STDEV.S(IF(Table1[Country]=Table1[[#This Row],[Country]],Table1[FinalElo])))</f>
        <v>121.78204088377996</v>
      </c>
      <c r="AB432">
        <f>IF(Table1[[#This Row],[CStd]]=0,0, (Table1[[#This Row],[FinalElo]]-Table1[[#This Row],[CAvg]]) / Table1[[#This Row],[CStd]])</f>
        <v>0.75977764911637768</v>
      </c>
      <c r="AC432" t="str">
        <f>IF(Table1[[#This Row],[CStd]]=0,"Normal", IF(ABS(Table1[[#This Row],[CZscore]])&gt;2,"Outlier","Normal"))</f>
        <v>Normal</v>
      </c>
    </row>
    <row r="433" spans="1:29" x14ac:dyDescent="0.35">
      <c r="A433" t="s">
        <v>2013</v>
      </c>
      <c r="B433">
        <v>61.23</v>
      </c>
      <c r="C433">
        <v>163</v>
      </c>
      <c r="D433" t="s">
        <v>89</v>
      </c>
      <c r="E433">
        <v>23</v>
      </c>
      <c r="F433" t="s">
        <v>104</v>
      </c>
      <c r="G433" t="s">
        <v>34</v>
      </c>
      <c r="H433" t="s">
        <v>29</v>
      </c>
      <c r="I433" t="s">
        <v>73</v>
      </c>
      <c r="J433">
        <v>0</v>
      </c>
      <c r="K433">
        <v>1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1</v>
      </c>
      <c r="V433">
        <v>0</v>
      </c>
      <c r="W433">
        <v>1</v>
      </c>
      <c r="X433">
        <v>900</v>
      </c>
      <c r="Y433">
        <v>1000</v>
      </c>
      <c r="Z433">
        <f>AVERAGEIFS(Table1[FinalElo], Table1[Country], Table1[[#This Row],[Country]])</f>
        <v>1012.0629025423733</v>
      </c>
      <c r="AA433" cm="1">
        <f t="array" ref="AA433">IF(COUNTIFS(Table1[Country],Table1[[#This Row],[Country]])=1,0, _xlfn.STDEV.S(IF(Table1[Country]=Table1[[#This Row],[Country]],Table1[FinalElo])))</f>
        <v>148.42180446198614</v>
      </c>
      <c r="AB433">
        <f>IF(Table1[[#This Row],[CStd]]=0,0, (Table1[[#This Row],[FinalElo]]-Table1[[#This Row],[CAvg]]) / Table1[[#This Row],[CStd]])</f>
        <v>-0.75502991591154589</v>
      </c>
      <c r="AC433" t="str">
        <f>IF(Table1[[#This Row],[CStd]]=0,"Normal", IF(ABS(Table1[[#This Row],[CZscore]])&gt;2,"Outlier","Normal"))</f>
        <v>Normal</v>
      </c>
    </row>
    <row r="434" spans="1:29" x14ac:dyDescent="0.35">
      <c r="A434" t="s">
        <v>2011</v>
      </c>
      <c r="B434">
        <v>55.5</v>
      </c>
      <c r="C434">
        <v>163</v>
      </c>
      <c r="D434" t="s">
        <v>89</v>
      </c>
      <c r="E434">
        <v>28</v>
      </c>
      <c r="F434" t="s">
        <v>2012</v>
      </c>
      <c r="G434" t="s">
        <v>34</v>
      </c>
      <c r="H434" t="s">
        <v>29</v>
      </c>
      <c r="I434" t="s">
        <v>36</v>
      </c>
      <c r="J434">
        <v>2</v>
      </c>
      <c r="K434">
        <v>1</v>
      </c>
      <c r="L434">
        <v>0</v>
      </c>
      <c r="M434">
        <v>0</v>
      </c>
      <c r="N434">
        <v>0</v>
      </c>
      <c r="O434">
        <v>0</v>
      </c>
      <c r="P434">
        <v>1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3</v>
      </c>
      <c r="X434">
        <v>1142.94</v>
      </c>
      <c r="Y434">
        <v>1142.94</v>
      </c>
      <c r="Z434">
        <f>AVERAGEIFS(Table1[FinalElo], Table1[Country], Table1[[#This Row],[Country]])</f>
        <v>1012.0629025423733</v>
      </c>
      <c r="AA434" cm="1">
        <f t="array" ref="AA434">IF(COUNTIFS(Table1[Country],Table1[[#This Row],[Country]])=1,0, _xlfn.STDEV.S(IF(Table1[Country]=Table1[[#This Row],[Country]],Table1[FinalElo])))</f>
        <v>148.42180446198614</v>
      </c>
      <c r="AB434">
        <f>IF(Table1[[#This Row],[CStd]]=0,0, (Table1[[#This Row],[FinalElo]]-Table1[[#This Row],[CAvg]]) / Table1[[#This Row],[CStd]])</f>
        <v>0.88179157996389301</v>
      </c>
      <c r="AC434" t="str">
        <f>IF(Table1[[#This Row],[CStd]]=0,"Normal", IF(ABS(Table1[[#This Row],[CZscore]])&gt;2,"Outlier","Normal"))</f>
        <v>Normal</v>
      </c>
    </row>
    <row r="435" spans="1:29" x14ac:dyDescent="0.35">
      <c r="A435" t="s">
        <v>98</v>
      </c>
      <c r="B435">
        <v>56.2</v>
      </c>
      <c r="C435">
        <v>163</v>
      </c>
      <c r="D435" t="s">
        <v>89</v>
      </c>
      <c r="E435">
        <v>30</v>
      </c>
      <c r="F435" t="s">
        <v>99</v>
      </c>
      <c r="G435" t="s">
        <v>34</v>
      </c>
      <c r="H435" t="s">
        <v>29</v>
      </c>
      <c r="I435" t="s">
        <v>36</v>
      </c>
      <c r="J435">
        <v>7</v>
      </c>
      <c r="K435">
        <v>1</v>
      </c>
      <c r="L435">
        <v>0</v>
      </c>
      <c r="M435">
        <v>1</v>
      </c>
      <c r="N435">
        <v>0</v>
      </c>
      <c r="O435">
        <v>0</v>
      </c>
      <c r="P435">
        <v>3</v>
      </c>
      <c r="Q435">
        <v>0</v>
      </c>
      <c r="R435">
        <v>1</v>
      </c>
      <c r="S435">
        <v>0</v>
      </c>
      <c r="T435">
        <v>0</v>
      </c>
      <c r="U435">
        <v>0</v>
      </c>
      <c r="V435">
        <v>0</v>
      </c>
      <c r="W435">
        <v>8</v>
      </c>
      <c r="X435">
        <v>1462.51</v>
      </c>
      <c r="Y435">
        <v>1462.51</v>
      </c>
      <c r="Z435">
        <f>AVERAGEIFS(Table1[FinalElo], Table1[Country], Table1[[#This Row],[Country]])</f>
        <v>1012.0629025423733</v>
      </c>
      <c r="AA435" cm="1">
        <f t="array" ref="AA435">IF(COUNTIFS(Table1[Country],Table1[[#This Row],[Country]])=1,0, _xlfn.STDEV.S(IF(Table1[Country]=Table1[[#This Row],[Country]],Table1[FinalElo])))</f>
        <v>148.42180446198614</v>
      </c>
      <c r="AB435">
        <f>IF(Table1[[#This Row],[CStd]]=0,0, (Table1[[#This Row],[FinalElo]]-Table1[[#This Row],[CAvg]]) / Table1[[#This Row],[CStd]])</f>
        <v>3.0349118789550587</v>
      </c>
      <c r="AC435" t="str">
        <f>IF(Table1[[#This Row],[CStd]]=0,"Normal", IF(ABS(Table1[[#This Row],[CZscore]])&gt;2,"Outlier","Normal"))</f>
        <v>Outlier</v>
      </c>
    </row>
    <row r="436" spans="1:29" x14ac:dyDescent="0.35">
      <c r="A436" t="s">
        <v>2009</v>
      </c>
      <c r="B436">
        <v>54.7</v>
      </c>
      <c r="C436">
        <v>167</v>
      </c>
      <c r="D436" t="s">
        <v>89</v>
      </c>
      <c r="E436">
        <v>25</v>
      </c>
      <c r="F436" t="s">
        <v>2010</v>
      </c>
      <c r="G436" t="s">
        <v>34</v>
      </c>
      <c r="H436" t="s">
        <v>29</v>
      </c>
      <c r="I436" t="s">
        <v>36</v>
      </c>
      <c r="J436">
        <v>0</v>
      </c>
      <c r="K436">
        <v>2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1</v>
      </c>
      <c r="V436">
        <v>0</v>
      </c>
      <c r="W436">
        <v>2</v>
      </c>
      <c r="X436">
        <v>842.82</v>
      </c>
      <c r="Y436">
        <v>1000</v>
      </c>
      <c r="Z436">
        <f>AVERAGEIFS(Table1[FinalElo], Table1[Country], Table1[[#This Row],[Country]])</f>
        <v>1012.0629025423733</v>
      </c>
      <c r="AA436" cm="1">
        <f t="array" ref="AA436">IF(COUNTIFS(Table1[Country],Table1[[#This Row],[Country]])=1,0, _xlfn.STDEV.S(IF(Table1[Country]=Table1[[#This Row],[Country]],Table1[FinalElo])))</f>
        <v>148.42180446198614</v>
      </c>
      <c r="AB436">
        <f>IF(Table1[[#This Row],[CStd]]=0,0, (Table1[[#This Row],[FinalElo]]-Table1[[#This Row],[CAvg]]) / Table1[[#This Row],[CStd]])</f>
        <v>-1.1402832835502941</v>
      </c>
      <c r="AC436" t="str">
        <f>IF(Table1[[#This Row],[CStd]]=0,"Normal", IF(ABS(Table1[[#This Row],[CZscore]])&gt;2,"Outlier","Normal"))</f>
        <v>Normal</v>
      </c>
    </row>
    <row r="437" spans="1:29" x14ac:dyDescent="0.35">
      <c r="A437" t="s">
        <v>2008</v>
      </c>
      <c r="B437">
        <v>65.8</v>
      </c>
      <c r="C437">
        <v>165</v>
      </c>
      <c r="D437" t="s">
        <v>89</v>
      </c>
      <c r="E437">
        <v>34</v>
      </c>
      <c r="F437" t="s">
        <v>99</v>
      </c>
      <c r="G437" t="s">
        <v>34</v>
      </c>
      <c r="H437" t="s">
        <v>29</v>
      </c>
      <c r="I437" t="s">
        <v>48</v>
      </c>
      <c r="J437">
        <v>0</v>
      </c>
      <c r="K437">
        <v>3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1</v>
      </c>
      <c r="V437">
        <v>0</v>
      </c>
      <c r="W437">
        <v>3</v>
      </c>
      <c r="X437">
        <v>793.44</v>
      </c>
      <c r="Y437">
        <v>1000</v>
      </c>
      <c r="Z437">
        <f>AVERAGEIFS(Table1[FinalElo], Table1[Country], Table1[[#This Row],[Country]])</f>
        <v>1012.0629025423733</v>
      </c>
      <c r="AA437" cm="1">
        <f t="array" ref="AA437">IF(COUNTIFS(Table1[Country],Table1[[#This Row],[Country]])=1,0, _xlfn.STDEV.S(IF(Table1[Country]=Table1[[#This Row],[Country]],Table1[FinalElo])))</f>
        <v>148.42180446198614</v>
      </c>
      <c r="AB437">
        <f>IF(Table1[[#This Row],[CStd]]=0,0, (Table1[[#This Row],[FinalElo]]-Table1[[#This Row],[CAvg]]) / Table1[[#This Row],[CStd]])</f>
        <v>-1.4729837259077863</v>
      </c>
      <c r="AC437" t="str">
        <f>IF(Table1[[#This Row],[CStd]]=0,"Normal", IF(ABS(Table1[[#This Row],[CZscore]])&gt;2,"Outlier","Normal"))</f>
        <v>Normal</v>
      </c>
    </row>
    <row r="438" spans="1:29" x14ac:dyDescent="0.35">
      <c r="A438" t="s">
        <v>2006</v>
      </c>
      <c r="B438">
        <v>57.5</v>
      </c>
      <c r="C438">
        <v>170</v>
      </c>
      <c r="D438" t="s">
        <v>89</v>
      </c>
      <c r="E438">
        <v>26</v>
      </c>
      <c r="F438" t="s">
        <v>2007</v>
      </c>
      <c r="G438" t="s">
        <v>34</v>
      </c>
      <c r="H438" t="s">
        <v>29</v>
      </c>
      <c r="I438" t="s">
        <v>58</v>
      </c>
      <c r="J438">
        <v>0</v>
      </c>
      <c r="K438">
        <v>2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1</v>
      </c>
      <c r="V438">
        <v>0</v>
      </c>
      <c r="W438">
        <v>2</v>
      </c>
      <c r="X438">
        <v>837.01</v>
      </c>
      <c r="Y438">
        <v>1000</v>
      </c>
      <c r="Z438">
        <f>AVERAGEIFS(Table1[FinalElo], Table1[Country], Table1[[#This Row],[Country]])</f>
        <v>1012.0629025423733</v>
      </c>
      <c r="AA438" cm="1">
        <f t="array" ref="AA438">IF(COUNTIFS(Table1[Country],Table1[[#This Row],[Country]])=1,0, _xlfn.STDEV.S(IF(Table1[Country]=Table1[[#This Row],[Country]],Table1[FinalElo])))</f>
        <v>148.42180446198614</v>
      </c>
      <c r="AB438">
        <f>IF(Table1[[#This Row],[CStd]]=0,0, (Table1[[#This Row],[FinalElo]]-Table1[[#This Row],[CAvg]]) / Table1[[#This Row],[CStd]])</f>
        <v>-1.1794284753303073</v>
      </c>
      <c r="AC438" t="str">
        <f>IF(Table1[[#This Row],[CStd]]=0,"Normal", IF(ABS(Table1[[#This Row],[CZscore]])&gt;2,"Outlier","Normal"))</f>
        <v>Normal</v>
      </c>
    </row>
    <row r="439" spans="1:29" x14ac:dyDescent="0.35">
      <c r="A439" t="s">
        <v>2005</v>
      </c>
      <c r="B439">
        <v>65.77</v>
      </c>
      <c r="C439">
        <v>168</v>
      </c>
      <c r="D439" t="s">
        <v>146</v>
      </c>
      <c r="E439">
        <v>28</v>
      </c>
      <c r="F439" t="s">
        <v>408</v>
      </c>
      <c r="G439" t="s">
        <v>40</v>
      </c>
      <c r="H439" t="s">
        <v>29</v>
      </c>
      <c r="I439" t="s">
        <v>48</v>
      </c>
      <c r="J439">
        <v>0</v>
      </c>
      <c r="K439">
        <v>1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1</v>
      </c>
      <c r="S439">
        <v>0</v>
      </c>
      <c r="T439">
        <v>0</v>
      </c>
      <c r="U439">
        <v>0</v>
      </c>
      <c r="V439">
        <v>0</v>
      </c>
      <c r="W439">
        <v>1</v>
      </c>
      <c r="X439">
        <v>882.7</v>
      </c>
      <c r="Y439">
        <v>1000</v>
      </c>
      <c r="Z439">
        <f>AVERAGEIFS(Table1[FinalElo], Table1[Country], Table1[[#This Row],[Country]])</f>
        <v>971.46103448275846</v>
      </c>
      <c r="AA439" cm="1">
        <f t="array" ref="AA439">IF(COUNTIFS(Table1[Country],Table1[[#This Row],[Country]])=1,0, _xlfn.STDEV.S(IF(Table1[Country]=Table1[[#This Row],[Country]],Table1[FinalElo])))</f>
        <v>107.62263899334665</v>
      </c>
      <c r="AB439">
        <f>IF(Table1[[#This Row],[CStd]]=0,0, (Table1[[#This Row],[FinalElo]]-Table1[[#This Row],[CAvg]]) / Table1[[#This Row],[CStd]])</f>
        <v>-0.82474315174752144</v>
      </c>
      <c r="AC439" t="str">
        <f>IF(Table1[[#This Row],[CStd]]=0,"Normal", IF(ABS(Table1[[#This Row],[CZscore]])&gt;2,"Outlier","Normal"))</f>
        <v>Normal</v>
      </c>
    </row>
    <row r="440" spans="1:29" x14ac:dyDescent="0.35">
      <c r="A440" t="s">
        <v>2003</v>
      </c>
      <c r="B440">
        <v>56.7</v>
      </c>
      <c r="C440">
        <v>163</v>
      </c>
      <c r="D440" t="s">
        <v>89</v>
      </c>
      <c r="E440">
        <v>27</v>
      </c>
      <c r="F440" t="s">
        <v>2004</v>
      </c>
      <c r="G440" t="s">
        <v>34</v>
      </c>
      <c r="H440" t="s">
        <v>29</v>
      </c>
      <c r="I440" t="s">
        <v>58</v>
      </c>
      <c r="J440">
        <v>2</v>
      </c>
      <c r="K440">
        <v>3</v>
      </c>
      <c r="L440">
        <v>0</v>
      </c>
      <c r="M440">
        <v>0</v>
      </c>
      <c r="N440">
        <v>0</v>
      </c>
      <c r="O440">
        <v>0</v>
      </c>
      <c r="P440">
        <v>1</v>
      </c>
      <c r="Q440">
        <v>0</v>
      </c>
      <c r="R440">
        <v>0</v>
      </c>
      <c r="S440">
        <v>0</v>
      </c>
      <c r="T440">
        <v>0</v>
      </c>
      <c r="U440">
        <v>1</v>
      </c>
      <c r="V440">
        <v>1</v>
      </c>
      <c r="W440">
        <v>5</v>
      </c>
      <c r="X440">
        <v>870.03</v>
      </c>
      <c r="Y440">
        <v>1180.03</v>
      </c>
      <c r="Z440">
        <f>AVERAGEIFS(Table1[FinalElo], Table1[Country], Table1[[#This Row],[Country]])</f>
        <v>1012.0629025423733</v>
      </c>
      <c r="AA440" cm="1">
        <f t="array" ref="AA440">IF(COUNTIFS(Table1[Country],Table1[[#This Row],[Country]])=1,0, _xlfn.STDEV.S(IF(Table1[Country]=Table1[[#This Row],[Country]],Table1[FinalElo])))</f>
        <v>148.42180446198614</v>
      </c>
      <c r="AB440">
        <f>IF(Table1[[#This Row],[CStd]]=0,0, (Table1[[#This Row],[FinalElo]]-Table1[[#This Row],[CAvg]]) / Table1[[#This Row],[CStd]])</f>
        <v>-0.95695442497298888</v>
      </c>
      <c r="AC440" t="str">
        <f>IF(Table1[[#This Row],[CStd]]=0,"Normal", IF(ABS(Table1[[#This Row],[CZscore]])&gt;2,"Outlier","Normal"))</f>
        <v>Normal</v>
      </c>
    </row>
    <row r="441" spans="1:29" x14ac:dyDescent="0.35">
      <c r="A441" t="s">
        <v>2002</v>
      </c>
      <c r="B441">
        <v>65.8</v>
      </c>
      <c r="C441">
        <v>169</v>
      </c>
      <c r="D441" t="s">
        <v>89</v>
      </c>
      <c r="E441">
        <v>34</v>
      </c>
      <c r="F441" t="s">
        <v>99</v>
      </c>
      <c r="G441" t="s">
        <v>34</v>
      </c>
      <c r="H441" t="s">
        <v>29</v>
      </c>
      <c r="I441" t="s">
        <v>48</v>
      </c>
      <c r="J441">
        <v>4</v>
      </c>
      <c r="K441">
        <v>6</v>
      </c>
      <c r="L441">
        <v>0</v>
      </c>
      <c r="M441">
        <v>0</v>
      </c>
      <c r="N441">
        <v>0</v>
      </c>
      <c r="O441">
        <v>0</v>
      </c>
      <c r="P441">
        <v>3</v>
      </c>
      <c r="Q441">
        <v>0</v>
      </c>
      <c r="R441">
        <v>0</v>
      </c>
      <c r="S441">
        <v>0</v>
      </c>
      <c r="T441">
        <v>0</v>
      </c>
      <c r="U441">
        <v>3</v>
      </c>
      <c r="V441">
        <v>1</v>
      </c>
      <c r="W441">
        <v>10</v>
      </c>
      <c r="X441">
        <v>947.97</v>
      </c>
      <c r="Y441">
        <v>1244.53</v>
      </c>
      <c r="Z441">
        <f>AVERAGEIFS(Table1[FinalElo], Table1[Country], Table1[[#This Row],[Country]])</f>
        <v>1012.0629025423733</v>
      </c>
      <c r="AA441" cm="1">
        <f t="array" ref="AA441">IF(COUNTIFS(Table1[Country],Table1[[#This Row],[Country]])=1,0, _xlfn.STDEV.S(IF(Table1[Country]=Table1[[#This Row],[Country]],Table1[FinalElo])))</f>
        <v>148.42180446198614</v>
      </c>
      <c r="AB441">
        <f>IF(Table1[[#This Row],[CStd]]=0,0, (Table1[[#This Row],[FinalElo]]-Table1[[#This Row],[CAvg]]) / Table1[[#This Row],[CStd]])</f>
        <v>-0.43182942543181912</v>
      </c>
      <c r="AC441" t="str">
        <f>IF(Table1[[#This Row],[CStd]]=0,"Normal", IF(ABS(Table1[[#This Row],[CZscore]])&gt;2,"Outlier","Normal"))</f>
        <v>Normal</v>
      </c>
    </row>
    <row r="442" spans="1:29" x14ac:dyDescent="0.35">
      <c r="A442" t="s">
        <v>2001</v>
      </c>
      <c r="B442">
        <v>56.7</v>
      </c>
      <c r="C442">
        <v>170</v>
      </c>
      <c r="D442" t="s">
        <v>89</v>
      </c>
      <c r="E442">
        <v>26</v>
      </c>
      <c r="F442" t="s">
        <v>99</v>
      </c>
      <c r="G442" t="s">
        <v>34</v>
      </c>
      <c r="H442" t="s">
        <v>29</v>
      </c>
      <c r="I442" t="s">
        <v>58</v>
      </c>
      <c r="J442">
        <v>5</v>
      </c>
      <c r="K442">
        <v>4</v>
      </c>
      <c r="L442">
        <v>0</v>
      </c>
      <c r="M442">
        <v>1</v>
      </c>
      <c r="N442">
        <v>0</v>
      </c>
      <c r="O442">
        <v>0</v>
      </c>
      <c r="P442">
        <v>2</v>
      </c>
      <c r="Q442">
        <v>0</v>
      </c>
      <c r="R442">
        <v>0</v>
      </c>
      <c r="S442">
        <v>0</v>
      </c>
      <c r="T442">
        <v>0</v>
      </c>
      <c r="U442">
        <v>2</v>
      </c>
      <c r="V442">
        <v>1</v>
      </c>
      <c r="W442">
        <v>9</v>
      </c>
      <c r="X442">
        <v>1107.3499999999999</v>
      </c>
      <c r="Y442">
        <v>1287.54</v>
      </c>
      <c r="Z442">
        <f>AVERAGEIFS(Table1[FinalElo], Table1[Country], Table1[[#This Row],[Country]])</f>
        <v>1012.0629025423733</v>
      </c>
      <c r="AA442" cm="1">
        <f t="array" ref="AA442">IF(COUNTIFS(Table1[Country],Table1[[#This Row],[Country]])=1,0, _xlfn.STDEV.S(IF(Table1[Country]=Table1[[#This Row],[Country]],Table1[FinalElo])))</f>
        <v>148.42180446198614</v>
      </c>
      <c r="AB442">
        <f>IF(Table1[[#This Row],[CStd]]=0,0, (Table1[[#This Row],[FinalElo]]-Table1[[#This Row],[CAvg]]) / Table1[[#This Row],[CStd]])</f>
        <v>0.64200201448185179</v>
      </c>
      <c r="AC442" t="str">
        <f>IF(Table1[[#This Row],[CStd]]=0,"Normal", IF(ABS(Table1[[#This Row],[CZscore]])&gt;2,"Outlier","Normal"))</f>
        <v>Normal</v>
      </c>
    </row>
    <row r="443" spans="1:29" x14ac:dyDescent="0.35">
      <c r="A443" t="s">
        <v>1999</v>
      </c>
      <c r="B443">
        <v>56.8</v>
      </c>
      <c r="C443">
        <v>168</v>
      </c>
      <c r="D443" t="s">
        <v>332</v>
      </c>
      <c r="E443">
        <v>22</v>
      </c>
      <c r="F443" t="s">
        <v>2000</v>
      </c>
      <c r="G443" t="s">
        <v>34</v>
      </c>
      <c r="H443" t="s">
        <v>29</v>
      </c>
      <c r="I443" t="s">
        <v>58</v>
      </c>
      <c r="J443">
        <v>1</v>
      </c>
      <c r="K443">
        <v>1</v>
      </c>
      <c r="L443">
        <v>0</v>
      </c>
      <c r="M443">
        <v>1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1</v>
      </c>
      <c r="V443">
        <v>0</v>
      </c>
      <c r="W443">
        <v>2</v>
      </c>
      <c r="X443">
        <v>988.42</v>
      </c>
      <c r="Y443">
        <v>1100</v>
      </c>
      <c r="Z443">
        <f>AVERAGEIFS(Table1[FinalElo], Table1[Country], Table1[[#This Row],[Country]])</f>
        <v>975.5858333333332</v>
      </c>
      <c r="AA443" cm="1">
        <f t="array" ref="AA443">IF(COUNTIFS(Table1[Country],Table1[[#This Row],[Country]])=1,0, _xlfn.STDEV.S(IF(Table1[Country]=Table1[[#This Row],[Country]],Table1[FinalElo])))</f>
        <v>72.69168633948992</v>
      </c>
      <c r="AB443">
        <f>IF(Table1[[#This Row],[CStd]]=0,0, (Table1[[#This Row],[FinalElo]]-Table1[[#This Row],[CAvg]]) / Table1[[#This Row],[CStd]])</f>
        <v>0.17655618287251881</v>
      </c>
      <c r="AC443" t="str">
        <f>IF(Table1[[#This Row],[CStd]]=0,"Normal", IF(ABS(Table1[[#This Row],[CZscore]])&gt;2,"Outlier","Normal"))</f>
        <v>Normal</v>
      </c>
    </row>
    <row r="444" spans="1:29" x14ac:dyDescent="0.35">
      <c r="A444" t="s">
        <v>1998</v>
      </c>
      <c r="B444">
        <v>56.7</v>
      </c>
      <c r="C444">
        <v>173</v>
      </c>
      <c r="D444" t="s">
        <v>89</v>
      </c>
      <c r="E444">
        <v>23</v>
      </c>
      <c r="F444" t="s">
        <v>99</v>
      </c>
      <c r="G444" t="s">
        <v>34</v>
      </c>
      <c r="H444" t="s">
        <v>29</v>
      </c>
      <c r="I444" t="s">
        <v>58</v>
      </c>
      <c r="J444">
        <v>0</v>
      </c>
      <c r="K444">
        <v>1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1</v>
      </c>
      <c r="X444">
        <v>900</v>
      </c>
      <c r="Y444">
        <v>1000</v>
      </c>
      <c r="Z444">
        <f>AVERAGEIFS(Table1[FinalElo], Table1[Country], Table1[[#This Row],[Country]])</f>
        <v>1012.0629025423733</v>
      </c>
      <c r="AA444" cm="1">
        <f t="array" ref="AA444">IF(COUNTIFS(Table1[Country],Table1[[#This Row],[Country]])=1,0, _xlfn.STDEV.S(IF(Table1[Country]=Table1[[#This Row],[Country]],Table1[FinalElo])))</f>
        <v>148.42180446198614</v>
      </c>
      <c r="AB444">
        <f>IF(Table1[[#This Row],[CStd]]=0,0, (Table1[[#This Row],[FinalElo]]-Table1[[#This Row],[CAvg]]) / Table1[[#This Row],[CStd]])</f>
        <v>-0.75502991591154589</v>
      </c>
      <c r="AC444" t="str">
        <f>IF(Table1[[#This Row],[CStd]]=0,"Normal", IF(ABS(Table1[[#This Row],[CZscore]])&gt;2,"Outlier","Normal"))</f>
        <v>Normal</v>
      </c>
    </row>
    <row r="445" spans="1:29" hidden="1" x14ac:dyDescent="0.35">
      <c r="A445" t="s">
        <v>893</v>
      </c>
      <c r="B445">
        <v>70</v>
      </c>
      <c r="C445">
        <v>178</v>
      </c>
      <c r="D445" t="s">
        <v>52</v>
      </c>
      <c r="E445">
        <v>33</v>
      </c>
      <c r="F445" t="s">
        <v>894</v>
      </c>
      <c r="G445" t="s">
        <v>40</v>
      </c>
      <c r="H445" t="s">
        <v>35</v>
      </c>
      <c r="I445" t="s">
        <v>48</v>
      </c>
      <c r="J445">
        <v>10</v>
      </c>
      <c r="K445">
        <v>3</v>
      </c>
      <c r="L445">
        <v>0</v>
      </c>
      <c r="M445">
        <v>2</v>
      </c>
      <c r="N445">
        <v>7</v>
      </c>
      <c r="O445">
        <v>0</v>
      </c>
      <c r="P445">
        <v>1</v>
      </c>
      <c r="Q445">
        <v>0</v>
      </c>
      <c r="R445">
        <v>0</v>
      </c>
      <c r="S445">
        <v>1</v>
      </c>
      <c r="T445">
        <v>0</v>
      </c>
      <c r="U445">
        <v>1</v>
      </c>
      <c r="V445">
        <v>0</v>
      </c>
      <c r="W445">
        <v>13</v>
      </c>
      <c r="X445">
        <v>1230.44</v>
      </c>
      <c r="Y445">
        <v>1405.79</v>
      </c>
      <c r="Z445">
        <f>AVERAGEIFS(Table1[FinalElo], Table1[Country], Table1[[#This Row],[Country]])</f>
        <v>1039.8985714285714</v>
      </c>
      <c r="AA445" cm="1">
        <f t="array" ref="AA445">IF(COUNTIFS(Table1[Country],Table1[[#This Row],[Country]])=1,0, _xlfn.STDEV.S(IF(Table1[Country]=Table1[[#This Row],[Country]],Table1[FinalElo])))</f>
        <v>194.01778111336392</v>
      </c>
      <c r="AB445">
        <f>IF(Table1[[#This Row],[CStd]]=0,0, (Table1[[#This Row],[FinalElo]]-Table1[[#This Row],[CAvg]]) / Table1[[#This Row],[CStd]])</f>
        <v>0.98208229925120105</v>
      </c>
      <c r="AC445" t="str">
        <f>IF(Table1[[#This Row],[CStd]]=0,"Normal", IF(ABS(Table1[[#This Row],[CZscore]])&gt;2,"Outlier","Normal"))</f>
        <v>Normal</v>
      </c>
    </row>
    <row r="446" spans="1:29" x14ac:dyDescent="0.35">
      <c r="A446" t="s">
        <v>1996</v>
      </c>
      <c r="B446">
        <v>59.420552000000001</v>
      </c>
      <c r="C446">
        <v>168</v>
      </c>
      <c r="D446" t="s">
        <v>89</v>
      </c>
      <c r="E446">
        <v>34</v>
      </c>
      <c r="F446" t="s">
        <v>1997</v>
      </c>
      <c r="G446" t="s">
        <v>34</v>
      </c>
      <c r="H446" t="s">
        <v>29</v>
      </c>
      <c r="I446" t="s">
        <v>58</v>
      </c>
      <c r="J446">
        <v>0</v>
      </c>
      <c r="K446">
        <v>1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1</v>
      </c>
      <c r="S446">
        <v>0</v>
      </c>
      <c r="T446">
        <v>0</v>
      </c>
      <c r="U446">
        <v>0</v>
      </c>
      <c r="V446">
        <v>0</v>
      </c>
      <c r="W446">
        <v>1</v>
      </c>
      <c r="X446">
        <v>900</v>
      </c>
      <c r="Y446">
        <v>1000</v>
      </c>
      <c r="Z446">
        <f>AVERAGEIFS(Table1[FinalElo], Table1[Country], Table1[[#This Row],[Country]])</f>
        <v>1012.0629025423733</v>
      </c>
      <c r="AA446" cm="1">
        <f t="array" ref="AA446">IF(COUNTIFS(Table1[Country],Table1[[#This Row],[Country]])=1,0, _xlfn.STDEV.S(IF(Table1[Country]=Table1[[#This Row],[Country]],Table1[FinalElo])))</f>
        <v>148.42180446198614</v>
      </c>
      <c r="AB446">
        <f>IF(Table1[[#This Row],[CStd]]=0,0, (Table1[[#This Row],[FinalElo]]-Table1[[#This Row],[CAvg]]) / Table1[[#This Row],[CStd]])</f>
        <v>-0.75502991591154589</v>
      </c>
      <c r="AC446" t="str">
        <f>IF(Table1[[#This Row],[CStd]]=0,"Normal", IF(ABS(Table1[[#This Row],[CZscore]])&gt;2,"Outlier","Normal"))</f>
        <v>Normal</v>
      </c>
    </row>
    <row r="447" spans="1:29" x14ac:dyDescent="0.35">
      <c r="A447" t="s">
        <v>1994</v>
      </c>
      <c r="B447">
        <v>50.802303999999999</v>
      </c>
      <c r="C447">
        <v>157</v>
      </c>
      <c r="D447" t="s">
        <v>89</v>
      </c>
      <c r="E447">
        <v>22</v>
      </c>
      <c r="F447" t="s">
        <v>1995</v>
      </c>
      <c r="G447" t="s">
        <v>34</v>
      </c>
      <c r="H447" t="s">
        <v>29</v>
      </c>
      <c r="I447" t="s">
        <v>55</v>
      </c>
      <c r="J447">
        <v>1</v>
      </c>
      <c r="K447">
        <v>1</v>
      </c>
      <c r="L447">
        <v>0</v>
      </c>
      <c r="M447">
        <v>0</v>
      </c>
      <c r="N447">
        <v>0</v>
      </c>
      <c r="O447">
        <v>0</v>
      </c>
      <c r="P447">
        <v>1</v>
      </c>
      <c r="Q447">
        <v>0</v>
      </c>
      <c r="R447">
        <v>1</v>
      </c>
      <c r="S447">
        <v>0</v>
      </c>
      <c r="T447">
        <v>0</v>
      </c>
      <c r="U447">
        <v>0</v>
      </c>
      <c r="V447">
        <v>0</v>
      </c>
      <c r="W447">
        <v>2</v>
      </c>
      <c r="X447">
        <v>1000.11</v>
      </c>
      <c r="Y447">
        <v>1000.11</v>
      </c>
      <c r="Z447">
        <f>AVERAGEIFS(Table1[FinalElo], Table1[Country], Table1[[#This Row],[Country]])</f>
        <v>1012.0629025423733</v>
      </c>
      <c r="AA447" cm="1">
        <f t="array" ref="AA447">IF(COUNTIFS(Table1[Country],Table1[[#This Row],[Country]])=1,0, _xlfn.STDEV.S(IF(Table1[Country]=Table1[[#This Row],[Country]],Table1[FinalElo])))</f>
        <v>148.42180446198614</v>
      </c>
      <c r="AB447">
        <f>IF(Table1[[#This Row],[CStd]]=0,0, (Table1[[#This Row],[FinalElo]]-Table1[[#This Row],[CAvg]]) / Table1[[#This Row],[CStd]])</f>
        <v>-8.0533332590190118E-2</v>
      </c>
      <c r="AC447" t="str">
        <f>IF(Table1[[#This Row],[CStd]]=0,"Normal", IF(ABS(Table1[[#This Row],[CZscore]])&gt;2,"Outlier","Normal"))</f>
        <v>Normal</v>
      </c>
    </row>
    <row r="448" spans="1:29" x14ac:dyDescent="0.35">
      <c r="A448" t="s">
        <v>1992</v>
      </c>
      <c r="B448">
        <v>52.1</v>
      </c>
      <c r="C448">
        <v>167</v>
      </c>
      <c r="D448" t="s">
        <v>89</v>
      </c>
      <c r="E448">
        <v>21</v>
      </c>
      <c r="F448" t="s">
        <v>1993</v>
      </c>
      <c r="G448" t="s">
        <v>34</v>
      </c>
      <c r="H448" t="s">
        <v>29</v>
      </c>
      <c r="I448" t="s">
        <v>55</v>
      </c>
      <c r="J448">
        <v>0</v>
      </c>
      <c r="K448">
        <v>1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1</v>
      </c>
      <c r="V448">
        <v>0</v>
      </c>
      <c r="W448">
        <v>1</v>
      </c>
      <c r="X448">
        <v>958.57</v>
      </c>
      <c r="Y448">
        <v>1000</v>
      </c>
      <c r="Z448">
        <f>AVERAGEIFS(Table1[FinalElo], Table1[Country], Table1[[#This Row],[Country]])</f>
        <v>1012.0629025423733</v>
      </c>
      <c r="AA448" cm="1">
        <f t="array" ref="AA448">IF(COUNTIFS(Table1[Country],Table1[[#This Row],[Country]])=1,0, _xlfn.STDEV.S(IF(Table1[Country]=Table1[[#This Row],[Country]],Table1[FinalElo])))</f>
        <v>148.42180446198614</v>
      </c>
      <c r="AB448">
        <f>IF(Table1[[#This Row],[CStd]]=0,0, (Table1[[#This Row],[FinalElo]]-Table1[[#This Row],[CAvg]]) / Table1[[#This Row],[CStd]])</f>
        <v>-0.36041134748549619</v>
      </c>
      <c r="AC448" t="str">
        <f>IF(Table1[[#This Row],[CStd]]=0,"Normal", IF(ABS(Table1[[#This Row],[CZscore]])&gt;2,"Outlier","Normal"))</f>
        <v>Normal</v>
      </c>
    </row>
    <row r="449" spans="1:29" x14ac:dyDescent="0.35">
      <c r="A449" t="s">
        <v>1991</v>
      </c>
      <c r="B449">
        <v>54.7</v>
      </c>
      <c r="C449">
        <v>160</v>
      </c>
      <c r="D449" t="s">
        <v>89</v>
      </c>
      <c r="E449">
        <v>30</v>
      </c>
      <c r="F449" t="s">
        <v>99</v>
      </c>
      <c r="G449" t="s">
        <v>34</v>
      </c>
      <c r="H449" t="s">
        <v>29</v>
      </c>
      <c r="I449" t="s">
        <v>36</v>
      </c>
      <c r="J449">
        <v>3</v>
      </c>
      <c r="K449">
        <v>1</v>
      </c>
      <c r="L449">
        <v>0</v>
      </c>
      <c r="M449">
        <v>0</v>
      </c>
      <c r="N449">
        <v>0</v>
      </c>
      <c r="O449">
        <v>0</v>
      </c>
      <c r="P449">
        <v>2</v>
      </c>
      <c r="Q449">
        <v>1</v>
      </c>
      <c r="R449">
        <v>0</v>
      </c>
      <c r="S449">
        <v>0</v>
      </c>
      <c r="T449">
        <v>0</v>
      </c>
      <c r="U449">
        <v>1</v>
      </c>
      <c r="V449">
        <v>0</v>
      </c>
      <c r="W449">
        <v>4</v>
      </c>
      <c r="X449">
        <v>1244.79</v>
      </c>
      <c r="Y449">
        <v>1244.79</v>
      </c>
      <c r="Z449">
        <f>AVERAGEIFS(Table1[FinalElo], Table1[Country], Table1[[#This Row],[Country]])</f>
        <v>1012.0629025423733</v>
      </c>
      <c r="AA449" cm="1">
        <f t="array" ref="AA449">IF(COUNTIFS(Table1[Country],Table1[[#This Row],[Country]])=1,0, _xlfn.STDEV.S(IF(Table1[Country]=Table1[[#This Row],[Country]],Table1[FinalElo])))</f>
        <v>148.42180446198614</v>
      </c>
      <c r="AB449">
        <f>IF(Table1[[#This Row],[CStd]]=0,0, (Table1[[#This Row],[FinalElo]]-Table1[[#This Row],[CAvg]]) / Table1[[#This Row],[CStd]])</f>
        <v>1.5680115081556822</v>
      </c>
      <c r="AC449" t="str">
        <f>IF(Table1[[#This Row],[CStd]]=0,"Normal", IF(ABS(Table1[[#This Row],[CZscore]])&gt;2,"Outlier","Normal"))</f>
        <v>Normal</v>
      </c>
    </row>
    <row r="450" spans="1:29" x14ac:dyDescent="0.35">
      <c r="A450" t="s">
        <v>1989</v>
      </c>
      <c r="B450">
        <v>50.802303999999999</v>
      </c>
      <c r="C450">
        <v>161</v>
      </c>
      <c r="D450" t="s">
        <v>89</v>
      </c>
      <c r="E450">
        <v>19</v>
      </c>
      <c r="F450" t="s">
        <v>1990</v>
      </c>
      <c r="G450" t="s">
        <v>34</v>
      </c>
      <c r="H450" t="s">
        <v>29</v>
      </c>
      <c r="I450" t="s">
        <v>55</v>
      </c>
      <c r="J450">
        <v>0</v>
      </c>
      <c r="K450">
        <v>1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1</v>
      </c>
      <c r="S450">
        <v>0</v>
      </c>
      <c r="T450">
        <v>0</v>
      </c>
      <c r="U450">
        <v>0</v>
      </c>
      <c r="V450">
        <v>0</v>
      </c>
      <c r="W450">
        <v>1</v>
      </c>
      <c r="X450">
        <v>900</v>
      </c>
      <c r="Y450">
        <v>1000</v>
      </c>
      <c r="Z450">
        <f>AVERAGEIFS(Table1[FinalElo], Table1[Country], Table1[[#This Row],[Country]])</f>
        <v>1012.0629025423733</v>
      </c>
      <c r="AA450" cm="1">
        <f t="array" ref="AA450">IF(COUNTIFS(Table1[Country],Table1[[#This Row],[Country]])=1,0, _xlfn.STDEV.S(IF(Table1[Country]=Table1[[#This Row],[Country]],Table1[FinalElo])))</f>
        <v>148.42180446198614</v>
      </c>
      <c r="AB450">
        <f>IF(Table1[[#This Row],[CStd]]=0,0, (Table1[[#This Row],[FinalElo]]-Table1[[#This Row],[CAvg]]) / Table1[[#This Row],[CStd]])</f>
        <v>-0.75502991591154589</v>
      </c>
      <c r="AC450" t="str">
        <f>IF(Table1[[#This Row],[CStd]]=0,"Normal", IF(ABS(Table1[[#This Row],[CZscore]])&gt;2,"Outlier","Normal"))</f>
        <v>Normal</v>
      </c>
    </row>
    <row r="451" spans="1:29" x14ac:dyDescent="0.35">
      <c r="A451" t="s">
        <v>1987</v>
      </c>
      <c r="B451">
        <v>61.2</v>
      </c>
      <c r="C451">
        <v>166</v>
      </c>
      <c r="D451" t="s">
        <v>174</v>
      </c>
      <c r="E451">
        <v>44</v>
      </c>
      <c r="F451" t="s">
        <v>1988</v>
      </c>
      <c r="G451" t="s">
        <v>40</v>
      </c>
      <c r="H451" t="s">
        <v>29</v>
      </c>
      <c r="I451" t="s">
        <v>58</v>
      </c>
      <c r="J451">
        <v>1</v>
      </c>
      <c r="K451">
        <v>0</v>
      </c>
      <c r="L451">
        <v>0</v>
      </c>
      <c r="M451">
        <v>0</v>
      </c>
      <c r="N451">
        <v>1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1</v>
      </c>
      <c r="X451">
        <v>1100</v>
      </c>
      <c r="Y451">
        <v>1100</v>
      </c>
      <c r="Z451">
        <f>AVERAGEIFS(Table1[FinalElo], Table1[Country], Table1[[#This Row],[Country]])</f>
        <v>980.52444444444427</v>
      </c>
      <c r="AA451" cm="1">
        <f t="array" ref="AA451">IF(COUNTIFS(Table1[Country],Table1[[#This Row],[Country]])=1,0, _xlfn.STDEV.S(IF(Table1[Country]=Table1[[#This Row],[Country]],Table1[FinalElo])))</f>
        <v>143.66034832022171</v>
      </c>
      <c r="AB451">
        <f>IF(Table1[[#This Row],[CStd]]=0,0, (Table1[[#This Row],[FinalElo]]-Table1[[#This Row],[CAvg]]) / Table1[[#This Row],[CStd]])</f>
        <v>0.83165297141868533</v>
      </c>
      <c r="AC451" t="str">
        <f>IF(Table1[[#This Row],[CStd]]=0,"Normal", IF(ABS(Table1[[#This Row],[CZscore]])&gt;2,"Outlier","Normal"))</f>
        <v>Normal</v>
      </c>
    </row>
    <row r="452" spans="1:29" x14ac:dyDescent="0.35">
      <c r="A452" t="s">
        <v>1985</v>
      </c>
      <c r="B452">
        <v>49.895119999999999</v>
      </c>
      <c r="C452">
        <v>165</v>
      </c>
      <c r="D452" t="s">
        <v>89</v>
      </c>
      <c r="E452">
        <v>30</v>
      </c>
      <c r="F452" t="s">
        <v>1986</v>
      </c>
      <c r="G452" t="s">
        <v>34</v>
      </c>
      <c r="H452" t="s">
        <v>29</v>
      </c>
      <c r="I452" t="s">
        <v>55</v>
      </c>
      <c r="J452">
        <v>1</v>
      </c>
      <c r="K452">
        <v>1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1</v>
      </c>
      <c r="V452">
        <v>0</v>
      </c>
      <c r="W452">
        <v>2</v>
      </c>
      <c r="X452">
        <v>1061.0999999999999</v>
      </c>
      <c r="Y452">
        <v>1120.43</v>
      </c>
      <c r="Z452">
        <f>AVERAGEIFS(Table1[FinalElo], Table1[Country], Table1[[#This Row],[Country]])</f>
        <v>1012.0629025423733</v>
      </c>
      <c r="AA452" cm="1">
        <f t="array" ref="AA452">IF(COUNTIFS(Table1[Country],Table1[[#This Row],[Country]])=1,0, _xlfn.STDEV.S(IF(Table1[Country]=Table1[[#This Row],[Country]],Table1[FinalElo])))</f>
        <v>148.42180446198614</v>
      </c>
      <c r="AB452">
        <f>IF(Table1[[#This Row],[CStd]]=0,0, (Table1[[#This Row],[FinalElo]]-Table1[[#This Row],[CAvg]]) / Table1[[#This Row],[CStd]])</f>
        <v>0.33039011778209448</v>
      </c>
      <c r="AC452" t="str">
        <f>IF(Table1[[#This Row],[CStd]]=0,"Normal", IF(ABS(Table1[[#This Row],[CZscore]])&gt;2,"Outlier","Normal"))</f>
        <v>Normal</v>
      </c>
    </row>
    <row r="453" spans="1:29" x14ac:dyDescent="0.35">
      <c r="A453" t="s">
        <v>1983</v>
      </c>
      <c r="B453">
        <v>52.16</v>
      </c>
      <c r="C453">
        <v>165</v>
      </c>
      <c r="D453" t="s">
        <v>1502</v>
      </c>
      <c r="E453">
        <v>32</v>
      </c>
      <c r="F453" t="s">
        <v>1984</v>
      </c>
      <c r="G453" t="s">
        <v>40</v>
      </c>
      <c r="H453" t="s">
        <v>29</v>
      </c>
      <c r="I453" t="s">
        <v>36</v>
      </c>
      <c r="J453">
        <v>0</v>
      </c>
      <c r="K453">
        <v>1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1</v>
      </c>
      <c r="S453">
        <v>0</v>
      </c>
      <c r="T453">
        <v>0</v>
      </c>
      <c r="U453">
        <v>0</v>
      </c>
      <c r="V453">
        <v>0</v>
      </c>
      <c r="W453">
        <v>1</v>
      </c>
      <c r="X453">
        <v>900</v>
      </c>
      <c r="Y453">
        <v>1000</v>
      </c>
      <c r="Z453">
        <f>AVERAGEIFS(Table1[FinalElo], Table1[Country], Table1[[#This Row],[Country]])</f>
        <v>972.07222222222242</v>
      </c>
      <c r="AA453" cm="1">
        <f t="array" ref="AA453">IF(COUNTIFS(Table1[Country],Table1[[#This Row],[Country]])=1,0, _xlfn.STDEV.S(IF(Table1[Country]=Table1[[#This Row],[Country]],Table1[FinalElo])))</f>
        <v>96.39574702467138</v>
      </c>
      <c r="AB453">
        <f>IF(Table1[[#This Row],[CStd]]=0,0, (Table1[[#This Row],[FinalElo]]-Table1[[#This Row],[CAvg]]) / Table1[[#This Row],[CStd]])</f>
        <v>-0.74767014569404566</v>
      </c>
      <c r="AC453" t="str">
        <f>IF(Table1[[#This Row],[CStd]]=0,"Normal", IF(ABS(Table1[[#This Row],[CZscore]])&gt;2,"Outlier","Normal"))</f>
        <v>Normal</v>
      </c>
    </row>
    <row r="454" spans="1:29" x14ac:dyDescent="0.35">
      <c r="A454" t="s">
        <v>1981</v>
      </c>
      <c r="B454">
        <v>57.4</v>
      </c>
      <c r="C454">
        <v>165</v>
      </c>
      <c r="D454" t="s">
        <v>1502</v>
      </c>
      <c r="E454">
        <v>33</v>
      </c>
      <c r="F454" t="s">
        <v>1982</v>
      </c>
      <c r="G454" t="s">
        <v>40</v>
      </c>
      <c r="H454" t="s">
        <v>29</v>
      </c>
      <c r="I454" t="s">
        <v>58</v>
      </c>
      <c r="J454">
        <v>1</v>
      </c>
      <c r="K454">
        <v>1</v>
      </c>
      <c r="L454">
        <v>0</v>
      </c>
      <c r="M454">
        <v>1</v>
      </c>
      <c r="N454">
        <v>0</v>
      </c>
      <c r="O454">
        <v>0</v>
      </c>
      <c r="P454">
        <v>0</v>
      </c>
      <c r="Q454">
        <v>0</v>
      </c>
      <c r="R454">
        <v>1</v>
      </c>
      <c r="S454">
        <v>0</v>
      </c>
      <c r="T454">
        <v>0</v>
      </c>
      <c r="U454">
        <v>0</v>
      </c>
      <c r="V454">
        <v>0</v>
      </c>
      <c r="W454">
        <v>2</v>
      </c>
      <c r="X454">
        <v>1005.87</v>
      </c>
      <c r="Y454">
        <v>1100</v>
      </c>
      <c r="Z454">
        <f>AVERAGEIFS(Table1[FinalElo], Table1[Country], Table1[[#This Row],[Country]])</f>
        <v>972.07222222222242</v>
      </c>
      <c r="AA454" cm="1">
        <f t="array" ref="AA454">IF(COUNTIFS(Table1[Country],Table1[[#This Row],[Country]])=1,0, _xlfn.STDEV.S(IF(Table1[Country]=Table1[[#This Row],[Country]],Table1[FinalElo])))</f>
        <v>96.39574702467138</v>
      </c>
      <c r="AB454">
        <f>IF(Table1[[#This Row],[CStd]]=0,0, (Table1[[#This Row],[FinalElo]]-Table1[[#This Row],[CAvg]]) / Table1[[#This Row],[CStd]])</f>
        <v>0.35061482296648866</v>
      </c>
      <c r="AC454" t="str">
        <f>IF(Table1[[#This Row],[CStd]]=0,"Normal", IF(ABS(Table1[[#This Row],[CZscore]])&gt;2,"Outlier","Normal"))</f>
        <v>Normal</v>
      </c>
    </row>
    <row r="455" spans="1:29" x14ac:dyDescent="0.35">
      <c r="A455" t="s">
        <v>1980</v>
      </c>
      <c r="B455">
        <v>54</v>
      </c>
      <c r="C455">
        <v>176</v>
      </c>
      <c r="D455" t="s">
        <v>146</v>
      </c>
      <c r="E455">
        <v>28</v>
      </c>
      <c r="F455" t="s">
        <v>87</v>
      </c>
      <c r="G455" t="s">
        <v>34</v>
      </c>
      <c r="H455" t="s">
        <v>29</v>
      </c>
      <c r="I455" t="s">
        <v>36</v>
      </c>
      <c r="J455">
        <v>1</v>
      </c>
      <c r="K455">
        <v>2</v>
      </c>
      <c r="L455">
        <v>0</v>
      </c>
      <c r="M455">
        <v>0</v>
      </c>
      <c r="N455">
        <v>0</v>
      </c>
      <c r="O455">
        <v>0</v>
      </c>
      <c r="P455">
        <v>1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3</v>
      </c>
      <c r="X455">
        <v>966.05</v>
      </c>
      <c r="Y455">
        <v>1091.9000000000001</v>
      </c>
      <c r="Z455">
        <f>AVERAGEIFS(Table1[FinalElo], Table1[Country], Table1[[#This Row],[Country]])</f>
        <v>971.46103448275846</v>
      </c>
      <c r="AA455" cm="1">
        <f t="array" ref="AA455">IF(COUNTIFS(Table1[Country],Table1[[#This Row],[Country]])=1,0, _xlfn.STDEV.S(IF(Table1[Country]=Table1[[#This Row],[Country]],Table1[FinalElo])))</f>
        <v>107.62263899334665</v>
      </c>
      <c r="AB455">
        <f>IF(Table1[[#This Row],[CStd]]=0,0, (Table1[[#This Row],[FinalElo]]-Table1[[#This Row],[CAvg]]) / Table1[[#This Row],[CStd]])</f>
        <v>-5.0277846123927751E-2</v>
      </c>
      <c r="AC455" t="str">
        <f>IF(Table1[[#This Row],[CStd]]=0,"Normal", IF(ABS(Table1[[#This Row],[CZscore]])&gt;2,"Outlier","Normal"))</f>
        <v>Normal</v>
      </c>
    </row>
    <row r="456" spans="1:29" x14ac:dyDescent="0.35">
      <c r="A456" t="s">
        <v>1979</v>
      </c>
      <c r="B456">
        <v>52.16</v>
      </c>
      <c r="C456">
        <v>170</v>
      </c>
      <c r="D456" t="s">
        <v>89</v>
      </c>
      <c r="E456">
        <v>22</v>
      </c>
      <c r="F456" t="s">
        <v>511</v>
      </c>
      <c r="G456" t="s">
        <v>34</v>
      </c>
      <c r="H456" t="s">
        <v>29</v>
      </c>
      <c r="I456" t="s">
        <v>36</v>
      </c>
      <c r="J456">
        <v>1</v>
      </c>
      <c r="K456">
        <v>1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1</v>
      </c>
      <c r="S456">
        <v>0</v>
      </c>
      <c r="T456">
        <v>0</v>
      </c>
      <c r="U456">
        <v>0</v>
      </c>
      <c r="V456">
        <v>0</v>
      </c>
      <c r="W456">
        <v>2</v>
      </c>
      <c r="X456">
        <v>954.18</v>
      </c>
      <c r="Y456">
        <v>1100</v>
      </c>
      <c r="Z456">
        <f>AVERAGEIFS(Table1[FinalElo], Table1[Country], Table1[[#This Row],[Country]])</f>
        <v>1012.0629025423733</v>
      </c>
      <c r="AA456" cm="1">
        <f t="array" ref="AA456">IF(COUNTIFS(Table1[Country],Table1[[#This Row],[Country]])=1,0, _xlfn.STDEV.S(IF(Table1[Country]=Table1[[#This Row],[Country]],Table1[FinalElo])))</f>
        <v>148.42180446198614</v>
      </c>
      <c r="AB456">
        <f>IF(Table1[[#This Row],[CStd]]=0,0, (Table1[[#This Row],[FinalElo]]-Table1[[#This Row],[CAvg]]) / Table1[[#This Row],[CStd]])</f>
        <v>-0.38998921184251167</v>
      </c>
      <c r="AC456" t="str">
        <f>IF(Table1[[#This Row],[CStd]]=0,"Normal", IF(ABS(Table1[[#This Row],[CZscore]])&gt;2,"Outlier","Normal"))</f>
        <v>Normal</v>
      </c>
    </row>
    <row r="457" spans="1:29" x14ac:dyDescent="0.35">
      <c r="A457" t="s">
        <v>1978</v>
      </c>
      <c r="B457">
        <v>61.7</v>
      </c>
      <c r="C457">
        <v>175</v>
      </c>
      <c r="D457" t="s">
        <v>89</v>
      </c>
      <c r="E457">
        <v>23</v>
      </c>
      <c r="F457" t="s">
        <v>1388</v>
      </c>
      <c r="G457" t="s">
        <v>34</v>
      </c>
      <c r="H457" t="s">
        <v>29</v>
      </c>
      <c r="I457" t="s">
        <v>73</v>
      </c>
      <c r="J457">
        <v>4</v>
      </c>
      <c r="K457">
        <v>5</v>
      </c>
      <c r="L457">
        <v>0</v>
      </c>
      <c r="M457">
        <v>0</v>
      </c>
      <c r="N457">
        <v>0</v>
      </c>
      <c r="O457">
        <v>0</v>
      </c>
      <c r="P457">
        <v>2</v>
      </c>
      <c r="Q457">
        <v>1</v>
      </c>
      <c r="R457">
        <v>0</v>
      </c>
      <c r="S457">
        <v>0</v>
      </c>
      <c r="T457">
        <v>0</v>
      </c>
      <c r="U457">
        <v>4</v>
      </c>
      <c r="V457">
        <v>1</v>
      </c>
      <c r="W457">
        <v>9</v>
      </c>
      <c r="X457">
        <v>991.56</v>
      </c>
      <c r="Y457">
        <v>1144.6300000000001</v>
      </c>
      <c r="Z457">
        <f>AVERAGEIFS(Table1[FinalElo], Table1[Country], Table1[[#This Row],[Country]])</f>
        <v>1012.0629025423733</v>
      </c>
      <c r="AA457" cm="1">
        <f t="array" ref="AA457">IF(COUNTIFS(Table1[Country],Table1[[#This Row],[Country]])=1,0, _xlfn.STDEV.S(IF(Table1[Country]=Table1[[#This Row],[Country]],Table1[FinalElo])))</f>
        <v>148.42180446198614</v>
      </c>
      <c r="AB457">
        <f>IF(Table1[[#This Row],[CStd]]=0,0, (Table1[[#This Row],[FinalElo]]-Table1[[#This Row],[CAvg]]) / Table1[[#This Row],[CStd]])</f>
        <v>-0.13813942376387545</v>
      </c>
      <c r="AC457" t="str">
        <f>IF(Table1[[#This Row],[CStd]]=0,"Normal", IF(ABS(Table1[[#This Row],[CZscore]])&gt;2,"Outlier","Normal"))</f>
        <v>Normal</v>
      </c>
    </row>
    <row r="458" spans="1:29" x14ac:dyDescent="0.35">
      <c r="A458" t="s">
        <v>1976</v>
      </c>
      <c r="B458">
        <v>56.7</v>
      </c>
      <c r="C458">
        <v>173</v>
      </c>
      <c r="D458" t="s">
        <v>89</v>
      </c>
      <c r="E458">
        <v>20</v>
      </c>
      <c r="F458" t="s">
        <v>1977</v>
      </c>
      <c r="G458" t="s">
        <v>34</v>
      </c>
      <c r="H458" t="s">
        <v>29</v>
      </c>
      <c r="I458" t="s">
        <v>58</v>
      </c>
      <c r="J458">
        <v>0</v>
      </c>
      <c r="K458">
        <v>1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1</v>
      </c>
      <c r="X458">
        <v>900</v>
      </c>
      <c r="Y458">
        <v>1000</v>
      </c>
      <c r="Z458">
        <f>AVERAGEIFS(Table1[FinalElo], Table1[Country], Table1[[#This Row],[Country]])</f>
        <v>1012.0629025423733</v>
      </c>
      <c r="AA458" cm="1">
        <f t="array" ref="AA458">IF(COUNTIFS(Table1[Country],Table1[[#This Row],[Country]])=1,0, _xlfn.STDEV.S(IF(Table1[Country]=Table1[[#This Row],[Country]],Table1[FinalElo])))</f>
        <v>148.42180446198614</v>
      </c>
      <c r="AB458">
        <f>IF(Table1[[#This Row],[CStd]]=0,0, (Table1[[#This Row],[FinalElo]]-Table1[[#This Row],[CAvg]]) / Table1[[#This Row],[CStd]])</f>
        <v>-0.75502991591154589</v>
      </c>
      <c r="AC458" t="str">
        <f>IF(Table1[[#This Row],[CStd]]=0,"Normal", IF(ABS(Table1[[#This Row],[CZscore]])&gt;2,"Outlier","Normal"))</f>
        <v>Normal</v>
      </c>
    </row>
    <row r="459" spans="1:29" x14ac:dyDescent="0.35">
      <c r="A459" t="s">
        <v>1975</v>
      </c>
      <c r="B459">
        <v>56.7</v>
      </c>
      <c r="C459">
        <v>174</v>
      </c>
      <c r="D459" t="s">
        <v>89</v>
      </c>
      <c r="E459">
        <v>24</v>
      </c>
      <c r="F459" t="s">
        <v>558</v>
      </c>
      <c r="G459" t="s">
        <v>34</v>
      </c>
      <c r="H459" t="s">
        <v>29</v>
      </c>
      <c r="I459" t="s">
        <v>58</v>
      </c>
      <c r="J459">
        <v>3</v>
      </c>
      <c r="K459">
        <v>1</v>
      </c>
      <c r="L459">
        <v>0</v>
      </c>
      <c r="M459">
        <v>0</v>
      </c>
      <c r="N459">
        <v>0</v>
      </c>
      <c r="O459">
        <v>0</v>
      </c>
      <c r="P459">
        <v>2</v>
      </c>
      <c r="Q459">
        <v>1</v>
      </c>
      <c r="R459">
        <v>0</v>
      </c>
      <c r="S459">
        <v>0</v>
      </c>
      <c r="T459">
        <v>0</v>
      </c>
      <c r="U459">
        <v>1</v>
      </c>
      <c r="V459">
        <v>0</v>
      </c>
      <c r="W459">
        <v>4</v>
      </c>
      <c r="X459">
        <v>1174.23</v>
      </c>
      <c r="Y459">
        <v>1275.3599999999999</v>
      </c>
      <c r="Z459">
        <f>AVERAGEIFS(Table1[FinalElo], Table1[Country], Table1[[#This Row],[Country]])</f>
        <v>1012.0629025423733</v>
      </c>
      <c r="AA459" cm="1">
        <f t="array" ref="AA459">IF(COUNTIFS(Table1[Country],Table1[[#This Row],[Country]])=1,0, _xlfn.STDEV.S(IF(Table1[Country]=Table1[[#This Row],[Country]],Table1[FinalElo])))</f>
        <v>148.42180446198614</v>
      </c>
      <c r="AB459">
        <f>IF(Table1[[#This Row],[CStd]]=0,0, (Table1[[#This Row],[FinalElo]]-Table1[[#This Row],[CAvg]]) / Table1[[#This Row],[CStd]])</f>
        <v>1.0926096609960096</v>
      </c>
      <c r="AC459" t="str">
        <f>IF(Table1[[#This Row],[CStd]]=0,"Normal", IF(ABS(Table1[[#This Row],[CZscore]])&gt;2,"Outlier","Normal"))</f>
        <v>Normal</v>
      </c>
    </row>
    <row r="460" spans="1:29" x14ac:dyDescent="0.35">
      <c r="A460" t="s">
        <v>1973</v>
      </c>
      <c r="B460">
        <v>52.16</v>
      </c>
      <c r="C460">
        <v>172</v>
      </c>
      <c r="D460" t="s">
        <v>89</v>
      </c>
      <c r="E460">
        <v>21</v>
      </c>
      <c r="F460" t="s">
        <v>1974</v>
      </c>
      <c r="G460" t="s">
        <v>34</v>
      </c>
      <c r="H460" t="s">
        <v>29</v>
      </c>
      <c r="I460" t="s">
        <v>36</v>
      </c>
      <c r="J460">
        <v>0</v>
      </c>
      <c r="K460">
        <v>3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1</v>
      </c>
      <c r="V460">
        <v>0</v>
      </c>
      <c r="W460">
        <v>3</v>
      </c>
      <c r="X460">
        <v>773.83</v>
      </c>
      <c r="Y460">
        <v>1000</v>
      </c>
      <c r="Z460">
        <f>AVERAGEIFS(Table1[FinalElo], Table1[Country], Table1[[#This Row],[Country]])</f>
        <v>1012.0629025423733</v>
      </c>
      <c r="AA460" cm="1">
        <f t="array" ref="AA460">IF(COUNTIFS(Table1[Country],Table1[[#This Row],[Country]])=1,0, _xlfn.STDEV.S(IF(Table1[Country]=Table1[[#This Row],[Country]],Table1[FinalElo])))</f>
        <v>148.42180446198614</v>
      </c>
      <c r="AB460">
        <f>IF(Table1[[#This Row],[CStd]]=0,0, (Table1[[#This Row],[FinalElo]]-Table1[[#This Row],[CAvg]]) / Table1[[#This Row],[CStd]])</f>
        <v>-1.6051071701084836</v>
      </c>
      <c r="AC460" t="str">
        <f>IF(Table1[[#This Row],[CStd]]=0,"Normal", IF(ABS(Table1[[#This Row],[CZscore]])&gt;2,"Outlier","Normal"))</f>
        <v>Normal</v>
      </c>
    </row>
    <row r="461" spans="1:29" x14ac:dyDescent="0.35">
      <c r="A461" t="s">
        <v>1971</v>
      </c>
      <c r="B461">
        <v>47.63</v>
      </c>
      <c r="C461">
        <v>165</v>
      </c>
      <c r="D461" t="s">
        <v>89</v>
      </c>
      <c r="E461">
        <v>17</v>
      </c>
      <c r="F461" t="s">
        <v>1972</v>
      </c>
      <c r="G461" t="s">
        <v>34</v>
      </c>
      <c r="H461" t="s">
        <v>29</v>
      </c>
      <c r="I461" t="s">
        <v>55</v>
      </c>
      <c r="J461">
        <v>0</v>
      </c>
      <c r="K461">
        <v>1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1</v>
      </c>
      <c r="X461">
        <v>900</v>
      </c>
      <c r="Y461">
        <v>1000</v>
      </c>
      <c r="Z461">
        <f>AVERAGEIFS(Table1[FinalElo], Table1[Country], Table1[[#This Row],[Country]])</f>
        <v>1012.0629025423733</v>
      </c>
      <c r="AA461" cm="1">
        <f t="array" ref="AA461">IF(COUNTIFS(Table1[Country],Table1[[#This Row],[Country]])=1,0, _xlfn.STDEV.S(IF(Table1[Country]=Table1[[#This Row],[Country]],Table1[FinalElo])))</f>
        <v>148.42180446198614</v>
      </c>
      <c r="AB461">
        <f>IF(Table1[[#This Row],[CStd]]=0,0, (Table1[[#This Row],[FinalElo]]-Table1[[#This Row],[CAvg]]) / Table1[[#This Row],[CStd]])</f>
        <v>-0.75502991591154589</v>
      </c>
      <c r="AC461" t="str">
        <f>IF(Table1[[#This Row],[CStd]]=0,"Normal", IF(ABS(Table1[[#This Row],[CZscore]])&gt;2,"Outlier","Normal"))</f>
        <v>Normal</v>
      </c>
    </row>
    <row r="462" spans="1:29" x14ac:dyDescent="0.35">
      <c r="A462" t="s">
        <v>1970</v>
      </c>
      <c r="B462">
        <v>47.63</v>
      </c>
      <c r="C462">
        <v>-1</v>
      </c>
      <c r="D462" t="s">
        <v>89</v>
      </c>
      <c r="E462">
        <v>22</v>
      </c>
      <c r="F462" t="s">
        <v>1790</v>
      </c>
      <c r="G462" t="s">
        <v>34</v>
      </c>
      <c r="H462" t="s">
        <v>29</v>
      </c>
      <c r="I462" t="s">
        <v>55</v>
      </c>
      <c r="J462">
        <v>0</v>
      </c>
      <c r="K462">
        <v>1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1</v>
      </c>
      <c r="X462">
        <v>937.87</v>
      </c>
      <c r="Y462">
        <v>1000</v>
      </c>
      <c r="Z462">
        <f>AVERAGEIFS(Table1[FinalElo], Table1[Country], Table1[[#This Row],[Country]])</f>
        <v>1012.0629025423733</v>
      </c>
      <c r="AA462" cm="1">
        <f t="array" ref="AA462">IF(COUNTIFS(Table1[Country],Table1[[#This Row],[Country]])=1,0, _xlfn.STDEV.S(IF(Table1[Country]=Table1[[#This Row],[Country]],Table1[FinalElo])))</f>
        <v>148.42180446198614</v>
      </c>
      <c r="AB462">
        <f>IF(Table1[[#This Row],[CStd]]=0,0, (Table1[[#This Row],[FinalElo]]-Table1[[#This Row],[CAvg]]) / Table1[[#This Row],[CStd]])</f>
        <v>-0.49987872611652301</v>
      </c>
      <c r="AC462" t="str">
        <f>IF(Table1[[#This Row],[CStd]]=0,"Normal", IF(ABS(Table1[[#This Row],[CZscore]])&gt;2,"Outlier","Normal"))</f>
        <v>Normal</v>
      </c>
    </row>
    <row r="463" spans="1:29" x14ac:dyDescent="0.35">
      <c r="A463" t="s">
        <v>1969</v>
      </c>
      <c r="B463">
        <v>57</v>
      </c>
      <c r="C463">
        <v>175</v>
      </c>
      <c r="D463" t="s">
        <v>89</v>
      </c>
      <c r="E463">
        <v>19</v>
      </c>
      <c r="F463" t="s">
        <v>473</v>
      </c>
      <c r="G463" t="s">
        <v>34</v>
      </c>
      <c r="H463" t="s">
        <v>29</v>
      </c>
      <c r="I463" t="s">
        <v>58</v>
      </c>
      <c r="J463">
        <v>0</v>
      </c>
      <c r="K463">
        <v>1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1</v>
      </c>
      <c r="V463">
        <v>0</v>
      </c>
      <c r="W463">
        <v>1</v>
      </c>
      <c r="X463">
        <v>900</v>
      </c>
      <c r="Y463">
        <v>1000</v>
      </c>
      <c r="Z463">
        <f>AVERAGEIFS(Table1[FinalElo], Table1[Country], Table1[[#This Row],[Country]])</f>
        <v>1012.0629025423733</v>
      </c>
      <c r="AA463" cm="1">
        <f t="array" ref="AA463">IF(COUNTIFS(Table1[Country],Table1[[#This Row],[Country]])=1,0, _xlfn.STDEV.S(IF(Table1[Country]=Table1[[#This Row],[Country]],Table1[FinalElo])))</f>
        <v>148.42180446198614</v>
      </c>
      <c r="AB463">
        <f>IF(Table1[[#This Row],[CStd]]=0,0, (Table1[[#This Row],[FinalElo]]-Table1[[#This Row],[CAvg]]) / Table1[[#This Row],[CStd]])</f>
        <v>-0.75502991591154589</v>
      </c>
      <c r="AC463" t="str">
        <f>IF(Table1[[#This Row],[CStd]]=0,"Normal", IF(ABS(Table1[[#This Row],[CZscore]])&gt;2,"Outlier","Normal"))</f>
        <v>Normal</v>
      </c>
    </row>
    <row r="464" spans="1:29" x14ac:dyDescent="0.35">
      <c r="A464" t="s">
        <v>1967</v>
      </c>
      <c r="B464">
        <v>53</v>
      </c>
      <c r="C464">
        <v>164</v>
      </c>
      <c r="D464" t="s">
        <v>89</v>
      </c>
      <c r="E464">
        <v>21</v>
      </c>
      <c r="F464" t="s">
        <v>1968</v>
      </c>
      <c r="G464" t="s">
        <v>34</v>
      </c>
      <c r="H464" t="s">
        <v>29</v>
      </c>
      <c r="I464" t="s">
        <v>36</v>
      </c>
      <c r="J464">
        <v>2</v>
      </c>
      <c r="K464">
        <v>2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1</v>
      </c>
      <c r="V464">
        <v>0</v>
      </c>
      <c r="W464">
        <v>4</v>
      </c>
      <c r="X464">
        <v>918.65</v>
      </c>
      <c r="Y464">
        <v>1171.99</v>
      </c>
      <c r="Z464">
        <f>AVERAGEIFS(Table1[FinalElo], Table1[Country], Table1[[#This Row],[Country]])</f>
        <v>1012.0629025423733</v>
      </c>
      <c r="AA464" cm="1">
        <f t="array" ref="AA464">IF(COUNTIFS(Table1[Country],Table1[[#This Row],[Country]])=1,0, _xlfn.STDEV.S(IF(Table1[Country]=Table1[[#This Row],[Country]],Table1[FinalElo])))</f>
        <v>148.42180446198614</v>
      </c>
      <c r="AB464">
        <f>IF(Table1[[#This Row],[CStd]]=0,0, (Table1[[#This Row],[FinalElo]]-Table1[[#This Row],[CAvg]]) / Table1[[#This Row],[CStd]])</f>
        <v>-0.62937452405315741</v>
      </c>
      <c r="AC464" t="str">
        <f>IF(Table1[[#This Row],[CStd]]=0,"Normal", IF(ABS(Table1[[#This Row],[CZscore]])&gt;2,"Outlier","Normal"))</f>
        <v>Normal</v>
      </c>
    </row>
    <row r="465" spans="1:29" x14ac:dyDescent="0.35">
      <c r="A465" t="s">
        <v>1965</v>
      </c>
      <c r="B465">
        <v>55.1</v>
      </c>
      <c r="C465">
        <v>168</v>
      </c>
      <c r="D465" t="s">
        <v>89</v>
      </c>
      <c r="E465">
        <v>22</v>
      </c>
      <c r="F465" t="s">
        <v>1966</v>
      </c>
      <c r="G465" t="s">
        <v>34</v>
      </c>
      <c r="H465" t="s">
        <v>29</v>
      </c>
      <c r="I465" t="s">
        <v>36</v>
      </c>
      <c r="J465">
        <v>0</v>
      </c>
      <c r="K465">
        <v>1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1</v>
      </c>
      <c r="S465">
        <v>0</v>
      </c>
      <c r="T465">
        <v>0</v>
      </c>
      <c r="U465">
        <v>0</v>
      </c>
      <c r="V465">
        <v>0</v>
      </c>
      <c r="W465">
        <v>1</v>
      </c>
      <c r="X465">
        <v>941.69</v>
      </c>
      <c r="Y465">
        <v>1000</v>
      </c>
      <c r="Z465">
        <f>AVERAGEIFS(Table1[FinalElo], Table1[Country], Table1[[#This Row],[Country]])</f>
        <v>1012.0629025423733</v>
      </c>
      <c r="AA465" cm="1">
        <f t="array" ref="AA465">IF(COUNTIFS(Table1[Country],Table1[[#This Row],[Country]])=1,0, _xlfn.STDEV.S(IF(Table1[Country]=Table1[[#This Row],[Country]],Table1[FinalElo])))</f>
        <v>148.42180446198614</v>
      </c>
      <c r="AB465">
        <f>IF(Table1[[#This Row],[CStd]]=0,0, (Table1[[#This Row],[FinalElo]]-Table1[[#This Row],[CAvg]]) / Table1[[#This Row],[CStd]])</f>
        <v>-0.47414126783775351</v>
      </c>
      <c r="AC465" t="str">
        <f>IF(Table1[[#This Row],[CStd]]=0,"Normal", IF(ABS(Table1[[#This Row],[CZscore]])&gt;2,"Outlier","Normal"))</f>
        <v>Normal</v>
      </c>
    </row>
    <row r="466" spans="1:29" x14ac:dyDescent="0.35">
      <c r="A466" t="s">
        <v>1964</v>
      </c>
      <c r="B466">
        <v>57.9</v>
      </c>
      <c r="C466">
        <v>168</v>
      </c>
      <c r="D466" t="s">
        <v>89</v>
      </c>
      <c r="E466">
        <v>23</v>
      </c>
      <c r="F466" t="s">
        <v>1311</v>
      </c>
      <c r="G466" t="s">
        <v>34</v>
      </c>
      <c r="H466" t="s">
        <v>29</v>
      </c>
      <c r="I466" t="s">
        <v>58</v>
      </c>
      <c r="J466">
        <v>0</v>
      </c>
      <c r="K466">
        <v>1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1</v>
      </c>
      <c r="X466">
        <v>871.99</v>
      </c>
      <c r="Y466">
        <v>1000</v>
      </c>
      <c r="Z466">
        <f>AVERAGEIFS(Table1[FinalElo], Table1[Country], Table1[[#This Row],[Country]])</f>
        <v>1012.0629025423733</v>
      </c>
      <c r="AA466" cm="1">
        <f t="array" ref="AA466">IF(COUNTIFS(Table1[Country],Table1[[#This Row],[Country]])=1,0, _xlfn.STDEV.S(IF(Table1[Country]=Table1[[#This Row],[Country]],Table1[FinalElo])))</f>
        <v>148.42180446198614</v>
      </c>
      <c r="AB466">
        <f>IF(Table1[[#This Row],[CStd]]=0,0, (Table1[[#This Row],[FinalElo]]-Table1[[#This Row],[CAvg]]) / Table1[[#This Row],[CStd]])</f>
        <v>-0.94374881810744216</v>
      </c>
      <c r="AC466" t="str">
        <f>IF(Table1[[#This Row],[CStd]]=0,"Normal", IF(ABS(Table1[[#This Row],[CZscore]])&gt;2,"Outlier","Normal"))</f>
        <v>Normal</v>
      </c>
    </row>
    <row r="467" spans="1:29" x14ac:dyDescent="0.35">
      <c r="A467" t="s">
        <v>1963</v>
      </c>
      <c r="B467">
        <v>56.7</v>
      </c>
      <c r="C467">
        <v>170</v>
      </c>
      <c r="D467" t="s">
        <v>89</v>
      </c>
      <c r="E467">
        <v>27</v>
      </c>
      <c r="F467" t="s">
        <v>558</v>
      </c>
      <c r="G467" t="s">
        <v>34</v>
      </c>
      <c r="H467" t="s">
        <v>29</v>
      </c>
      <c r="I467" t="s">
        <v>58</v>
      </c>
      <c r="J467">
        <v>4</v>
      </c>
      <c r="K467">
        <v>5</v>
      </c>
      <c r="L467">
        <v>0</v>
      </c>
      <c r="M467">
        <v>1</v>
      </c>
      <c r="N467">
        <v>0</v>
      </c>
      <c r="O467">
        <v>0</v>
      </c>
      <c r="P467">
        <v>2</v>
      </c>
      <c r="Q467">
        <v>0</v>
      </c>
      <c r="R467">
        <v>0</v>
      </c>
      <c r="S467">
        <v>0</v>
      </c>
      <c r="T467">
        <v>0</v>
      </c>
      <c r="U467">
        <v>2</v>
      </c>
      <c r="V467">
        <v>0</v>
      </c>
      <c r="W467">
        <v>9</v>
      </c>
      <c r="X467">
        <v>954.17</v>
      </c>
      <c r="Y467">
        <v>1252.3800000000001</v>
      </c>
      <c r="Z467">
        <f>AVERAGEIFS(Table1[FinalElo], Table1[Country], Table1[[#This Row],[Country]])</f>
        <v>1012.0629025423733</v>
      </c>
      <c r="AA467" cm="1">
        <f t="array" ref="AA467">IF(COUNTIFS(Table1[Country],Table1[[#This Row],[Country]])=1,0, _xlfn.STDEV.S(IF(Table1[Country]=Table1[[#This Row],[Country]],Table1[FinalElo])))</f>
        <v>148.42180446198614</v>
      </c>
      <c r="AB467">
        <f>IF(Table1[[#This Row],[CStd]]=0,0, (Table1[[#This Row],[FinalElo]]-Table1[[#This Row],[CAvg]]) / Table1[[#This Row],[CStd]])</f>
        <v>-0.39005658738774401</v>
      </c>
      <c r="AC467" t="str">
        <f>IF(Table1[[#This Row],[CStd]]=0,"Normal", IF(ABS(Table1[[#This Row],[CZscore]])&gt;2,"Outlier","Normal"))</f>
        <v>Normal</v>
      </c>
    </row>
    <row r="468" spans="1:29" x14ac:dyDescent="0.35">
      <c r="A468" t="s">
        <v>1962</v>
      </c>
      <c r="B468">
        <v>54.431040000000003</v>
      </c>
      <c r="C468">
        <v>165</v>
      </c>
      <c r="D468" t="s">
        <v>89</v>
      </c>
      <c r="E468">
        <v>27</v>
      </c>
      <c r="F468" t="s">
        <v>535</v>
      </c>
      <c r="G468" t="s">
        <v>34</v>
      </c>
      <c r="H468" t="s">
        <v>29</v>
      </c>
      <c r="I468" t="s">
        <v>36</v>
      </c>
      <c r="J468">
        <v>0</v>
      </c>
      <c r="K468">
        <v>1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1</v>
      </c>
      <c r="W468">
        <v>1</v>
      </c>
      <c r="X468">
        <v>900</v>
      </c>
      <c r="Y468">
        <v>1000</v>
      </c>
      <c r="Z468">
        <f>AVERAGEIFS(Table1[FinalElo], Table1[Country], Table1[[#This Row],[Country]])</f>
        <v>1012.0629025423733</v>
      </c>
      <c r="AA468" cm="1">
        <f t="array" ref="AA468">IF(COUNTIFS(Table1[Country],Table1[[#This Row],[Country]])=1,0, _xlfn.STDEV.S(IF(Table1[Country]=Table1[[#This Row],[Country]],Table1[FinalElo])))</f>
        <v>148.42180446198614</v>
      </c>
      <c r="AB468">
        <f>IF(Table1[[#This Row],[CStd]]=0,0, (Table1[[#This Row],[FinalElo]]-Table1[[#This Row],[CAvg]]) / Table1[[#This Row],[CStd]])</f>
        <v>-0.75502991591154589</v>
      </c>
      <c r="AC468" t="str">
        <f>IF(Table1[[#This Row],[CStd]]=0,"Normal", IF(ABS(Table1[[#This Row],[CZscore]])&gt;2,"Outlier","Normal"))</f>
        <v>Normal</v>
      </c>
    </row>
    <row r="469" spans="1:29" x14ac:dyDescent="0.35">
      <c r="A469" t="s">
        <v>1961</v>
      </c>
      <c r="B469">
        <v>61.7</v>
      </c>
      <c r="C469">
        <v>173</v>
      </c>
      <c r="D469" t="s">
        <v>89</v>
      </c>
      <c r="E469">
        <v>25</v>
      </c>
      <c r="F469" t="s">
        <v>697</v>
      </c>
      <c r="G469" t="s">
        <v>34</v>
      </c>
      <c r="H469" t="s">
        <v>29</v>
      </c>
      <c r="I469" t="s">
        <v>73</v>
      </c>
      <c r="J469">
        <v>1</v>
      </c>
      <c r="K469">
        <v>1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1</v>
      </c>
      <c r="R469">
        <v>0</v>
      </c>
      <c r="S469">
        <v>0</v>
      </c>
      <c r="T469">
        <v>0</v>
      </c>
      <c r="U469">
        <v>0</v>
      </c>
      <c r="V469">
        <v>1</v>
      </c>
      <c r="W469">
        <v>2</v>
      </c>
      <c r="X469">
        <v>969.66</v>
      </c>
      <c r="Y469">
        <v>1086.27</v>
      </c>
      <c r="Z469">
        <f>AVERAGEIFS(Table1[FinalElo], Table1[Country], Table1[[#This Row],[Country]])</f>
        <v>1012.0629025423733</v>
      </c>
      <c r="AA469" cm="1">
        <f t="array" ref="AA469">IF(COUNTIFS(Table1[Country],Table1[[#This Row],[Country]])=1,0, _xlfn.STDEV.S(IF(Table1[Country]=Table1[[#This Row],[Country]],Table1[FinalElo])))</f>
        <v>148.42180446198614</v>
      </c>
      <c r="AB469">
        <f>IF(Table1[[#This Row],[CStd]]=0,0, (Table1[[#This Row],[FinalElo]]-Table1[[#This Row],[CAvg]]) / Table1[[#This Row],[CStd]])</f>
        <v>-0.28569186782278738</v>
      </c>
      <c r="AC469" t="str">
        <f>IF(Table1[[#This Row],[CStd]]=0,"Normal", IF(ABS(Table1[[#This Row],[CZscore]])&gt;2,"Outlier","Normal"))</f>
        <v>Normal</v>
      </c>
    </row>
    <row r="470" spans="1:29" x14ac:dyDescent="0.35">
      <c r="A470" t="s">
        <v>1959</v>
      </c>
      <c r="B470">
        <v>59.874144000000001</v>
      </c>
      <c r="C470">
        <v>175</v>
      </c>
      <c r="D470" t="s">
        <v>89</v>
      </c>
      <c r="E470">
        <v>21</v>
      </c>
      <c r="F470" t="s">
        <v>1960</v>
      </c>
      <c r="G470" t="s">
        <v>34</v>
      </c>
      <c r="H470" t="s">
        <v>29</v>
      </c>
      <c r="I470" t="s">
        <v>58</v>
      </c>
      <c r="J470">
        <v>0</v>
      </c>
      <c r="K470">
        <v>1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1</v>
      </c>
      <c r="X470">
        <v>900</v>
      </c>
      <c r="Y470">
        <v>1000</v>
      </c>
      <c r="Z470">
        <f>AVERAGEIFS(Table1[FinalElo], Table1[Country], Table1[[#This Row],[Country]])</f>
        <v>1012.0629025423733</v>
      </c>
      <c r="AA470" cm="1">
        <f t="array" ref="AA470">IF(COUNTIFS(Table1[Country],Table1[[#This Row],[Country]])=1,0, _xlfn.STDEV.S(IF(Table1[Country]=Table1[[#This Row],[Country]],Table1[FinalElo])))</f>
        <v>148.42180446198614</v>
      </c>
      <c r="AB470">
        <f>IF(Table1[[#This Row],[CStd]]=0,0, (Table1[[#This Row],[FinalElo]]-Table1[[#This Row],[CAvg]]) / Table1[[#This Row],[CStd]])</f>
        <v>-0.75502991591154589</v>
      </c>
      <c r="AC470" t="str">
        <f>IF(Table1[[#This Row],[CStd]]=0,"Normal", IF(ABS(Table1[[#This Row],[CZscore]])&gt;2,"Outlier","Normal"))</f>
        <v>Normal</v>
      </c>
    </row>
    <row r="471" spans="1:29" x14ac:dyDescent="0.35">
      <c r="A471" t="s">
        <v>1958</v>
      </c>
      <c r="B471">
        <v>59.6</v>
      </c>
      <c r="C471">
        <v>168</v>
      </c>
      <c r="D471" t="s">
        <v>89</v>
      </c>
      <c r="E471">
        <v>29</v>
      </c>
      <c r="F471" t="s">
        <v>99</v>
      </c>
      <c r="G471" t="s">
        <v>34</v>
      </c>
      <c r="H471" t="s">
        <v>29</v>
      </c>
      <c r="I471" t="s">
        <v>58</v>
      </c>
      <c r="J471">
        <v>0</v>
      </c>
      <c r="K471">
        <v>2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1</v>
      </c>
      <c r="V471">
        <v>0</v>
      </c>
      <c r="W471">
        <v>2</v>
      </c>
      <c r="X471">
        <v>836.77</v>
      </c>
      <c r="Y471">
        <v>1000</v>
      </c>
      <c r="Z471">
        <f>AVERAGEIFS(Table1[FinalElo], Table1[Country], Table1[[#This Row],[Country]])</f>
        <v>1012.0629025423733</v>
      </c>
      <c r="AA471" cm="1">
        <f t="array" ref="AA471">IF(COUNTIFS(Table1[Country],Table1[[#This Row],[Country]])=1,0, _xlfn.STDEV.S(IF(Table1[Country]=Table1[[#This Row],[Country]],Table1[FinalElo])))</f>
        <v>148.42180446198614</v>
      </c>
      <c r="AB471">
        <f>IF(Table1[[#This Row],[CStd]]=0,0, (Table1[[#This Row],[FinalElo]]-Table1[[#This Row],[CAvg]]) / Table1[[#This Row],[CStd]])</f>
        <v>-1.1810454884158845</v>
      </c>
      <c r="AC471" t="str">
        <f>IF(Table1[[#This Row],[CStd]]=0,"Normal", IF(ABS(Table1[[#This Row],[CZscore]])&gt;2,"Outlier","Normal"))</f>
        <v>Normal</v>
      </c>
    </row>
    <row r="472" spans="1:29" x14ac:dyDescent="0.35">
      <c r="A472" t="s">
        <v>1957</v>
      </c>
      <c r="B472">
        <v>64.410064000000006</v>
      </c>
      <c r="C472">
        <v>-1</v>
      </c>
      <c r="D472" t="s">
        <v>89</v>
      </c>
      <c r="E472">
        <v>22</v>
      </c>
      <c r="F472" t="s">
        <v>337</v>
      </c>
      <c r="G472" t="s">
        <v>34</v>
      </c>
      <c r="H472" t="s">
        <v>29</v>
      </c>
      <c r="I472" t="s">
        <v>73</v>
      </c>
      <c r="J472">
        <v>1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1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1</v>
      </c>
      <c r="X472">
        <v>1109.6400000000001</v>
      </c>
      <c r="Y472">
        <v>1109.6400000000001</v>
      </c>
      <c r="Z472">
        <f>AVERAGEIFS(Table1[FinalElo], Table1[Country], Table1[[#This Row],[Country]])</f>
        <v>1012.0629025423733</v>
      </c>
      <c r="AA472" cm="1">
        <f t="array" ref="AA472">IF(COUNTIFS(Table1[Country],Table1[[#This Row],[Country]])=1,0, _xlfn.STDEV.S(IF(Table1[Country]=Table1[[#This Row],[Country]],Table1[FinalElo])))</f>
        <v>148.42180446198614</v>
      </c>
      <c r="AB472">
        <f>IF(Table1[[#This Row],[CStd]]=0,0, (Table1[[#This Row],[FinalElo]]-Table1[[#This Row],[CAvg]]) / Table1[[#This Row],[CStd]])</f>
        <v>0.65743101434006812</v>
      </c>
      <c r="AC472" t="str">
        <f>IF(Table1[[#This Row],[CStd]]=0,"Normal", IF(ABS(Table1[[#This Row],[CZscore]])&gt;2,"Outlier","Normal"))</f>
        <v>Normal</v>
      </c>
    </row>
    <row r="473" spans="1:29" x14ac:dyDescent="0.35">
      <c r="A473" t="s">
        <v>1955</v>
      </c>
      <c r="B473">
        <v>56.7</v>
      </c>
      <c r="C473">
        <v>173</v>
      </c>
      <c r="D473" t="s">
        <v>89</v>
      </c>
      <c r="E473">
        <v>23</v>
      </c>
      <c r="F473" t="s">
        <v>1956</v>
      </c>
      <c r="G473" t="s">
        <v>34</v>
      </c>
      <c r="H473" t="s">
        <v>29</v>
      </c>
      <c r="I473" t="s">
        <v>58</v>
      </c>
      <c r="J473">
        <v>0</v>
      </c>
      <c r="K473">
        <v>1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1</v>
      </c>
      <c r="X473">
        <v>947.12</v>
      </c>
      <c r="Y473">
        <v>1000</v>
      </c>
      <c r="Z473">
        <f>AVERAGEIFS(Table1[FinalElo], Table1[Country], Table1[[#This Row],[Country]])</f>
        <v>1012.0629025423733</v>
      </c>
      <c r="AA473" cm="1">
        <f t="array" ref="AA473">IF(COUNTIFS(Table1[Country],Table1[[#This Row],[Country]])=1,0, _xlfn.STDEV.S(IF(Table1[Country]=Table1[[#This Row],[Country]],Table1[FinalElo])))</f>
        <v>148.42180446198614</v>
      </c>
      <c r="AB473">
        <f>IF(Table1[[#This Row],[CStd]]=0,0, (Table1[[#This Row],[FinalElo]]-Table1[[#This Row],[CAvg]]) / Table1[[#This Row],[CStd]])</f>
        <v>-0.43755634677657157</v>
      </c>
      <c r="AC473" t="str">
        <f>IF(Table1[[#This Row],[CStd]]=0,"Normal", IF(ABS(Table1[[#This Row],[CZscore]])&gt;2,"Outlier","Normal"))</f>
        <v>Normal</v>
      </c>
    </row>
    <row r="474" spans="1:29" x14ac:dyDescent="0.35">
      <c r="A474" t="s">
        <v>1953</v>
      </c>
      <c r="B474">
        <v>54.431040000000003</v>
      </c>
      <c r="C474">
        <v>168</v>
      </c>
      <c r="D474" t="s">
        <v>89</v>
      </c>
      <c r="E474">
        <v>21</v>
      </c>
      <c r="F474" t="s">
        <v>1954</v>
      </c>
      <c r="G474" t="s">
        <v>34</v>
      </c>
      <c r="H474" t="s">
        <v>29</v>
      </c>
      <c r="I474" t="s">
        <v>36</v>
      </c>
      <c r="J474">
        <v>1</v>
      </c>
      <c r="K474">
        <v>1</v>
      </c>
      <c r="L474">
        <v>0</v>
      </c>
      <c r="M474">
        <v>0</v>
      </c>
      <c r="N474">
        <v>0</v>
      </c>
      <c r="O474">
        <v>0</v>
      </c>
      <c r="P474">
        <v>1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2</v>
      </c>
      <c r="X474">
        <v>1067.78</v>
      </c>
      <c r="Y474">
        <v>1113.8499999999999</v>
      </c>
      <c r="Z474">
        <f>AVERAGEIFS(Table1[FinalElo], Table1[Country], Table1[[#This Row],[Country]])</f>
        <v>1012.0629025423733</v>
      </c>
      <c r="AA474" cm="1">
        <f t="array" ref="AA474">IF(COUNTIFS(Table1[Country],Table1[[#This Row],[Country]])=1,0, _xlfn.STDEV.S(IF(Table1[Country]=Table1[[#This Row],[Country]],Table1[FinalElo])))</f>
        <v>148.42180446198614</v>
      </c>
      <c r="AB474">
        <f>IF(Table1[[#This Row],[CStd]]=0,0, (Table1[[#This Row],[FinalElo]]-Table1[[#This Row],[CAvg]]) / Table1[[#This Row],[CStd]])</f>
        <v>0.37539698199732474</v>
      </c>
      <c r="AC474" t="str">
        <f>IF(Table1[[#This Row],[CStd]]=0,"Normal", IF(ABS(Table1[[#This Row],[CZscore]])&gt;2,"Outlier","Normal"))</f>
        <v>Normal</v>
      </c>
    </row>
    <row r="475" spans="1:29" x14ac:dyDescent="0.35">
      <c r="A475" t="s">
        <v>1952</v>
      </c>
      <c r="B475">
        <v>56</v>
      </c>
      <c r="C475">
        <v>165</v>
      </c>
      <c r="D475" t="s">
        <v>89</v>
      </c>
      <c r="E475">
        <v>22</v>
      </c>
      <c r="F475" t="s">
        <v>1886</v>
      </c>
      <c r="G475" t="s">
        <v>34</v>
      </c>
      <c r="H475" t="s">
        <v>29</v>
      </c>
      <c r="I475" t="s">
        <v>36</v>
      </c>
      <c r="J475">
        <v>1</v>
      </c>
      <c r="K475">
        <v>1</v>
      </c>
      <c r="L475">
        <v>0</v>
      </c>
      <c r="M475">
        <v>0</v>
      </c>
      <c r="N475">
        <v>0</v>
      </c>
      <c r="O475">
        <v>0</v>
      </c>
      <c r="P475">
        <v>1</v>
      </c>
      <c r="Q475">
        <v>0</v>
      </c>
      <c r="R475">
        <v>0</v>
      </c>
      <c r="S475">
        <v>0</v>
      </c>
      <c r="T475">
        <v>0</v>
      </c>
      <c r="U475">
        <v>1</v>
      </c>
      <c r="V475">
        <v>0</v>
      </c>
      <c r="W475">
        <v>2</v>
      </c>
      <c r="X475">
        <v>954.79</v>
      </c>
      <c r="Y475">
        <v>1000</v>
      </c>
      <c r="Z475">
        <f>AVERAGEIFS(Table1[FinalElo], Table1[Country], Table1[[#This Row],[Country]])</f>
        <v>1012.0629025423733</v>
      </c>
      <c r="AA475" cm="1">
        <f t="array" ref="AA475">IF(COUNTIFS(Table1[Country],Table1[[#This Row],[Country]])=1,0, _xlfn.STDEV.S(IF(Table1[Country]=Table1[[#This Row],[Country]],Table1[FinalElo])))</f>
        <v>148.42180446198614</v>
      </c>
      <c r="AB475">
        <f>IF(Table1[[#This Row],[CStd]]=0,0, (Table1[[#This Row],[FinalElo]]-Table1[[#This Row],[CAvg]]) / Table1[[#This Row],[CStd]])</f>
        <v>-0.38587930358333639</v>
      </c>
      <c r="AC475" t="str">
        <f>IF(Table1[[#This Row],[CStd]]=0,"Normal", IF(ABS(Table1[[#This Row],[CZscore]])&gt;2,"Outlier","Normal"))</f>
        <v>Normal</v>
      </c>
    </row>
    <row r="476" spans="1:29" x14ac:dyDescent="0.35">
      <c r="A476" t="s">
        <v>1951</v>
      </c>
      <c r="B476">
        <v>55.338223999999997</v>
      </c>
      <c r="C476">
        <v>170</v>
      </c>
      <c r="D476" t="s">
        <v>89</v>
      </c>
      <c r="E476">
        <v>22</v>
      </c>
      <c r="F476" t="s">
        <v>99</v>
      </c>
      <c r="G476" t="s">
        <v>34</v>
      </c>
      <c r="H476" t="s">
        <v>29</v>
      </c>
      <c r="I476" t="s">
        <v>36</v>
      </c>
      <c r="J476">
        <v>0</v>
      </c>
      <c r="K476">
        <v>2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2</v>
      </c>
      <c r="V476">
        <v>0</v>
      </c>
      <c r="W476">
        <v>2</v>
      </c>
      <c r="X476">
        <v>904.68</v>
      </c>
      <c r="Y476">
        <v>1000</v>
      </c>
      <c r="Z476">
        <f>AVERAGEIFS(Table1[FinalElo], Table1[Country], Table1[[#This Row],[Country]])</f>
        <v>1012.0629025423733</v>
      </c>
      <c r="AA476" cm="1">
        <f t="array" ref="AA476">IF(COUNTIFS(Table1[Country],Table1[[#This Row],[Country]])=1,0, _xlfn.STDEV.S(IF(Table1[Country]=Table1[[#This Row],[Country]],Table1[FinalElo])))</f>
        <v>148.42180446198614</v>
      </c>
      <c r="AB476">
        <f>IF(Table1[[#This Row],[CStd]]=0,0, (Table1[[#This Row],[FinalElo]]-Table1[[#This Row],[CAvg]]) / Table1[[#This Row],[CStd]])</f>
        <v>-0.7234981607427925</v>
      </c>
      <c r="AC476" t="str">
        <f>IF(Table1[[#This Row],[CStd]]=0,"Normal", IF(ABS(Table1[[#This Row],[CZscore]])&gt;2,"Outlier","Normal"))</f>
        <v>Normal</v>
      </c>
    </row>
    <row r="477" spans="1:29" x14ac:dyDescent="0.35">
      <c r="A477" t="s">
        <v>1950</v>
      </c>
      <c r="B477">
        <v>59.874144000000001</v>
      </c>
      <c r="C477">
        <v>172</v>
      </c>
      <c r="D477" t="s">
        <v>89</v>
      </c>
      <c r="E477">
        <v>28</v>
      </c>
      <c r="F477" t="s">
        <v>1906</v>
      </c>
      <c r="G477" t="s">
        <v>34</v>
      </c>
      <c r="H477" t="s">
        <v>29</v>
      </c>
      <c r="I477" t="s">
        <v>58</v>
      </c>
      <c r="J477">
        <v>2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2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2</v>
      </c>
      <c r="X477">
        <v>1171.99</v>
      </c>
      <c r="Y477">
        <v>1171.99</v>
      </c>
      <c r="Z477">
        <f>AVERAGEIFS(Table1[FinalElo], Table1[Country], Table1[[#This Row],[Country]])</f>
        <v>1012.0629025423733</v>
      </c>
      <c r="AA477" cm="1">
        <f t="array" ref="AA477">IF(COUNTIFS(Table1[Country],Table1[[#This Row],[Country]])=1,0, _xlfn.STDEV.S(IF(Table1[Country]=Table1[[#This Row],[Country]],Table1[FinalElo])))</f>
        <v>148.42180446198614</v>
      </c>
      <c r="AB477">
        <f>IF(Table1[[#This Row],[CStd]]=0,0, (Table1[[#This Row],[FinalElo]]-Table1[[#This Row],[CAvg]]) / Table1[[#This Row],[CStd]])</f>
        <v>1.0775175388639564</v>
      </c>
      <c r="AC477" t="str">
        <f>IF(Table1[[#This Row],[CStd]]=0,"Normal", IF(ABS(Table1[[#This Row],[CZscore]])&gt;2,"Outlier","Normal"))</f>
        <v>Normal</v>
      </c>
    </row>
    <row r="478" spans="1:29" x14ac:dyDescent="0.35">
      <c r="A478" t="s">
        <v>1949</v>
      </c>
      <c r="B478">
        <v>53.523856000000002</v>
      </c>
      <c r="C478">
        <v>170</v>
      </c>
      <c r="D478" t="s">
        <v>89</v>
      </c>
      <c r="E478">
        <v>26</v>
      </c>
      <c r="F478" t="s">
        <v>535</v>
      </c>
      <c r="G478" t="s">
        <v>34</v>
      </c>
      <c r="H478" t="s">
        <v>29</v>
      </c>
      <c r="I478" t="s">
        <v>36</v>
      </c>
      <c r="J478">
        <v>1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1</v>
      </c>
      <c r="X478">
        <v>1140.21</v>
      </c>
      <c r="Y478">
        <v>1140.21</v>
      </c>
      <c r="Z478">
        <f>AVERAGEIFS(Table1[FinalElo], Table1[Country], Table1[[#This Row],[Country]])</f>
        <v>1012.0629025423733</v>
      </c>
      <c r="AA478" cm="1">
        <f t="array" ref="AA478">IF(COUNTIFS(Table1[Country],Table1[[#This Row],[Country]])=1,0, _xlfn.STDEV.S(IF(Table1[Country]=Table1[[#This Row],[Country]],Table1[FinalElo])))</f>
        <v>148.42180446198614</v>
      </c>
      <c r="AB478">
        <f>IF(Table1[[#This Row],[CStd]]=0,0, (Table1[[#This Row],[FinalElo]]-Table1[[#This Row],[CAvg]]) / Table1[[#This Row],[CStd]])</f>
        <v>0.86339805611545317</v>
      </c>
      <c r="AC478" t="str">
        <f>IF(Table1[[#This Row],[CStd]]=0,"Normal", IF(ABS(Table1[[#This Row],[CZscore]])&gt;2,"Outlier","Normal"))</f>
        <v>Normal</v>
      </c>
    </row>
    <row r="479" spans="1:29" x14ac:dyDescent="0.35">
      <c r="A479" t="s">
        <v>1948</v>
      </c>
      <c r="B479">
        <v>60.8</v>
      </c>
      <c r="C479">
        <v>175</v>
      </c>
      <c r="D479" t="s">
        <v>89</v>
      </c>
      <c r="E479">
        <v>24</v>
      </c>
      <c r="F479" t="s">
        <v>653</v>
      </c>
      <c r="G479" t="s">
        <v>34</v>
      </c>
      <c r="H479" t="s">
        <v>29</v>
      </c>
      <c r="I479" t="s">
        <v>58</v>
      </c>
      <c r="J479">
        <v>3</v>
      </c>
      <c r="K479">
        <v>1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1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4</v>
      </c>
      <c r="X479">
        <v>1100.17</v>
      </c>
      <c r="Y479">
        <v>1264.32</v>
      </c>
      <c r="Z479">
        <f>AVERAGEIFS(Table1[FinalElo], Table1[Country], Table1[[#This Row],[Country]])</f>
        <v>1012.0629025423733</v>
      </c>
      <c r="AA479" cm="1">
        <f t="array" ref="AA479">IF(COUNTIFS(Table1[Country],Table1[[#This Row],[Country]])=1,0, _xlfn.STDEV.S(IF(Table1[Country]=Table1[[#This Row],[Country]],Table1[FinalElo])))</f>
        <v>148.42180446198614</v>
      </c>
      <c r="AB479">
        <f>IF(Table1[[#This Row],[CStd]]=0,0, (Table1[[#This Row],[FinalElo]]-Table1[[#This Row],[CAvg]]) / Table1[[#This Row],[CStd]])</f>
        <v>0.59362637300500409</v>
      </c>
      <c r="AC479" t="str">
        <f>IF(Table1[[#This Row],[CStd]]=0,"Normal", IF(ABS(Table1[[#This Row],[CZscore]])&gt;2,"Outlier","Normal"))</f>
        <v>Normal</v>
      </c>
    </row>
    <row r="480" spans="1:29" x14ac:dyDescent="0.35">
      <c r="A480" t="s">
        <v>1947</v>
      </c>
      <c r="B480">
        <v>61.23</v>
      </c>
      <c r="C480">
        <v>175</v>
      </c>
      <c r="D480" t="s">
        <v>1086</v>
      </c>
      <c r="E480">
        <v>26</v>
      </c>
      <c r="F480" t="s">
        <v>87</v>
      </c>
      <c r="G480" t="s">
        <v>34</v>
      </c>
      <c r="H480" t="s">
        <v>29</v>
      </c>
      <c r="I480" t="s">
        <v>73</v>
      </c>
      <c r="J480">
        <v>0</v>
      </c>
      <c r="K480">
        <v>1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1</v>
      </c>
      <c r="V480">
        <v>0</v>
      </c>
      <c r="W480">
        <v>1</v>
      </c>
      <c r="X480">
        <v>983.41</v>
      </c>
      <c r="Y480">
        <v>1000</v>
      </c>
      <c r="Z480">
        <f>AVERAGEIFS(Table1[FinalElo], Table1[Country], Table1[[#This Row],[Country]])</f>
        <v>958.61333333333334</v>
      </c>
      <c r="AA480" cm="1">
        <f t="array" ref="AA480">IF(COUNTIFS(Table1[Country],Table1[[#This Row],[Country]])=1,0, _xlfn.STDEV.S(IF(Table1[Country]=Table1[[#This Row],[Country]],Table1[FinalElo])))</f>
        <v>120.13982700725606</v>
      </c>
      <c r="AB480">
        <f>IF(Table1[[#This Row],[CStd]]=0,0, (Table1[[#This Row],[FinalElo]]-Table1[[#This Row],[CAvg]]) / Table1[[#This Row],[CStd]])</f>
        <v>0.20639838831438459</v>
      </c>
      <c r="AC480" t="str">
        <f>IF(Table1[[#This Row],[CStd]]=0,"Normal", IF(ABS(Table1[[#This Row],[CZscore]])&gt;2,"Outlier","Normal"))</f>
        <v>Normal</v>
      </c>
    </row>
    <row r="481" spans="1:29" x14ac:dyDescent="0.35">
      <c r="A481" t="s">
        <v>1946</v>
      </c>
      <c r="B481">
        <v>50.2</v>
      </c>
      <c r="C481">
        <v>166</v>
      </c>
      <c r="D481" t="s">
        <v>89</v>
      </c>
      <c r="E481">
        <v>19</v>
      </c>
      <c r="F481" t="s">
        <v>662</v>
      </c>
      <c r="G481" t="s">
        <v>34</v>
      </c>
      <c r="H481" t="s">
        <v>29</v>
      </c>
      <c r="I481" t="s">
        <v>55</v>
      </c>
      <c r="J481">
        <v>0</v>
      </c>
      <c r="K481">
        <v>1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1</v>
      </c>
      <c r="V481">
        <v>0</v>
      </c>
      <c r="W481">
        <v>1</v>
      </c>
      <c r="X481">
        <v>914.84</v>
      </c>
      <c r="Y481">
        <v>1000</v>
      </c>
      <c r="Z481">
        <f>AVERAGEIFS(Table1[FinalElo], Table1[Country], Table1[[#This Row],[Country]])</f>
        <v>1012.0629025423733</v>
      </c>
      <c r="AA481" cm="1">
        <f t="array" ref="AA481">IF(COUNTIFS(Table1[Country],Table1[[#This Row],[Country]])=1,0, _xlfn.STDEV.S(IF(Table1[Country]=Table1[[#This Row],[Country]],Table1[FinalElo])))</f>
        <v>148.42180446198614</v>
      </c>
      <c r="AB481">
        <f>IF(Table1[[#This Row],[CStd]]=0,0, (Table1[[#This Row],[FinalElo]]-Table1[[#This Row],[CAvg]]) / Table1[[#This Row],[CStd]])</f>
        <v>-0.65504460678669385</v>
      </c>
      <c r="AC481" t="str">
        <f>IF(Table1[[#This Row],[CStd]]=0,"Normal", IF(ABS(Table1[[#This Row],[CZscore]])&gt;2,"Outlier","Normal"))</f>
        <v>Normal</v>
      </c>
    </row>
    <row r="482" spans="1:29" x14ac:dyDescent="0.35">
      <c r="A482" t="s">
        <v>1944</v>
      </c>
      <c r="B482">
        <v>55.338223999999997</v>
      </c>
      <c r="C482">
        <v>165</v>
      </c>
      <c r="D482" t="s">
        <v>89</v>
      </c>
      <c r="E482">
        <v>29</v>
      </c>
      <c r="F482" t="s">
        <v>1945</v>
      </c>
      <c r="G482" t="s">
        <v>34</v>
      </c>
      <c r="H482" t="s">
        <v>29</v>
      </c>
      <c r="I482" t="s">
        <v>36</v>
      </c>
      <c r="J482">
        <v>1</v>
      </c>
      <c r="K482">
        <v>1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1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2</v>
      </c>
      <c r="X482">
        <v>971.99</v>
      </c>
      <c r="Y482">
        <v>1100</v>
      </c>
      <c r="Z482">
        <f>AVERAGEIFS(Table1[FinalElo], Table1[Country], Table1[[#This Row],[Country]])</f>
        <v>1012.0629025423733</v>
      </c>
      <c r="AA482" cm="1">
        <f t="array" ref="AA482">IF(COUNTIFS(Table1[Country],Table1[[#This Row],[Country]])=1,0, _xlfn.STDEV.S(IF(Table1[Country]=Table1[[#This Row],[Country]],Table1[FinalElo])))</f>
        <v>148.42180446198614</v>
      </c>
      <c r="AB482">
        <f>IF(Table1[[#This Row],[CStd]]=0,0, (Table1[[#This Row],[FinalElo]]-Table1[[#This Row],[CAvg]]) / Table1[[#This Row],[CStd]])</f>
        <v>-0.26999336578364258</v>
      </c>
      <c r="AC482" t="str">
        <f>IF(Table1[[#This Row],[CStd]]=0,"Normal", IF(ABS(Table1[[#This Row],[CZscore]])&gt;2,"Outlier","Normal"))</f>
        <v>Normal</v>
      </c>
    </row>
    <row r="483" spans="1:29" x14ac:dyDescent="0.35">
      <c r="A483" t="s">
        <v>1942</v>
      </c>
      <c r="B483">
        <v>56.7</v>
      </c>
      <c r="C483">
        <v>175</v>
      </c>
      <c r="D483" t="s">
        <v>89</v>
      </c>
      <c r="E483">
        <v>23</v>
      </c>
      <c r="F483" t="s">
        <v>1943</v>
      </c>
      <c r="G483" t="s">
        <v>34</v>
      </c>
      <c r="H483" t="s">
        <v>29</v>
      </c>
      <c r="I483" t="s">
        <v>58</v>
      </c>
      <c r="J483">
        <v>0</v>
      </c>
      <c r="K483">
        <v>1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1</v>
      </c>
      <c r="X483">
        <v>960.28</v>
      </c>
      <c r="Y483">
        <v>1000</v>
      </c>
      <c r="Z483">
        <f>AVERAGEIFS(Table1[FinalElo], Table1[Country], Table1[[#This Row],[Country]])</f>
        <v>1012.0629025423733</v>
      </c>
      <c r="AA483" cm="1">
        <f t="array" ref="AA483">IF(COUNTIFS(Table1[Country],Table1[[#This Row],[Country]])=1,0, _xlfn.STDEV.S(IF(Table1[Country]=Table1[[#This Row],[Country]],Table1[FinalElo])))</f>
        <v>148.42180446198614</v>
      </c>
      <c r="AB483">
        <f>IF(Table1[[#This Row],[CStd]]=0,0, (Table1[[#This Row],[FinalElo]]-Table1[[#This Row],[CAvg]]) / Table1[[#This Row],[CStd]])</f>
        <v>-0.34889012925075974</v>
      </c>
      <c r="AC483" t="str">
        <f>IF(Table1[[#This Row],[CStd]]=0,"Normal", IF(ABS(Table1[[#This Row],[CZscore]])&gt;2,"Outlier","Normal"))</f>
        <v>Normal</v>
      </c>
    </row>
    <row r="484" spans="1:29" x14ac:dyDescent="0.35">
      <c r="A484" t="s">
        <v>1941</v>
      </c>
      <c r="B484">
        <v>53.523856000000002</v>
      </c>
      <c r="C484">
        <v>177</v>
      </c>
      <c r="D484" t="s">
        <v>89</v>
      </c>
      <c r="E484">
        <v>21</v>
      </c>
      <c r="F484" t="s">
        <v>535</v>
      </c>
      <c r="G484" t="s">
        <v>34</v>
      </c>
      <c r="H484" t="s">
        <v>29</v>
      </c>
      <c r="I484" t="s">
        <v>36</v>
      </c>
      <c r="J484">
        <v>0</v>
      </c>
      <c r="K484">
        <v>1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1</v>
      </c>
      <c r="V484">
        <v>0</v>
      </c>
      <c r="W484">
        <v>1</v>
      </c>
      <c r="X484">
        <v>900</v>
      </c>
      <c r="Y484">
        <v>1000</v>
      </c>
      <c r="Z484">
        <f>AVERAGEIFS(Table1[FinalElo], Table1[Country], Table1[[#This Row],[Country]])</f>
        <v>1012.0629025423733</v>
      </c>
      <c r="AA484" cm="1">
        <f t="array" ref="AA484">IF(COUNTIFS(Table1[Country],Table1[[#This Row],[Country]])=1,0, _xlfn.STDEV.S(IF(Table1[Country]=Table1[[#This Row],[Country]],Table1[FinalElo])))</f>
        <v>148.42180446198614</v>
      </c>
      <c r="AB484">
        <f>IF(Table1[[#This Row],[CStd]]=0,0, (Table1[[#This Row],[FinalElo]]-Table1[[#This Row],[CAvg]]) / Table1[[#This Row],[CStd]])</f>
        <v>-0.75502991591154589</v>
      </c>
      <c r="AC484" t="str">
        <f>IF(Table1[[#This Row],[CStd]]=0,"Normal", IF(ABS(Table1[[#This Row],[CZscore]])&gt;2,"Outlier","Normal"))</f>
        <v>Normal</v>
      </c>
    </row>
    <row r="485" spans="1:29" x14ac:dyDescent="0.35">
      <c r="A485" t="s">
        <v>1940</v>
      </c>
      <c r="B485">
        <v>58</v>
      </c>
      <c r="C485">
        <v>175</v>
      </c>
      <c r="D485" t="s">
        <v>89</v>
      </c>
      <c r="E485">
        <v>19</v>
      </c>
      <c r="F485" t="s">
        <v>96</v>
      </c>
      <c r="G485" t="s">
        <v>34</v>
      </c>
      <c r="H485" t="s">
        <v>29</v>
      </c>
      <c r="I485" t="s">
        <v>58</v>
      </c>
      <c r="J485">
        <v>2</v>
      </c>
      <c r="K485">
        <v>3</v>
      </c>
      <c r="L485">
        <v>0</v>
      </c>
      <c r="M485">
        <v>0</v>
      </c>
      <c r="N485">
        <v>0</v>
      </c>
      <c r="O485">
        <v>0</v>
      </c>
      <c r="P485">
        <v>2</v>
      </c>
      <c r="Q485">
        <v>0</v>
      </c>
      <c r="R485">
        <v>0</v>
      </c>
      <c r="S485">
        <v>0</v>
      </c>
      <c r="T485">
        <v>0</v>
      </c>
      <c r="U485">
        <v>1</v>
      </c>
      <c r="V485">
        <v>1</v>
      </c>
      <c r="W485">
        <v>5</v>
      </c>
      <c r="X485">
        <v>936.01</v>
      </c>
      <c r="Y485">
        <v>1057.73</v>
      </c>
      <c r="Z485">
        <f>AVERAGEIFS(Table1[FinalElo], Table1[Country], Table1[[#This Row],[Country]])</f>
        <v>1012.0629025423733</v>
      </c>
      <c r="AA485" cm="1">
        <f t="array" ref="AA485">IF(COUNTIFS(Table1[Country],Table1[[#This Row],[Country]])=1,0, _xlfn.STDEV.S(IF(Table1[Country]=Table1[[#This Row],[Country]],Table1[FinalElo])))</f>
        <v>148.42180446198614</v>
      </c>
      <c r="AB485">
        <f>IF(Table1[[#This Row],[CStd]]=0,0, (Table1[[#This Row],[FinalElo]]-Table1[[#This Row],[CAvg]]) / Table1[[#This Row],[CStd]])</f>
        <v>-0.51241057752974573</v>
      </c>
      <c r="AC485" t="str">
        <f>IF(Table1[[#This Row],[CStd]]=0,"Normal", IF(ABS(Table1[[#This Row],[CZscore]])&gt;2,"Outlier","Normal"))</f>
        <v>Normal</v>
      </c>
    </row>
    <row r="486" spans="1:29" x14ac:dyDescent="0.35">
      <c r="A486" t="s">
        <v>1939</v>
      </c>
      <c r="B486">
        <v>55.4</v>
      </c>
      <c r="C486">
        <v>168</v>
      </c>
      <c r="D486" t="s">
        <v>89</v>
      </c>
      <c r="E486">
        <v>18</v>
      </c>
      <c r="F486" t="s">
        <v>563</v>
      </c>
      <c r="G486" t="s">
        <v>34</v>
      </c>
      <c r="H486" t="s">
        <v>29</v>
      </c>
      <c r="I486" t="s">
        <v>36</v>
      </c>
      <c r="J486">
        <v>1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1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1</v>
      </c>
      <c r="X486">
        <v>1100</v>
      </c>
      <c r="Y486">
        <v>1100</v>
      </c>
      <c r="Z486">
        <f>AVERAGEIFS(Table1[FinalElo], Table1[Country], Table1[[#This Row],[Country]])</f>
        <v>1012.0629025423733</v>
      </c>
      <c r="AA486" cm="1">
        <f t="array" ref="AA486">IF(COUNTIFS(Table1[Country],Table1[[#This Row],[Country]])=1,0, _xlfn.STDEV.S(IF(Table1[Country]=Table1[[#This Row],[Country]],Table1[FinalElo])))</f>
        <v>148.42180446198614</v>
      </c>
      <c r="AB486">
        <f>IF(Table1[[#This Row],[CStd]]=0,0, (Table1[[#This Row],[FinalElo]]-Table1[[#This Row],[CAvg]]) / Table1[[#This Row],[CStd]])</f>
        <v>0.59248098873605315</v>
      </c>
      <c r="AC486" t="str">
        <f>IF(Table1[[#This Row],[CStd]]=0,"Normal", IF(ABS(Table1[[#This Row],[CZscore]])&gt;2,"Outlier","Normal"))</f>
        <v>Normal</v>
      </c>
    </row>
    <row r="487" spans="1:29" x14ac:dyDescent="0.35">
      <c r="A487" t="s">
        <v>1938</v>
      </c>
      <c r="B487">
        <v>58.513368</v>
      </c>
      <c r="C487">
        <v>170</v>
      </c>
      <c r="D487" t="s">
        <v>89</v>
      </c>
      <c r="E487">
        <v>19</v>
      </c>
      <c r="F487" t="s">
        <v>104</v>
      </c>
      <c r="G487" t="s">
        <v>34</v>
      </c>
      <c r="H487" t="s">
        <v>29</v>
      </c>
      <c r="I487" t="s">
        <v>58</v>
      </c>
      <c r="J487">
        <v>0</v>
      </c>
      <c r="K487">
        <v>1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1</v>
      </c>
      <c r="X487">
        <v>900</v>
      </c>
      <c r="Y487">
        <v>1000</v>
      </c>
      <c r="Z487">
        <f>AVERAGEIFS(Table1[FinalElo], Table1[Country], Table1[[#This Row],[Country]])</f>
        <v>1012.0629025423733</v>
      </c>
      <c r="AA487" cm="1">
        <f t="array" ref="AA487">IF(COUNTIFS(Table1[Country],Table1[[#This Row],[Country]])=1,0, _xlfn.STDEV.S(IF(Table1[Country]=Table1[[#This Row],[Country]],Table1[FinalElo])))</f>
        <v>148.42180446198614</v>
      </c>
      <c r="AB487">
        <f>IF(Table1[[#This Row],[CStd]]=0,0, (Table1[[#This Row],[FinalElo]]-Table1[[#This Row],[CAvg]]) / Table1[[#This Row],[CStd]])</f>
        <v>-0.75502991591154589</v>
      </c>
      <c r="AC487" t="str">
        <f>IF(Table1[[#This Row],[CStd]]=0,"Normal", IF(ABS(Table1[[#This Row],[CZscore]])&gt;2,"Outlier","Normal"))</f>
        <v>Normal</v>
      </c>
    </row>
    <row r="488" spans="1:29" x14ac:dyDescent="0.35">
      <c r="A488" t="s">
        <v>1937</v>
      </c>
      <c r="B488">
        <v>58.8</v>
      </c>
      <c r="C488">
        <v>175</v>
      </c>
      <c r="D488" t="s">
        <v>89</v>
      </c>
      <c r="E488">
        <v>22</v>
      </c>
      <c r="F488" t="s">
        <v>473</v>
      </c>
      <c r="G488" t="s">
        <v>34</v>
      </c>
      <c r="H488" t="s">
        <v>29</v>
      </c>
      <c r="I488" t="s">
        <v>58</v>
      </c>
      <c r="J488">
        <v>0</v>
      </c>
      <c r="K488">
        <v>1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1</v>
      </c>
      <c r="V488">
        <v>0</v>
      </c>
      <c r="W488">
        <v>1</v>
      </c>
      <c r="X488">
        <v>890.55</v>
      </c>
      <c r="Y488">
        <v>1000</v>
      </c>
      <c r="Z488">
        <f>AVERAGEIFS(Table1[FinalElo], Table1[Country], Table1[[#This Row],[Country]])</f>
        <v>1012.0629025423733</v>
      </c>
      <c r="AA488" cm="1">
        <f t="array" ref="AA488">IF(COUNTIFS(Table1[Country],Table1[[#This Row],[Country]])=1,0, _xlfn.STDEV.S(IF(Table1[Country]=Table1[[#This Row],[Country]],Table1[FinalElo])))</f>
        <v>148.42180446198614</v>
      </c>
      <c r="AB488">
        <f>IF(Table1[[#This Row],[CStd]]=0,0, (Table1[[#This Row],[FinalElo]]-Table1[[#This Row],[CAvg]]) / Table1[[#This Row],[CStd]])</f>
        <v>-0.81869980615614524</v>
      </c>
      <c r="AC488" t="str">
        <f>IF(Table1[[#This Row],[CStd]]=0,"Normal", IF(ABS(Table1[[#This Row],[CZscore]])&gt;2,"Outlier","Normal"))</f>
        <v>Normal</v>
      </c>
    </row>
    <row r="489" spans="1:29" x14ac:dyDescent="0.35">
      <c r="A489" t="s">
        <v>1936</v>
      </c>
      <c r="B489">
        <v>54.7</v>
      </c>
      <c r="C489">
        <v>165</v>
      </c>
      <c r="D489" t="s">
        <v>89</v>
      </c>
      <c r="E489">
        <v>33</v>
      </c>
      <c r="F489" t="s">
        <v>703</v>
      </c>
      <c r="G489" t="s">
        <v>34</v>
      </c>
      <c r="H489" t="s">
        <v>29</v>
      </c>
      <c r="I489" t="s">
        <v>36</v>
      </c>
      <c r="J489">
        <v>3</v>
      </c>
      <c r="K489">
        <v>1</v>
      </c>
      <c r="L489">
        <v>0</v>
      </c>
      <c r="M489">
        <v>0</v>
      </c>
      <c r="N489">
        <v>0</v>
      </c>
      <c r="O489">
        <v>0</v>
      </c>
      <c r="P489">
        <v>1</v>
      </c>
      <c r="Q489">
        <v>0</v>
      </c>
      <c r="R489">
        <v>0</v>
      </c>
      <c r="S489">
        <v>0</v>
      </c>
      <c r="T489">
        <v>0</v>
      </c>
      <c r="U489">
        <v>1</v>
      </c>
      <c r="V489">
        <v>0</v>
      </c>
      <c r="W489">
        <v>4</v>
      </c>
      <c r="X489">
        <v>1132.23</v>
      </c>
      <c r="Y489">
        <v>1182.72</v>
      </c>
      <c r="Z489">
        <f>AVERAGEIFS(Table1[FinalElo], Table1[Country], Table1[[#This Row],[Country]])</f>
        <v>1012.0629025423733</v>
      </c>
      <c r="AA489" cm="1">
        <f t="array" ref="AA489">IF(COUNTIFS(Table1[Country],Table1[[#This Row],[Country]])=1,0, _xlfn.STDEV.S(IF(Table1[Country]=Table1[[#This Row],[Country]],Table1[FinalElo])))</f>
        <v>148.42180446198614</v>
      </c>
      <c r="AB489">
        <f>IF(Table1[[#This Row],[CStd]]=0,0, (Table1[[#This Row],[FinalElo]]-Table1[[#This Row],[CAvg]]) / Table1[[#This Row],[CStd]])</f>
        <v>0.80963237102001384</v>
      </c>
      <c r="AC489" t="str">
        <f>IF(Table1[[#This Row],[CStd]]=0,"Normal", IF(ABS(Table1[[#This Row],[CZscore]])&gt;2,"Outlier","Normal"))</f>
        <v>Normal</v>
      </c>
    </row>
    <row r="490" spans="1:29" x14ac:dyDescent="0.35">
      <c r="A490" t="s">
        <v>1935</v>
      </c>
      <c r="B490">
        <v>54.5</v>
      </c>
      <c r="C490">
        <v>165</v>
      </c>
      <c r="D490" t="s">
        <v>89</v>
      </c>
      <c r="E490">
        <v>24</v>
      </c>
      <c r="F490" t="s">
        <v>680</v>
      </c>
      <c r="G490" t="s">
        <v>34</v>
      </c>
      <c r="H490" t="s">
        <v>29</v>
      </c>
      <c r="I490" t="s">
        <v>36</v>
      </c>
      <c r="J490">
        <v>0</v>
      </c>
      <c r="K490">
        <v>2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2</v>
      </c>
      <c r="V490">
        <v>0</v>
      </c>
      <c r="W490">
        <v>2</v>
      </c>
      <c r="X490">
        <v>851.95</v>
      </c>
      <c r="Y490">
        <v>1000</v>
      </c>
      <c r="Z490">
        <f>AVERAGEIFS(Table1[FinalElo], Table1[Country], Table1[[#This Row],[Country]])</f>
        <v>1012.0629025423733</v>
      </c>
      <c r="AA490" cm="1">
        <f t="array" ref="AA490">IF(COUNTIFS(Table1[Country],Table1[[#This Row],[Country]])=1,0, _xlfn.STDEV.S(IF(Table1[Country]=Table1[[#This Row],[Country]],Table1[FinalElo])))</f>
        <v>148.42180446198614</v>
      </c>
      <c r="AB490">
        <f>IF(Table1[[#This Row],[CStd]]=0,0, (Table1[[#This Row],[FinalElo]]-Table1[[#This Row],[CAvg]]) / Table1[[#This Row],[CStd]])</f>
        <v>-1.0787694107531314</v>
      </c>
      <c r="AC490" t="str">
        <f>IF(Table1[[#This Row],[CStd]]=0,"Normal", IF(ABS(Table1[[#This Row],[CZscore]])&gt;2,"Outlier","Normal"))</f>
        <v>Normal</v>
      </c>
    </row>
    <row r="491" spans="1:29" x14ac:dyDescent="0.35">
      <c r="A491" t="s">
        <v>1934</v>
      </c>
      <c r="B491">
        <v>59.5</v>
      </c>
      <c r="C491">
        <v>177</v>
      </c>
      <c r="D491" t="s">
        <v>89</v>
      </c>
      <c r="E491">
        <v>26</v>
      </c>
      <c r="F491" t="s">
        <v>1150</v>
      </c>
      <c r="G491" t="s">
        <v>34</v>
      </c>
      <c r="H491" t="s">
        <v>29</v>
      </c>
      <c r="I491" t="s">
        <v>58</v>
      </c>
      <c r="J491">
        <v>1</v>
      </c>
      <c r="K491">
        <v>1</v>
      </c>
      <c r="L491">
        <v>0</v>
      </c>
      <c r="M491">
        <v>0</v>
      </c>
      <c r="N491">
        <v>0</v>
      </c>
      <c r="O491">
        <v>0</v>
      </c>
      <c r="P491">
        <v>1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2</v>
      </c>
      <c r="X491">
        <v>1048.44</v>
      </c>
      <c r="Y491">
        <v>1048.44</v>
      </c>
      <c r="Z491">
        <f>AVERAGEIFS(Table1[FinalElo], Table1[Country], Table1[[#This Row],[Country]])</f>
        <v>1012.0629025423733</v>
      </c>
      <c r="AA491" cm="1">
        <f t="array" ref="AA491">IF(COUNTIFS(Table1[Country],Table1[[#This Row],[Country]])=1,0, _xlfn.STDEV.S(IF(Table1[Country]=Table1[[#This Row],[Country]],Table1[FinalElo])))</f>
        <v>148.42180446198614</v>
      </c>
      <c r="AB491">
        <f>IF(Table1[[#This Row],[CStd]]=0,0, (Table1[[#This Row],[FinalElo]]-Table1[[#This Row],[CAvg]]) / Table1[[#This Row],[CStd]])</f>
        <v>0.24509267751790245</v>
      </c>
      <c r="AC491" t="str">
        <f>IF(Table1[[#This Row],[CStd]]=0,"Normal", IF(ABS(Table1[[#This Row],[CZscore]])&gt;2,"Outlier","Normal"))</f>
        <v>Normal</v>
      </c>
    </row>
    <row r="492" spans="1:29" x14ac:dyDescent="0.35">
      <c r="A492" t="s">
        <v>1933</v>
      </c>
      <c r="B492">
        <v>55.338223999999997</v>
      </c>
      <c r="C492">
        <v>165</v>
      </c>
      <c r="D492" t="s">
        <v>89</v>
      </c>
      <c r="E492">
        <v>28</v>
      </c>
      <c r="F492" t="s">
        <v>1529</v>
      </c>
      <c r="G492" t="s">
        <v>34</v>
      </c>
      <c r="H492" t="s">
        <v>29</v>
      </c>
      <c r="I492" t="s">
        <v>36</v>
      </c>
      <c r="J492">
        <v>2</v>
      </c>
      <c r="K492">
        <v>1</v>
      </c>
      <c r="L492">
        <v>0</v>
      </c>
      <c r="M492">
        <v>0</v>
      </c>
      <c r="N492">
        <v>0</v>
      </c>
      <c r="O492">
        <v>0</v>
      </c>
      <c r="P492">
        <v>2</v>
      </c>
      <c r="Q492">
        <v>0</v>
      </c>
      <c r="R492">
        <v>0</v>
      </c>
      <c r="S492">
        <v>0</v>
      </c>
      <c r="T492">
        <v>0</v>
      </c>
      <c r="U492">
        <v>1</v>
      </c>
      <c r="V492">
        <v>0</v>
      </c>
      <c r="W492">
        <v>3</v>
      </c>
      <c r="X492">
        <v>1048.82</v>
      </c>
      <c r="Y492">
        <v>1151.56</v>
      </c>
      <c r="Z492">
        <f>AVERAGEIFS(Table1[FinalElo], Table1[Country], Table1[[#This Row],[Country]])</f>
        <v>1012.0629025423733</v>
      </c>
      <c r="AA492" cm="1">
        <f t="array" ref="AA492">IF(COUNTIFS(Table1[Country],Table1[[#This Row],[Country]])=1,0, _xlfn.STDEV.S(IF(Table1[Country]=Table1[[#This Row],[Country]],Table1[FinalElo])))</f>
        <v>148.42180446198614</v>
      </c>
      <c r="AB492">
        <f>IF(Table1[[#This Row],[CStd]]=0,0, (Table1[[#This Row],[FinalElo]]-Table1[[#This Row],[CAvg]]) / Table1[[#This Row],[CStd]])</f>
        <v>0.24765294823673212</v>
      </c>
      <c r="AC492" t="str">
        <f>IF(Table1[[#This Row],[CStd]]=0,"Normal", IF(ABS(Table1[[#This Row],[CZscore]])&gt;2,"Outlier","Normal"))</f>
        <v>Normal</v>
      </c>
    </row>
    <row r="493" spans="1:29" x14ac:dyDescent="0.35">
      <c r="A493" t="s">
        <v>1931</v>
      </c>
      <c r="B493">
        <v>53.977448000000003</v>
      </c>
      <c r="C493">
        <v>164</v>
      </c>
      <c r="D493" t="s">
        <v>89</v>
      </c>
      <c r="E493">
        <v>29</v>
      </c>
      <c r="F493" t="s">
        <v>1932</v>
      </c>
      <c r="G493" t="s">
        <v>34</v>
      </c>
      <c r="H493" t="s">
        <v>29</v>
      </c>
      <c r="I493" t="s">
        <v>36</v>
      </c>
      <c r="J493">
        <v>1</v>
      </c>
      <c r="K493">
        <v>2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1</v>
      </c>
      <c r="S493">
        <v>0</v>
      </c>
      <c r="T493">
        <v>0</v>
      </c>
      <c r="U493">
        <v>1</v>
      </c>
      <c r="V493">
        <v>0</v>
      </c>
      <c r="W493">
        <v>3</v>
      </c>
      <c r="X493">
        <v>880.03</v>
      </c>
      <c r="Y493">
        <v>1100</v>
      </c>
      <c r="Z493">
        <f>AVERAGEIFS(Table1[FinalElo], Table1[Country], Table1[[#This Row],[Country]])</f>
        <v>1012.0629025423733</v>
      </c>
      <c r="AA493" cm="1">
        <f t="array" ref="AA493">IF(COUNTIFS(Table1[Country],Table1[[#This Row],[Country]])=1,0, _xlfn.STDEV.S(IF(Table1[Country]=Table1[[#This Row],[Country]],Table1[FinalElo])))</f>
        <v>148.42180446198614</v>
      </c>
      <c r="AB493">
        <f>IF(Table1[[#This Row],[CStd]]=0,0, (Table1[[#This Row],[FinalElo]]-Table1[[#This Row],[CAvg]]) / Table1[[#This Row],[CStd]])</f>
        <v>-0.8895788797406089</v>
      </c>
      <c r="AC493" t="str">
        <f>IF(Table1[[#This Row],[CStd]]=0,"Normal", IF(ABS(Table1[[#This Row],[CZscore]])&gt;2,"Outlier","Normal"))</f>
        <v>Normal</v>
      </c>
    </row>
    <row r="494" spans="1:29" x14ac:dyDescent="0.35">
      <c r="A494" t="s">
        <v>1929</v>
      </c>
      <c r="B494">
        <v>50.6</v>
      </c>
      <c r="C494">
        <v>170</v>
      </c>
      <c r="D494" t="s">
        <v>89</v>
      </c>
      <c r="E494">
        <v>17</v>
      </c>
      <c r="F494" t="s">
        <v>1930</v>
      </c>
      <c r="G494" t="s">
        <v>34</v>
      </c>
      <c r="H494" t="s">
        <v>29</v>
      </c>
      <c r="I494" t="s">
        <v>55</v>
      </c>
      <c r="J494">
        <v>0</v>
      </c>
      <c r="K494">
        <v>1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1</v>
      </c>
      <c r="X494">
        <v>900</v>
      </c>
      <c r="Y494">
        <v>1000</v>
      </c>
      <c r="Z494">
        <f>AVERAGEIFS(Table1[FinalElo], Table1[Country], Table1[[#This Row],[Country]])</f>
        <v>1012.0629025423733</v>
      </c>
      <c r="AA494" cm="1">
        <f t="array" ref="AA494">IF(COUNTIFS(Table1[Country],Table1[[#This Row],[Country]])=1,0, _xlfn.STDEV.S(IF(Table1[Country]=Table1[[#This Row],[Country]],Table1[FinalElo])))</f>
        <v>148.42180446198614</v>
      </c>
      <c r="AB494">
        <f>IF(Table1[[#This Row],[CStd]]=0,0, (Table1[[#This Row],[FinalElo]]-Table1[[#This Row],[CAvg]]) / Table1[[#This Row],[CStd]])</f>
        <v>-0.75502991591154589</v>
      </c>
      <c r="AC494" t="str">
        <f>IF(Table1[[#This Row],[CStd]]=0,"Normal", IF(ABS(Table1[[#This Row],[CZscore]])&gt;2,"Outlier","Normal"))</f>
        <v>Normal</v>
      </c>
    </row>
    <row r="495" spans="1:29" x14ac:dyDescent="0.35">
      <c r="A495" t="s">
        <v>1927</v>
      </c>
      <c r="B495">
        <v>53.977448000000003</v>
      </c>
      <c r="C495">
        <v>167</v>
      </c>
      <c r="D495" t="s">
        <v>89</v>
      </c>
      <c r="E495">
        <v>22</v>
      </c>
      <c r="F495" t="s">
        <v>1928</v>
      </c>
      <c r="G495" t="s">
        <v>34</v>
      </c>
      <c r="H495" t="s">
        <v>29</v>
      </c>
      <c r="I495" t="s">
        <v>36</v>
      </c>
      <c r="J495">
        <v>0</v>
      </c>
      <c r="K495">
        <v>1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1</v>
      </c>
      <c r="X495">
        <v>941.22</v>
      </c>
      <c r="Y495">
        <v>1000</v>
      </c>
      <c r="Z495">
        <f>AVERAGEIFS(Table1[FinalElo], Table1[Country], Table1[[#This Row],[Country]])</f>
        <v>1012.0629025423733</v>
      </c>
      <c r="AA495" cm="1">
        <f t="array" ref="AA495">IF(COUNTIFS(Table1[Country],Table1[[#This Row],[Country]])=1,0, _xlfn.STDEV.S(IF(Table1[Country]=Table1[[#This Row],[Country]],Table1[FinalElo])))</f>
        <v>148.42180446198614</v>
      </c>
      <c r="AB495">
        <f>IF(Table1[[#This Row],[CStd]]=0,0, (Table1[[#This Row],[FinalElo]]-Table1[[#This Row],[CAvg]]) / Table1[[#This Row],[CStd]])</f>
        <v>-0.4773079184636756</v>
      </c>
      <c r="AC495" t="str">
        <f>IF(Table1[[#This Row],[CStd]]=0,"Normal", IF(ABS(Table1[[#This Row],[CZscore]])&gt;2,"Outlier","Normal"))</f>
        <v>Normal</v>
      </c>
    </row>
    <row r="496" spans="1:29" x14ac:dyDescent="0.35">
      <c r="A496" t="s">
        <v>1926</v>
      </c>
      <c r="B496">
        <v>55.2</v>
      </c>
      <c r="C496">
        <v>165</v>
      </c>
      <c r="D496" t="s">
        <v>89</v>
      </c>
      <c r="E496">
        <v>29</v>
      </c>
      <c r="F496" t="s">
        <v>653</v>
      </c>
      <c r="G496" t="s">
        <v>34</v>
      </c>
      <c r="H496" t="s">
        <v>29</v>
      </c>
      <c r="I496" t="s">
        <v>36</v>
      </c>
      <c r="J496">
        <v>0</v>
      </c>
      <c r="K496">
        <v>1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1</v>
      </c>
      <c r="X496">
        <v>900</v>
      </c>
      <c r="Y496">
        <v>1000</v>
      </c>
      <c r="Z496">
        <f>AVERAGEIFS(Table1[FinalElo], Table1[Country], Table1[[#This Row],[Country]])</f>
        <v>1012.0629025423733</v>
      </c>
      <c r="AA496" cm="1">
        <f t="array" ref="AA496">IF(COUNTIFS(Table1[Country],Table1[[#This Row],[Country]])=1,0, _xlfn.STDEV.S(IF(Table1[Country]=Table1[[#This Row],[Country]],Table1[FinalElo])))</f>
        <v>148.42180446198614</v>
      </c>
      <c r="AB496">
        <f>IF(Table1[[#This Row],[CStd]]=0,0, (Table1[[#This Row],[FinalElo]]-Table1[[#This Row],[CAvg]]) / Table1[[#This Row],[CStd]])</f>
        <v>-0.75502991591154589</v>
      </c>
      <c r="AC496" t="str">
        <f>IF(Table1[[#This Row],[CStd]]=0,"Normal", IF(ABS(Table1[[#This Row],[CZscore]])&gt;2,"Outlier","Normal"))</f>
        <v>Normal</v>
      </c>
    </row>
    <row r="497" spans="1:29" x14ac:dyDescent="0.35">
      <c r="A497" t="s">
        <v>1924</v>
      </c>
      <c r="B497">
        <v>52.1</v>
      </c>
      <c r="C497">
        <v>163</v>
      </c>
      <c r="D497" t="s">
        <v>89</v>
      </c>
      <c r="E497">
        <v>27</v>
      </c>
      <c r="F497" t="s">
        <v>1925</v>
      </c>
      <c r="G497" t="s">
        <v>34</v>
      </c>
      <c r="H497" t="s">
        <v>29</v>
      </c>
      <c r="I497" t="s">
        <v>55</v>
      </c>
      <c r="J497">
        <v>4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4</v>
      </c>
      <c r="X497">
        <v>1326.17</v>
      </c>
      <c r="Y497">
        <v>1326.17</v>
      </c>
      <c r="Z497">
        <f>AVERAGEIFS(Table1[FinalElo], Table1[Country], Table1[[#This Row],[Country]])</f>
        <v>1012.0629025423733</v>
      </c>
      <c r="AA497" cm="1">
        <f t="array" ref="AA497">IF(COUNTIFS(Table1[Country],Table1[[#This Row],[Country]])=1,0, _xlfn.STDEV.S(IF(Table1[Country]=Table1[[#This Row],[Country]],Table1[FinalElo])))</f>
        <v>148.42180446198614</v>
      </c>
      <c r="AB497">
        <f>IF(Table1[[#This Row],[CStd]]=0,0, (Table1[[#This Row],[FinalElo]]-Table1[[#This Row],[CAvg]]) / Table1[[#This Row],[CStd]])</f>
        <v>2.1163136952567911</v>
      </c>
      <c r="AC497" t="str">
        <f>IF(Table1[[#This Row],[CStd]]=0,"Normal", IF(ABS(Table1[[#This Row],[CZscore]])&gt;2,"Outlier","Normal"))</f>
        <v>Outlier</v>
      </c>
    </row>
    <row r="498" spans="1:29" x14ac:dyDescent="0.35">
      <c r="A498" t="s">
        <v>1923</v>
      </c>
      <c r="B498">
        <v>47.63</v>
      </c>
      <c r="C498">
        <v>168</v>
      </c>
      <c r="D498" t="s">
        <v>89</v>
      </c>
      <c r="E498">
        <v>22</v>
      </c>
      <c r="F498" t="s">
        <v>1237</v>
      </c>
      <c r="G498" t="s">
        <v>34</v>
      </c>
      <c r="H498" t="s">
        <v>29</v>
      </c>
      <c r="I498" t="s">
        <v>55</v>
      </c>
      <c r="J498">
        <v>2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1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2</v>
      </c>
      <c r="X498">
        <v>1203.4000000000001</v>
      </c>
      <c r="Y498">
        <v>1203.4000000000001</v>
      </c>
      <c r="Z498">
        <f>AVERAGEIFS(Table1[FinalElo], Table1[Country], Table1[[#This Row],[Country]])</f>
        <v>1012.0629025423733</v>
      </c>
      <c r="AA498" cm="1">
        <f t="array" ref="AA498">IF(COUNTIFS(Table1[Country],Table1[[#This Row],[Country]])=1,0, _xlfn.STDEV.S(IF(Table1[Country]=Table1[[#This Row],[Country]],Table1[FinalElo])))</f>
        <v>148.42180446198614</v>
      </c>
      <c r="AB498">
        <f>IF(Table1[[#This Row],[CStd]]=0,0, (Table1[[#This Row],[FinalElo]]-Table1[[#This Row],[CAvg]]) / Table1[[#This Row],[CStd]])</f>
        <v>1.2891441264388626</v>
      </c>
      <c r="AC498" t="str">
        <f>IF(Table1[[#This Row],[CStd]]=0,"Normal", IF(ABS(Table1[[#This Row],[CZscore]])&gt;2,"Outlier","Normal"))</f>
        <v>Normal</v>
      </c>
    </row>
    <row r="499" spans="1:29" x14ac:dyDescent="0.35">
      <c r="A499" t="s">
        <v>1921</v>
      </c>
      <c r="B499">
        <v>53.070264000000002</v>
      </c>
      <c r="C499">
        <v>168</v>
      </c>
      <c r="D499" t="s">
        <v>89</v>
      </c>
      <c r="E499">
        <v>24</v>
      </c>
      <c r="F499" t="s">
        <v>1922</v>
      </c>
      <c r="G499" t="s">
        <v>34</v>
      </c>
      <c r="H499" t="s">
        <v>29</v>
      </c>
      <c r="I499" t="s">
        <v>36</v>
      </c>
      <c r="J499">
        <v>0</v>
      </c>
      <c r="K499">
        <v>1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1</v>
      </c>
      <c r="X499">
        <v>915.38</v>
      </c>
      <c r="Y499">
        <v>1000</v>
      </c>
      <c r="Z499">
        <f>AVERAGEIFS(Table1[FinalElo], Table1[Country], Table1[[#This Row],[Country]])</f>
        <v>1012.0629025423733</v>
      </c>
      <c r="AA499" cm="1">
        <f t="array" ref="AA499">IF(COUNTIFS(Table1[Country],Table1[[#This Row],[Country]])=1,0, _xlfn.STDEV.S(IF(Table1[Country]=Table1[[#This Row],[Country]],Table1[FinalElo])))</f>
        <v>148.42180446198614</v>
      </c>
      <c r="AB499">
        <f>IF(Table1[[#This Row],[CStd]]=0,0, (Table1[[#This Row],[FinalElo]]-Table1[[#This Row],[CAvg]]) / Table1[[#This Row],[CStd]])</f>
        <v>-0.65140632734414561</v>
      </c>
      <c r="AC499" t="str">
        <f>IF(Table1[[#This Row],[CStd]]=0,"Normal", IF(ABS(Table1[[#This Row],[CZscore]])&gt;2,"Outlier","Normal"))</f>
        <v>Normal</v>
      </c>
    </row>
    <row r="500" spans="1:29" x14ac:dyDescent="0.35">
      <c r="A500" t="s">
        <v>1920</v>
      </c>
      <c r="B500">
        <v>58.8</v>
      </c>
      <c r="C500">
        <v>172</v>
      </c>
      <c r="D500" t="s">
        <v>89</v>
      </c>
      <c r="E500">
        <v>30</v>
      </c>
      <c r="F500" t="s">
        <v>99</v>
      </c>
      <c r="G500" t="s">
        <v>34</v>
      </c>
      <c r="H500" t="s">
        <v>29</v>
      </c>
      <c r="I500" t="s">
        <v>58</v>
      </c>
      <c r="J500">
        <v>1</v>
      </c>
      <c r="K500">
        <v>2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1</v>
      </c>
      <c r="R500">
        <v>0</v>
      </c>
      <c r="S500">
        <v>0</v>
      </c>
      <c r="T500">
        <v>0</v>
      </c>
      <c r="U500">
        <v>1</v>
      </c>
      <c r="V500">
        <v>0</v>
      </c>
      <c r="W500">
        <v>3</v>
      </c>
      <c r="X500">
        <v>992.74</v>
      </c>
      <c r="Y500">
        <v>1064.78</v>
      </c>
      <c r="Z500">
        <f>AVERAGEIFS(Table1[FinalElo], Table1[Country], Table1[[#This Row],[Country]])</f>
        <v>1012.0629025423733</v>
      </c>
      <c r="AA500" cm="1">
        <f t="array" ref="AA500">IF(COUNTIFS(Table1[Country],Table1[[#This Row],[Country]])=1,0, _xlfn.STDEV.S(IF(Table1[Country]=Table1[[#This Row],[Country]],Table1[FinalElo])))</f>
        <v>148.42180446198614</v>
      </c>
      <c r="AB500">
        <f>IF(Table1[[#This Row],[CStd]]=0,0, (Table1[[#This Row],[FinalElo]]-Table1[[#This Row],[CAvg]]) / Table1[[#This Row],[CStd]])</f>
        <v>-0.13018910942645417</v>
      </c>
      <c r="AC500" t="str">
        <f>IF(Table1[[#This Row],[CStd]]=0,"Normal", IF(ABS(Table1[[#This Row],[CZscore]])&gt;2,"Outlier","Normal"))</f>
        <v>Normal</v>
      </c>
    </row>
    <row r="501" spans="1:29" x14ac:dyDescent="0.35">
      <c r="A501" t="s">
        <v>1918</v>
      </c>
      <c r="B501">
        <v>55</v>
      </c>
      <c r="C501">
        <v>173</v>
      </c>
      <c r="D501" t="s">
        <v>1366</v>
      </c>
      <c r="E501">
        <v>21</v>
      </c>
      <c r="F501" t="s">
        <v>1919</v>
      </c>
      <c r="G501" t="s">
        <v>34</v>
      </c>
      <c r="H501" t="s">
        <v>29</v>
      </c>
      <c r="I501" t="s">
        <v>36</v>
      </c>
      <c r="J501">
        <v>3</v>
      </c>
      <c r="K501">
        <v>4</v>
      </c>
      <c r="L501">
        <v>0</v>
      </c>
      <c r="M501">
        <v>0</v>
      </c>
      <c r="N501">
        <v>0</v>
      </c>
      <c r="O501">
        <v>0</v>
      </c>
      <c r="P501">
        <v>1</v>
      </c>
      <c r="Q501">
        <v>0</v>
      </c>
      <c r="R501">
        <v>0</v>
      </c>
      <c r="S501">
        <v>0</v>
      </c>
      <c r="T501">
        <v>0</v>
      </c>
      <c r="U501">
        <v>2</v>
      </c>
      <c r="V501">
        <v>2</v>
      </c>
      <c r="W501">
        <v>7</v>
      </c>
      <c r="X501">
        <v>911.78</v>
      </c>
      <c r="Y501">
        <v>1151.03</v>
      </c>
      <c r="Z501">
        <f>AVERAGEIFS(Table1[FinalElo], Table1[Country], Table1[[#This Row],[Country]])</f>
        <v>956.19333333333327</v>
      </c>
      <c r="AA501" cm="1">
        <f t="array" ref="AA501">IF(COUNTIFS(Table1[Country],Table1[[#This Row],[Country]])=1,0, _xlfn.STDEV.S(IF(Table1[Country]=Table1[[#This Row],[Country]],Table1[FinalElo])))</f>
        <v>95.923712266571499</v>
      </c>
      <c r="AB501">
        <f>IF(Table1[[#This Row],[CStd]]=0,0, (Table1[[#This Row],[FinalElo]]-Table1[[#This Row],[CAvg]]) / Table1[[#This Row],[CStd]])</f>
        <v>-0.46300682369244506</v>
      </c>
      <c r="AC501" t="str">
        <f>IF(Table1[[#This Row],[CStd]]=0,"Normal", IF(ABS(Table1[[#This Row],[CZscore]])&gt;2,"Outlier","Normal"))</f>
        <v>Normal</v>
      </c>
    </row>
    <row r="502" spans="1:29" x14ac:dyDescent="0.35">
      <c r="A502" t="s">
        <v>1916</v>
      </c>
      <c r="B502">
        <v>59.7</v>
      </c>
      <c r="C502">
        <v>169</v>
      </c>
      <c r="D502" t="s">
        <v>89</v>
      </c>
      <c r="E502">
        <v>30</v>
      </c>
      <c r="F502" t="s">
        <v>1917</v>
      </c>
      <c r="G502" t="s">
        <v>34</v>
      </c>
      <c r="H502" t="s">
        <v>29</v>
      </c>
      <c r="I502" t="s">
        <v>58</v>
      </c>
      <c r="J502">
        <v>2</v>
      </c>
      <c r="K502">
        <v>1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1</v>
      </c>
      <c r="V502">
        <v>0</v>
      </c>
      <c r="W502">
        <v>3</v>
      </c>
      <c r="X502">
        <v>1054.93</v>
      </c>
      <c r="Y502">
        <v>1148.05</v>
      </c>
      <c r="Z502">
        <f>AVERAGEIFS(Table1[FinalElo], Table1[Country], Table1[[#This Row],[Country]])</f>
        <v>1012.0629025423733</v>
      </c>
      <c r="AA502" cm="1">
        <f t="array" ref="AA502">IF(COUNTIFS(Table1[Country],Table1[[#This Row],[Country]])=1,0, _xlfn.STDEV.S(IF(Table1[Country]=Table1[[#This Row],[Country]],Table1[FinalElo])))</f>
        <v>148.42180446198614</v>
      </c>
      <c r="AB502">
        <f>IF(Table1[[#This Row],[CStd]]=0,0, (Table1[[#This Row],[FinalElo]]-Table1[[#This Row],[CAvg]]) / Table1[[#This Row],[CStd]])</f>
        <v>0.28881940637371711</v>
      </c>
      <c r="AC502" t="str">
        <f>IF(Table1[[#This Row],[CStd]]=0,"Normal", IF(ABS(Table1[[#This Row],[CZscore]])&gt;2,"Outlier","Normal"))</f>
        <v>Normal</v>
      </c>
    </row>
    <row r="503" spans="1:29" x14ac:dyDescent="0.35">
      <c r="A503" t="s">
        <v>1915</v>
      </c>
      <c r="B503">
        <v>47.63</v>
      </c>
      <c r="C503">
        <v>168</v>
      </c>
      <c r="D503" t="s">
        <v>89</v>
      </c>
      <c r="E503">
        <v>19</v>
      </c>
      <c r="F503" t="s">
        <v>1845</v>
      </c>
      <c r="G503" t="s">
        <v>34</v>
      </c>
      <c r="H503" t="s">
        <v>29</v>
      </c>
      <c r="I503" t="s">
        <v>55</v>
      </c>
      <c r="J503">
        <v>0</v>
      </c>
      <c r="K503">
        <v>3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1</v>
      </c>
      <c r="W503">
        <v>3</v>
      </c>
      <c r="X503">
        <v>773.83</v>
      </c>
      <c r="Y503">
        <v>1000</v>
      </c>
      <c r="Z503">
        <f>AVERAGEIFS(Table1[FinalElo], Table1[Country], Table1[[#This Row],[Country]])</f>
        <v>1012.0629025423733</v>
      </c>
      <c r="AA503" cm="1">
        <f t="array" ref="AA503">IF(COUNTIFS(Table1[Country],Table1[[#This Row],[Country]])=1,0, _xlfn.STDEV.S(IF(Table1[Country]=Table1[[#This Row],[Country]],Table1[FinalElo])))</f>
        <v>148.42180446198614</v>
      </c>
      <c r="AB503">
        <f>IF(Table1[[#This Row],[CStd]]=0,0, (Table1[[#This Row],[FinalElo]]-Table1[[#This Row],[CAvg]]) / Table1[[#This Row],[CStd]])</f>
        <v>-1.6051071701084836</v>
      </c>
      <c r="AC503" t="str">
        <f>IF(Table1[[#This Row],[CStd]]=0,"Normal", IF(ABS(Table1[[#This Row],[CZscore]])&gt;2,"Outlier","Normal"))</f>
        <v>Normal</v>
      </c>
    </row>
    <row r="504" spans="1:29" x14ac:dyDescent="0.35">
      <c r="A504" t="s">
        <v>1914</v>
      </c>
      <c r="B504">
        <v>60.327736000000002</v>
      </c>
      <c r="C504">
        <v>173</v>
      </c>
      <c r="D504" t="s">
        <v>89</v>
      </c>
      <c r="E504">
        <v>21</v>
      </c>
      <c r="F504" t="s">
        <v>337</v>
      </c>
      <c r="G504" t="s">
        <v>34</v>
      </c>
      <c r="H504" t="s">
        <v>29</v>
      </c>
      <c r="I504" t="s">
        <v>58</v>
      </c>
      <c r="J504">
        <v>2</v>
      </c>
      <c r="K504">
        <v>2</v>
      </c>
      <c r="L504">
        <v>0</v>
      </c>
      <c r="M504">
        <v>1</v>
      </c>
      <c r="N504">
        <v>0</v>
      </c>
      <c r="O504">
        <v>0</v>
      </c>
      <c r="P504">
        <v>1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4</v>
      </c>
      <c r="X504">
        <v>994.57</v>
      </c>
      <c r="Y504">
        <v>1130.45</v>
      </c>
      <c r="Z504">
        <f>AVERAGEIFS(Table1[FinalElo], Table1[Country], Table1[[#This Row],[Country]])</f>
        <v>1012.0629025423733</v>
      </c>
      <c r="AA504" cm="1">
        <f t="array" ref="AA504">IF(COUNTIFS(Table1[Country],Table1[[#This Row],[Country]])=1,0, _xlfn.STDEV.S(IF(Table1[Country]=Table1[[#This Row],[Country]],Table1[FinalElo])))</f>
        <v>148.42180446198614</v>
      </c>
      <c r="AB504">
        <f>IF(Table1[[#This Row],[CStd]]=0,0, (Table1[[#This Row],[FinalElo]]-Table1[[#This Row],[CAvg]]) / Table1[[#This Row],[CStd]])</f>
        <v>-0.11785938464892837</v>
      </c>
      <c r="AC504" t="str">
        <f>IF(Table1[[#This Row],[CStd]]=0,"Normal", IF(ABS(Table1[[#This Row],[CZscore]])&gt;2,"Outlier","Normal"))</f>
        <v>Normal</v>
      </c>
    </row>
    <row r="505" spans="1:29" x14ac:dyDescent="0.35">
      <c r="A505" t="s">
        <v>1913</v>
      </c>
      <c r="B505">
        <v>57.4</v>
      </c>
      <c r="C505">
        <v>170</v>
      </c>
      <c r="D505" t="s">
        <v>89</v>
      </c>
      <c r="E505">
        <v>23</v>
      </c>
      <c r="F505" t="s">
        <v>680</v>
      </c>
      <c r="G505" t="s">
        <v>34</v>
      </c>
      <c r="H505" t="s">
        <v>29</v>
      </c>
      <c r="I505" t="s">
        <v>58</v>
      </c>
      <c r="J505">
        <v>1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1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1</v>
      </c>
      <c r="X505">
        <v>1100</v>
      </c>
      <c r="Y505">
        <v>1100</v>
      </c>
      <c r="Z505">
        <f>AVERAGEIFS(Table1[FinalElo], Table1[Country], Table1[[#This Row],[Country]])</f>
        <v>1012.0629025423733</v>
      </c>
      <c r="AA505" cm="1">
        <f t="array" ref="AA505">IF(COUNTIFS(Table1[Country],Table1[[#This Row],[Country]])=1,0, _xlfn.STDEV.S(IF(Table1[Country]=Table1[[#This Row],[Country]],Table1[FinalElo])))</f>
        <v>148.42180446198614</v>
      </c>
      <c r="AB505">
        <f>IF(Table1[[#This Row],[CStd]]=0,0, (Table1[[#This Row],[FinalElo]]-Table1[[#This Row],[CAvg]]) / Table1[[#This Row],[CStd]])</f>
        <v>0.59248098873605315</v>
      </c>
      <c r="AC505" t="str">
        <f>IF(Table1[[#This Row],[CStd]]=0,"Normal", IF(ABS(Table1[[#This Row],[CZscore]])&gt;2,"Outlier","Normal"))</f>
        <v>Normal</v>
      </c>
    </row>
    <row r="506" spans="1:29" x14ac:dyDescent="0.35">
      <c r="A506" t="s">
        <v>1912</v>
      </c>
      <c r="B506">
        <v>53.523856000000002</v>
      </c>
      <c r="C506">
        <v>166</v>
      </c>
      <c r="D506" t="s">
        <v>89</v>
      </c>
      <c r="E506">
        <v>24</v>
      </c>
      <c r="F506" t="s">
        <v>1603</v>
      </c>
      <c r="G506" t="s">
        <v>34</v>
      </c>
      <c r="H506" t="s">
        <v>29</v>
      </c>
      <c r="I506" t="s">
        <v>36</v>
      </c>
      <c r="J506">
        <v>0</v>
      </c>
      <c r="K506">
        <v>1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1</v>
      </c>
      <c r="X506">
        <v>928.01</v>
      </c>
      <c r="Y506">
        <v>1000</v>
      </c>
      <c r="Z506">
        <f>AVERAGEIFS(Table1[FinalElo], Table1[Country], Table1[[#This Row],[Country]])</f>
        <v>1012.0629025423733</v>
      </c>
      <c r="AA506" cm="1">
        <f t="array" ref="AA506">IF(COUNTIFS(Table1[Country],Table1[[#This Row],[Country]])=1,0, _xlfn.STDEV.S(IF(Table1[Country]=Table1[[#This Row],[Country]],Table1[FinalElo])))</f>
        <v>148.42180446198614</v>
      </c>
      <c r="AB506">
        <f>IF(Table1[[#This Row],[CStd]]=0,0, (Table1[[#This Row],[FinalElo]]-Table1[[#This Row],[CAvg]]) / Table1[[#This Row],[CStd]])</f>
        <v>-0.56631101371564974</v>
      </c>
      <c r="AC506" t="str">
        <f>IF(Table1[[#This Row],[CStd]]=0,"Normal", IF(ABS(Table1[[#This Row],[CZscore]])&gt;2,"Outlier","Normal"))</f>
        <v>Normal</v>
      </c>
    </row>
    <row r="507" spans="1:29" x14ac:dyDescent="0.35">
      <c r="A507" t="s">
        <v>1911</v>
      </c>
      <c r="B507">
        <v>63.502879999999998</v>
      </c>
      <c r="C507">
        <v>170</v>
      </c>
      <c r="D507" t="s">
        <v>89</v>
      </c>
      <c r="E507">
        <v>25</v>
      </c>
      <c r="F507" t="s">
        <v>1886</v>
      </c>
      <c r="G507" t="s">
        <v>34</v>
      </c>
      <c r="H507" t="s">
        <v>29</v>
      </c>
      <c r="I507" t="s">
        <v>73</v>
      </c>
      <c r="J507">
        <v>0</v>
      </c>
      <c r="K507">
        <v>1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1</v>
      </c>
      <c r="W507">
        <v>1</v>
      </c>
      <c r="X507">
        <v>900</v>
      </c>
      <c r="Y507">
        <v>1000</v>
      </c>
      <c r="Z507">
        <f>AVERAGEIFS(Table1[FinalElo], Table1[Country], Table1[[#This Row],[Country]])</f>
        <v>1012.0629025423733</v>
      </c>
      <c r="AA507" cm="1">
        <f t="array" ref="AA507">IF(COUNTIFS(Table1[Country],Table1[[#This Row],[Country]])=1,0, _xlfn.STDEV.S(IF(Table1[Country]=Table1[[#This Row],[Country]],Table1[FinalElo])))</f>
        <v>148.42180446198614</v>
      </c>
      <c r="AB507">
        <f>IF(Table1[[#This Row],[CStd]]=0,0, (Table1[[#This Row],[FinalElo]]-Table1[[#This Row],[CAvg]]) / Table1[[#This Row],[CStd]])</f>
        <v>-0.75502991591154589</v>
      </c>
      <c r="AC507" t="str">
        <f>IF(Table1[[#This Row],[CStd]]=0,"Normal", IF(ABS(Table1[[#This Row],[CZscore]])&gt;2,"Outlier","Normal"))</f>
        <v>Normal</v>
      </c>
    </row>
    <row r="508" spans="1:29" x14ac:dyDescent="0.35">
      <c r="A508" t="s">
        <v>1910</v>
      </c>
      <c r="B508">
        <v>50.802303999999999</v>
      </c>
      <c r="C508">
        <v>165</v>
      </c>
      <c r="D508" t="s">
        <v>89</v>
      </c>
      <c r="E508">
        <v>29</v>
      </c>
      <c r="F508" t="s">
        <v>699</v>
      </c>
      <c r="G508" t="s">
        <v>34</v>
      </c>
      <c r="H508" t="s">
        <v>29</v>
      </c>
      <c r="I508" t="s">
        <v>55</v>
      </c>
      <c r="J508">
        <v>1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1</v>
      </c>
      <c r="X508">
        <v>1145.82</v>
      </c>
      <c r="Y508">
        <v>1145.82</v>
      </c>
      <c r="Z508">
        <f>AVERAGEIFS(Table1[FinalElo], Table1[Country], Table1[[#This Row],[Country]])</f>
        <v>1012.0629025423733</v>
      </c>
      <c r="AA508" cm="1">
        <f t="array" ref="AA508">IF(COUNTIFS(Table1[Country],Table1[[#This Row],[Country]])=1,0, _xlfn.STDEV.S(IF(Table1[Country]=Table1[[#This Row],[Country]],Table1[FinalElo])))</f>
        <v>148.42180446198614</v>
      </c>
      <c r="AB508">
        <f>IF(Table1[[#This Row],[CStd]]=0,0, (Table1[[#This Row],[FinalElo]]-Table1[[#This Row],[CAvg]]) / Table1[[#This Row],[CStd]])</f>
        <v>0.90119573699081768</v>
      </c>
      <c r="AC508" t="str">
        <f>IF(Table1[[#This Row],[CStd]]=0,"Normal", IF(ABS(Table1[[#This Row],[CZscore]])&gt;2,"Outlier","Normal"))</f>
        <v>Normal</v>
      </c>
    </row>
    <row r="509" spans="1:29" x14ac:dyDescent="0.35">
      <c r="A509" t="s">
        <v>1909</v>
      </c>
      <c r="B509">
        <v>54.431040000000003</v>
      </c>
      <c r="C509">
        <v>164</v>
      </c>
      <c r="D509" t="s">
        <v>89</v>
      </c>
      <c r="E509">
        <v>23</v>
      </c>
      <c r="F509" t="s">
        <v>653</v>
      </c>
      <c r="G509" t="s">
        <v>34</v>
      </c>
      <c r="H509" t="s">
        <v>29</v>
      </c>
      <c r="I509" t="s">
        <v>36</v>
      </c>
      <c r="J509">
        <v>0</v>
      </c>
      <c r="K509">
        <v>1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1</v>
      </c>
      <c r="X509">
        <v>900</v>
      </c>
      <c r="Y509">
        <v>1000</v>
      </c>
      <c r="Z509">
        <f>AVERAGEIFS(Table1[FinalElo], Table1[Country], Table1[[#This Row],[Country]])</f>
        <v>1012.0629025423733</v>
      </c>
      <c r="AA509" cm="1">
        <f t="array" ref="AA509">IF(COUNTIFS(Table1[Country],Table1[[#This Row],[Country]])=1,0, _xlfn.STDEV.S(IF(Table1[Country]=Table1[[#This Row],[Country]],Table1[FinalElo])))</f>
        <v>148.42180446198614</v>
      </c>
      <c r="AB509">
        <f>IF(Table1[[#This Row],[CStd]]=0,0, (Table1[[#This Row],[FinalElo]]-Table1[[#This Row],[CAvg]]) / Table1[[#This Row],[CStd]])</f>
        <v>-0.75502991591154589</v>
      </c>
      <c r="AC509" t="str">
        <f>IF(Table1[[#This Row],[CStd]]=0,"Normal", IF(ABS(Table1[[#This Row],[CZscore]])&gt;2,"Outlier","Normal"))</f>
        <v>Normal</v>
      </c>
    </row>
    <row r="510" spans="1:29" x14ac:dyDescent="0.35">
      <c r="A510" t="s">
        <v>1907</v>
      </c>
      <c r="B510">
        <v>57.152591999999999</v>
      </c>
      <c r="C510">
        <v>167</v>
      </c>
      <c r="D510" t="s">
        <v>89</v>
      </c>
      <c r="E510">
        <v>28</v>
      </c>
      <c r="F510" t="s">
        <v>1908</v>
      </c>
      <c r="G510" t="s">
        <v>34</v>
      </c>
      <c r="H510" t="s">
        <v>29</v>
      </c>
      <c r="I510" t="s">
        <v>58</v>
      </c>
      <c r="J510">
        <v>7</v>
      </c>
      <c r="K510">
        <v>3</v>
      </c>
      <c r="L510">
        <v>0</v>
      </c>
      <c r="M510">
        <v>1</v>
      </c>
      <c r="N510">
        <v>0</v>
      </c>
      <c r="O510">
        <v>0</v>
      </c>
      <c r="P510">
        <v>3</v>
      </c>
      <c r="Q510">
        <v>0</v>
      </c>
      <c r="R510">
        <v>0</v>
      </c>
      <c r="S510">
        <v>0</v>
      </c>
      <c r="T510">
        <v>0</v>
      </c>
      <c r="U510">
        <v>1</v>
      </c>
      <c r="V510">
        <v>1</v>
      </c>
      <c r="W510">
        <v>10</v>
      </c>
      <c r="X510">
        <v>1119.78</v>
      </c>
      <c r="Y510">
        <v>1304.01</v>
      </c>
      <c r="Z510">
        <f>AVERAGEIFS(Table1[FinalElo], Table1[Country], Table1[[#This Row],[Country]])</f>
        <v>1012.0629025423733</v>
      </c>
      <c r="AA510" cm="1">
        <f t="array" ref="AA510">IF(COUNTIFS(Table1[Country],Table1[[#This Row],[Country]])=1,0, _xlfn.STDEV.S(IF(Table1[Country]=Table1[[#This Row],[Country]],Table1[FinalElo])))</f>
        <v>148.42180446198614</v>
      </c>
      <c r="AB510">
        <f>IF(Table1[[#This Row],[CStd]]=0,0, (Table1[[#This Row],[FinalElo]]-Table1[[#This Row],[CAvg]]) / Table1[[#This Row],[CStd]])</f>
        <v>0.72574981720570053</v>
      </c>
      <c r="AC510" t="str">
        <f>IF(Table1[[#This Row],[CStd]]=0,"Normal", IF(ABS(Table1[[#This Row],[CZscore]])&gt;2,"Outlier","Normal"))</f>
        <v>Normal</v>
      </c>
    </row>
    <row r="511" spans="1:29" x14ac:dyDescent="0.35">
      <c r="A511" t="s">
        <v>1905</v>
      </c>
      <c r="B511">
        <v>60.327736000000002</v>
      </c>
      <c r="C511">
        <v>170</v>
      </c>
      <c r="D511" t="s">
        <v>89</v>
      </c>
      <c r="E511">
        <v>22</v>
      </c>
      <c r="F511" t="s">
        <v>1906</v>
      </c>
      <c r="G511" t="s">
        <v>34</v>
      </c>
      <c r="H511" t="s">
        <v>29</v>
      </c>
      <c r="I511" t="s">
        <v>58</v>
      </c>
      <c r="J511">
        <v>0</v>
      </c>
      <c r="K511">
        <v>1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1</v>
      </c>
      <c r="X511">
        <v>900</v>
      </c>
      <c r="Y511">
        <v>1000</v>
      </c>
      <c r="Z511">
        <f>AVERAGEIFS(Table1[FinalElo], Table1[Country], Table1[[#This Row],[Country]])</f>
        <v>1012.0629025423733</v>
      </c>
      <c r="AA511" cm="1">
        <f t="array" ref="AA511">IF(COUNTIFS(Table1[Country],Table1[[#This Row],[Country]])=1,0, _xlfn.STDEV.S(IF(Table1[Country]=Table1[[#This Row],[Country]],Table1[FinalElo])))</f>
        <v>148.42180446198614</v>
      </c>
      <c r="AB511">
        <f>IF(Table1[[#This Row],[CStd]]=0,0, (Table1[[#This Row],[FinalElo]]-Table1[[#This Row],[CAvg]]) / Table1[[#This Row],[CStd]])</f>
        <v>-0.75502991591154589</v>
      </c>
      <c r="AC511" t="str">
        <f>IF(Table1[[#This Row],[CStd]]=0,"Normal", IF(ABS(Table1[[#This Row],[CZscore]])&gt;2,"Outlier","Normal"))</f>
        <v>Normal</v>
      </c>
    </row>
    <row r="512" spans="1:29" x14ac:dyDescent="0.35">
      <c r="A512" t="s">
        <v>1904</v>
      </c>
      <c r="B512">
        <v>52.616672000000001</v>
      </c>
      <c r="C512">
        <v>167</v>
      </c>
      <c r="D512" t="s">
        <v>89</v>
      </c>
      <c r="E512">
        <v>28</v>
      </c>
      <c r="F512" t="s">
        <v>1527</v>
      </c>
      <c r="G512" t="s">
        <v>34</v>
      </c>
      <c r="H512" t="s">
        <v>29</v>
      </c>
      <c r="I512" t="s">
        <v>36</v>
      </c>
      <c r="J512">
        <v>0</v>
      </c>
      <c r="K512">
        <v>1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1</v>
      </c>
      <c r="X512">
        <v>900</v>
      </c>
      <c r="Y512">
        <v>1000</v>
      </c>
      <c r="Z512">
        <f>AVERAGEIFS(Table1[FinalElo], Table1[Country], Table1[[#This Row],[Country]])</f>
        <v>1012.0629025423733</v>
      </c>
      <c r="AA512" cm="1">
        <f t="array" ref="AA512">IF(COUNTIFS(Table1[Country],Table1[[#This Row],[Country]])=1,0, _xlfn.STDEV.S(IF(Table1[Country]=Table1[[#This Row],[Country]],Table1[FinalElo])))</f>
        <v>148.42180446198614</v>
      </c>
      <c r="AB512">
        <f>IF(Table1[[#This Row],[CStd]]=0,0, (Table1[[#This Row],[FinalElo]]-Table1[[#This Row],[CAvg]]) / Table1[[#This Row],[CStd]])</f>
        <v>-0.75502991591154589</v>
      </c>
      <c r="AC512" t="str">
        <f>IF(Table1[[#This Row],[CStd]]=0,"Normal", IF(ABS(Table1[[#This Row],[CZscore]])&gt;2,"Outlier","Normal"))</f>
        <v>Normal</v>
      </c>
    </row>
    <row r="513" spans="1:29" x14ac:dyDescent="0.35">
      <c r="A513" t="s">
        <v>1902</v>
      </c>
      <c r="B513">
        <v>61.23</v>
      </c>
      <c r="C513">
        <v>175</v>
      </c>
      <c r="D513" t="s">
        <v>89</v>
      </c>
      <c r="E513">
        <v>20</v>
      </c>
      <c r="F513" t="s">
        <v>1903</v>
      </c>
      <c r="G513" t="s">
        <v>34</v>
      </c>
      <c r="H513" t="s">
        <v>29</v>
      </c>
      <c r="I513" t="s">
        <v>73</v>
      </c>
      <c r="J513">
        <v>0</v>
      </c>
      <c r="K513">
        <v>1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1</v>
      </c>
      <c r="W513">
        <v>1</v>
      </c>
      <c r="X513">
        <v>871.99</v>
      </c>
      <c r="Y513">
        <v>1000</v>
      </c>
      <c r="Z513">
        <f>AVERAGEIFS(Table1[FinalElo], Table1[Country], Table1[[#This Row],[Country]])</f>
        <v>1012.0629025423733</v>
      </c>
      <c r="AA513" cm="1">
        <f t="array" ref="AA513">IF(COUNTIFS(Table1[Country],Table1[[#This Row],[Country]])=1,0, _xlfn.STDEV.S(IF(Table1[Country]=Table1[[#This Row],[Country]],Table1[FinalElo])))</f>
        <v>148.42180446198614</v>
      </c>
      <c r="AB513">
        <f>IF(Table1[[#This Row],[CStd]]=0,0, (Table1[[#This Row],[FinalElo]]-Table1[[#This Row],[CAvg]]) / Table1[[#This Row],[CStd]])</f>
        <v>-0.94374881810744216</v>
      </c>
      <c r="AC513" t="str">
        <f>IF(Table1[[#This Row],[CStd]]=0,"Normal", IF(ABS(Table1[[#This Row],[CZscore]])&gt;2,"Outlier","Normal"))</f>
        <v>Normal</v>
      </c>
    </row>
    <row r="514" spans="1:29" x14ac:dyDescent="0.35">
      <c r="A514" t="s">
        <v>1901</v>
      </c>
      <c r="B514">
        <v>58.96696</v>
      </c>
      <c r="C514">
        <v>177</v>
      </c>
      <c r="D514" t="s">
        <v>89</v>
      </c>
      <c r="E514">
        <v>24</v>
      </c>
      <c r="F514" t="s">
        <v>1900</v>
      </c>
      <c r="G514" t="s">
        <v>34</v>
      </c>
      <c r="H514" t="s">
        <v>29</v>
      </c>
      <c r="I514" t="s">
        <v>58</v>
      </c>
      <c r="J514">
        <v>0</v>
      </c>
      <c r="K514">
        <v>1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1</v>
      </c>
      <c r="X514">
        <v>902.92</v>
      </c>
      <c r="Y514">
        <v>1000</v>
      </c>
      <c r="Z514">
        <f>AVERAGEIFS(Table1[FinalElo], Table1[Country], Table1[[#This Row],[Country]])</f>
        <v>1012.0629025423733</v>
      </c>
      <c r="AA514" cm="1">
        <f t="array" ref="AA514">IF(COUNTIFS(Table1[Country],Table1[[#This Row],[Country]])=1,0, _xlfn.STDEV.S(IF(Table1[Country]=Table1[[#This Row],[Country]],Table1[FinalElo])))</f>
        <v>148.42180446198614</v>
      </c>
      <c r="AB514">
        <f>IF(Table1[[#This Row],[CStd]]=0,0, (Table1[[#This Row],[FinalElo]]-Table1[[#This Row],[CAvg]]) / Table1[[#This Row],[CStd]])</f>
        <v>-0.7353562567036912</v>
      </c>
      <c r="AC514" t="str">
        <f>IF(Table1[[#This Row],[CStd]]=0,"Normal", IF(ABS(Table1[[#This Row],[CZscore]])&gt;2,"Outlier","Normal"))</f>
        <v>Normal</v>
      </c>
    </row>
    <row r="515" spans="1:29" x14ac:dyDescent="0.35">
      <c r="A515" t="s">
        <v>1899</v>
      </c>
      <c r="B515">
        <v>57</v>
      </c>
      <c r="C515">
        <v>173</v>
      </c>
      <c r="D515" t="s">
        <v>89</v>
      </c>
      <c r="E515">
        <v>19</v>
      </c>
      <c r="F515" t="s">
        <v>1900</v>
      </c>
      <c r="G515" t="s">
        <v>34</v>
      </c>
      <c r="H515" t="s">
        <v>29</v>
      </c>
      <c r="I515" t="s">
        <v>58</v>
      </c>
      <c r="J515">
        <v>0</v>
      </c>
      <c r="K515">
        <v>1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1</v>
      </c>
      <c r="S515">
        <v>0</v>
      </c>
      <c r="T515">
        <v>0</v>
      </c>
      <c r="U515">
        <v>0</v>
      </c>
      <c r="V515">
        <v>0</v>
      </c>
      <c r="W515">
        <v>1</v>
      </c>
      <c r="X515">
        <v>900</v>
      </c>
      <c r="Y515">
        <v>1000</v>
      </c>
      <c r="Z515">
        <f>AVERAGEIFS(Table1[FinalElo], Table1[Country], Table1[[#This Row],[Country]])</f>
        <v>1012.0629025423733</v>
      </c>
      <c r="AA515" cm="1">
        <f t="array" ref="AA515">IF(COUNTIFS(Table1[Country],Table1[[#This Row],[Country]])=1,0, _xlfn.STDEV.S(IF(Table1[Country]=Table1[[#This Row],[Country]],Table1[FinalElo])))</f>
        <v>148.42180446198614</v>
      </c>
      <c r="AB515">
        <f>IF(Table1[[#This Row],[CStd]]=0,0, (Table1[[#This Row],[FinalElo]]-Table1[[#This Row],[CAvg]]) / Table1[[#This Row],[CStd]])</f>
        <v>-0.75502991591154589</v>
      </c>
      <c r="AC515" t="str">
        <f>IF(Table1[[#This Row],[CStd]]=0,"Normal", IF(ABS(Table1[[#This Row],[CZscore]])&gt;2,"Outlier","Normal"))</f>
        <v>Normal</v>
      </c>
    </row>
    <row r="516" spans="1:29" x14ac:dyDescent="0.35">
      <c r="A516" t="s">
        <v>1898</v>
      </c>
      <c r="B516">
        <v>58.059775999999999</v>
      </c>
      <c r="C516">
        <v>165</v>
      </c>
      <c r="D516" t="s">
        <v>89</v>
      </c>
      <c r="E516">
        <v>25</v>
      </c>
      <c r="F516" t="s">
        <v>718</v>
      </c>
      <c r="G516" t="s">
        <v>34</v>
      </c>
      <c r="H516" t="s">
        <v>29</v>
      </c>
      <c r="I516" t="s">
        <v>58</v>
      </c>
      <c r="J516">
        <v>0</v>
      </c>
      <c r="K516">
        <v>1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1</v>
      </c>
      <c r="S516">
        <v>0</v>
      </c>
      <c r="T516">
        <v>0</v>
      </c>
      <c r="U516">
        <v>0</v>
      </c>
      <c r="V516">
        <v>0</v>
      </c>
      <c r="W516">
        <v>1</v>
      </c>
      <c r="X516">
        <v>928.01</v>
      </c>
      <c r="Y516">
        <v>1000</v>
      </c>
      <c r="Z516">
        <f>AVERAGEIFS(Table1[FinalElo], Table1[Country], Table1[[#This Row],[Country]])</f>
        <v>1012.0629025423733</v>
      </c>
      <c r="AA516" cm="1">
        <f t="array" ref="AA516">IF(COUNTIFS(Table1[Country],Table1[[#This Row],[Country]])=1,0, _xlfn.STDEV.S(IF(Table1[Country]=Table1[[#This Row],[Country]],Table1[FinalElo])))</f>
        <v>148.42180446198614</v>
      </c>
      <c r="AB516">
        <f>IF(Table1[[#This Row],[CStd]]=0,0, (Table1[[#This Row],[FinalElo]]-Table1[[#This Row],[CAvg]]) / Table1[[#This Row],[CStd]])</f>
        <v>-0.56631101371564974</v>
      </c>
      <c r="AC516" t="str">
        <f>IF(Table1[[#This Row],[CStd]]=0,"Normal", IF(ABS(Table1[[#This Row],[CZscore]])&gt;2,"Outlier","Normal"))</f>
        <v>Normal</v>
      </c>
    </row>
    <row r="517" spans="1:29" x14ac:dyDescent="0.35">
      <c r="A517" t="s">
        <v>1897</v>
      </c>
      <c r="B517">
        <v>57.1</v>
      </c>
      <c r="C517">
        <v>170</v>
      </c>
      <c r="D517" t="s">
        <v>89</v>
      </c>
      <c r="E517">
        <v>22</v>
      </c>
      <c r="F517" t="s">
        <v>674</v>
      </c>
      <c r="G517" t="s">
        <v>34</v>
      </c>
      <c r="H517" t="s">
        <v>29</v>
      </c>
      <c r="I517" t="s">
        <v>58</v>
      </c>
      <c r="J517">
        <v>0</v>
      </c>
      <c r="K517">
        <v>1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1</v>
      </c>
      <c r="V517">
        <v>0</v>
      </c>
      <c r="W517">
        <v>1</v>
      </c>
      <c r="X517">
        <v>940.21</v>
      </c>
      <c r="Y517">
        <v>1000</v>
      </c>
      <c r="Z517">
        <f>AVERAGEIFS(Table1[FinalElo], Table1[Country], Table1[[#This Row],[Country]])</f>
        <v>1012.0629025423733</v>
      </c>
      <c r="AA517" cm="1">
        <f t="array" ref="AA517">IF(COUNTIFS(Table1[Country],Table1[[#This Row],[Country]])=1,0, _xlfn.STDEV.S(IF(Table1[Country]=Table1[[#This Row],[Country]],Table1[FinalElo])))</f>
        <v>148.42180446198614</v>
      </c>
      <c r="AB517">
        <f>IF(Table1[[#This Row],[CStd]]=0,0, (Table1[[#This Row],[FinalElo]]-Table1[[#This Row],[CAvg]]) / Table1[[#This Row],[CStd]])</f>
        <v>-0.48411284853214587</v>
      </c>
      <c r="AC517" t="str">
        <f>IF(Table1[[#This Row],[CStd]]=0,"Normal", IF(ABS(Table1[[#This Row],[CZscore]])&gt;2,"Outlier","Normal"))</f>
        <v>Normal</v>
      </c>
    </row>
    <row r="518" spans="1:29" x14ac:dyDescent="0.35">
      <c r="A518" t="s">
        <v>1896</v>
      </c>
      <c r="B518">
        <v>57.9</v>
      </c>
      <c r="C518">
        <v>169</v>
      </c>
      <c r="D518" t="s">
        <v>89</v>
      </c>
      <c r="E518">
        <v>25</v>
      </c>
      <c r="F518" t="s">
        <v>104</v>
      </c>
      <c r="G518" t="s">
        <v>34</v>
      </c>
      <c r="H518" t="s">
        <v>29</v>
      </c>
      <c r="I518" t="s">
        <v>58</v>
      </c>
      <c r="J518">
        <v>2</v>
      </c>
      <c r="K518">
        <v>1</v>
      </c>
      <c r="L518">
        <v>0</v>
      </c>
      <c r="M518">
        <v>0</v>
      </c>
      <c r="N518">
        <v>0</v>
      </c>
      <c r="O518">
        <v>0</v>
      </c>
      <c r="P518">
        <v>2</v>
      </c>
      <c r="Q518">
        <v>0</v>
      </c>
      <c r="R518">
        <v>1</v>
      </c>
      <c r="S518">
        <v>0</v>
      </c>
      <c r="T518">
        <v>0</v>
      </c>
      <c r="U518">
        <v>0</v>
      </c>
      <c r="V518">
        <v>0</v>
      </c>
      <c r="W518">
        <v>3</v>
      </c>
      <c r="X518">
        <v>1097.24</v>
      </c>
      <c r="Y518">
        <v>1147.6300000000001</v>
      </c>
      <c r="Z518">
        <f>AVERAGEIFS(Table1[FinalElo], Table1[Country], Table1[[#This Row],[Country]])</f>
        <v>1012.0629025423733</v>
      </c>
      <c r="AA518" cm="1">
        <f t="array" ref="AA518">IF(COUNTIFS(Table1[Country],Table1[[#This Row],[Country]])=1,0, _xlfn.STDEV.S(IF(Table1[Country]=Table1[[#This Row],[Country]],Table1[FinalElo])))</f>
        <v>148.42180446198614</v>
      </c>
      <c r="AB518">
        <f>IF(Table1[[#This Row],[CStd]]=0,0, (Table1[[#This Row],[FinalElo]]-Table1[[#This Row],[CAvg]]) / Table1[[#This Row],[CStd]])</f>
        <v>0.57388533825191634</v>
      </c>
      <c r="AC518" t="str">
        <f>IF(Table1[[#This Row],[CStd]]=0,"Normal", IF(ABS(Table1[[#This Row],[CZscore]])&gt;2,"Outlier","Normal"))</f>
        <v>Normal</v>
      </c>
    </row>
    <row r="519" spans="1:29" x14ac:dyDescent="0.35">
      <c r="A519" t="s">
        <v>1895</v>
      </c>
      <c r="B519">
        <v>64.410064000000006</v>
      </c>
      <c r="C519">
        <v>173</v>
      </c>
      <c r="D519" t="s">
        <v>89</v>
      </c>
      <c r="E519">
        <v>23</v>
      </c>
      <c r="F519" t="s">
        <v>104</v>
      </c>
      <c r="G519" t="s">
        <v>34</v>
      </c>
      <c r="H519" t="s">
        <v>29</v>
      </c>
      <c r="I519" t="s">
        <v>73</v>
      </c>
      <c r="J519">
        <v>2</v>
      </c>
      <c r="K519">
        <v>2</v>
      </c>
      <c r="L519">
        <v>0</v>
      </c>
      <c r="M519">
        <v>0</v>
      </c>
      <c r="N519">
        <v>0</v>
      </c>
      <c r="O519">
        <v>0</v>
      </c>
      <c r="P519">
        <v>2</v>
      </c>
      <c r="Q519">
        <v>0</v>
      </c>
      <c r="R519">
        <v>1</v>
      </c>
      <c r="S519">
        <v>0</v>
      </c>
      <c r="T519">
        <v>0</v>
      </c>
      <c r="U519">
        <v>1</v>
      </c>
      <c r="V519">
        <v>0</v>
      </c>
      <c r="W519">
        <v>4</v>
      </c>
      <c r="X519">
        <v>939.06</v>
      </c>
      <c r="Y519">
        <v>1180.03</v>
      </c>
      <c r="Z519">
        <f>AVERAGEIFS(Table1[FinalElo], Table1[Country], Table1[[#This Row],[Country]])</f>
        <v>1012.0629025423733</v>
      </c>
      <c r="AA519" cm="1">
        <f t="array" ref="AA519">IF(COUNTIFS(Table1[Country],Table1[[#This Row],[Country]])=1,0, _xlfn.STDEV.S(IF(Table1[Country]=Table1[[#This Row],[Country]],Table1[FinalElo])))</f>
        <v>148.42180446198614</v>
      </c>
      <c r="AB519">
        <f>IF(Table1[[#This Row],[CStd]]=0,0, (Table1[[#This Row],[FinalElo]]-Table1[[#This Row],[CAvg]]) / Table1[[#This Row],[CStd]])</f>
        <v>-0.49186103623387017</v>
      </c>
      <c r="AC519" t="str">
        <f>IF(Table1[[#This Row],[CStd]]=0,"Normal", IF(ABS(Table1[[#This Row],[CZscore]])&gt;2,"Outlier","Normal"))</f>
        <v>Normal</v>
      </c>
    </row>
    <row r="520" spans="1:29" x14ac:dyDescent="0.35">
      <c r="A520" t="s">
        <v>1893</v>
      </c>
      <c r="B520">
        <v>54.1</v>
      </c>
      <c r="C520">
        <v>163</v>
      </c>
      <c r="D520" t="s">
        <v>89</v>
      </c>
      <c r="E520">
        <v>21</v>
      </c>
      <c r="F520" t="s">
        <v>1894</v>
      </c>
      <c r="G520" t="s">
        <v>34</v>
      </c>
      <c r="H520" t="s">
        <v>29</v>
      </c>
      <c r="I520" t="s">
        <v>36</v>
      </c>
      <c r="J520">
        <v>0</v>
      </c>
      <c r="K520">
        <v>1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1</v>
      </c>
      <c r="X520">
        <v>871.99</v>
      </c>
      <c r="Y520">
        <v>1000</v>
      </c>
      <c r="Z520">
        <f>AVERAGEIFS(Table1[FinalElo], Table1[Country], Table1[[#This Row],[Country]])</f>
        <v>1012.0629025423733</v>
      </c>
      <c r="AA520" cm="1">
        <f t="array" ref="AA520">IF(COUNTIFS(Table1[Country],Table1[[#This Row],[Country]])=1,0, _xlfn.STDEV.S(IF(Table1[Country]=Table1[[#This Row],[Country]],Table1[FinalElo])))</f>
        <v>148.42180446198614</v>
      </c>
      <c r="AB520">
        <f>IF(Table1[[#This Row],[CStd]]=0,0, (Table1[[#This Row],[FinalElo]]-Table1[[#This Row],[CAvg]]) / Table1[[#This Row],[CStd]])</f>
        <v>-0.94374881810744216</v>
      </c>
      <c r="AC520" t="str">
        <f>IF(Table1[[#This Row],[CStd]]=0,"Normal", IF(ABS(Table1[[#This Row],[CZscore]])&gt;2,"Outlier","Normal"))</f>
        <v>Normal</v>
      </c>
    </row>
    <row r="521" spans="1:29" x14ac:dyDescent="0.35">
      <c r="A521" t="s">
        <v>1890</v>
      </c>
      <c r="B521">
        <v>56.7</v>
      </c>
      <c r="C521">
        <v>171</v>
      </c>
      <c r="D521" t="s">
        <v>1891</v>
      </c>
      <c r="E521">
        <v>24</v>
      </c>
      <c r="F521" t="s">
        <v>1892</v>
      </c>
      <c r="G521" t="s">
        <v>40</v>
      </c>
      <c r="H521" t="s">
        <v>29</v>
      </c>
      <c r="I521" t="s">
        <v>58</v>
      </c>
      <c r="J521">
        <v>1</v>
      </c>
      <c r="K521">
        <v>2</v>
      </c>
      <c r="L521">
        <v>0</v>
      </c>
      <c r="M521">
        <v>1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1</v>
      </c>
      <c r="T521">
        <v>0</v>
      </c>
      <c r="U521">
        <v>1</v>
      </c>
      <c r="V521">
        <v>0</v>
      </c>
      <c r="W521">
        <v>3</v>
      </c>
      <c r="X521">
        <v>992.16</v>
      </c>
      <c r="Y521">
        <v>1000</v>
      </c>
      <c r="Z521">
        <f>AVERAGEIFS(Table1[FinalElo], Table1[Country], Table1[[#This Row],[Country]])</f>
        <v>992.16</v>
      </c>
      <c r="AA521" cm="1">
        <f t="array" ref="AA521">IF(COUNTIFS(Table1[Country],Table1[[#This Row],[Country]])=1,0, _xlfn.STDEV.S(IF(Table1[Country]=Table1[[#This Row],[Country]],Table1[FinalElo])))</f>
        <v>0</v>
      </c>
      <c r="AB521">
        <f>IF(Table1[[#This Row],[CStd]]=0,0, (Table1[[#This Row],[FinalElo]]-Table1[[#This Row],[CAvg]]) / Table1[[#This Row],[CStd]])</f>
        <v>0</v>
      </c>
      <c r="AC521" t="str">
        <f>IF(Table1[[#This Row],[CStd]]=0,"Normal", IF(ABS(Table1[[#This Row],[CZscore]])&gt;2,"Outlier","Normal"))</f>
        <v>Normal</v>
      </c>
    </row>
    <row r="522" spans="1:29" x14ac:dyDescent="0.35">
      <c r="A522" t="s">
        <v>1888</v>
      </c>
      <c r="B522">
        <v>60.6</v>
      </c>
      <c r="C522">
        <v>169</v>
      </c>
      <c r="D522" t="s">
        <v>89</v>
      </c>
      <c r="E522">
        <v>30</v>
      </c>
      <c r="F522" t="s">
        <v>1889</v>
      </c>
      <c r="G522" t="s">
        <v>34</v>
      </c>
      <c r="H522" t="s">
        <v>29</v>
      </c>
      <c r="I522" t="s">
        <v>58</v>
      </c>
      <c r="J522">
        <v>2</v>
      </c>
      <c r="K522">
        <v>1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3</v>
      </c>
      <c r="X522">
        <v>1051.56</v>
      </c>
      <c r="Y522">
        <v>1171.99</v>
      </c>
      <c r="Z522">
        <f>AVERAGEIFS(Table1[FinalElo], Table1[Country], Table1[[#This Row],[Country]])</f>
        <v>1012.0629025423733</v>
      </c>
      <c r="AA522" cm="1">
        <f t="array" ref="AA522">IF(COUNTIFS(Table1[Country],Table1[[#This Row],[Country]])=1,0, _xlfn.STDEV.S(IF(Table1[Country]=Table1[[#This Row],[Country]],Table1[FinalElo])))</f>
        <v>148.42180446198614</v>
      </c>
      <c r="AB522">
        <f>IF(Table1[[#This Row],[CStd]]=0,0, (Table1[[#This Row],[FinalElo]]-Table1[[#This Row],[CAvg]]) / Table1[[#This Row],[CStd]])</f>
        <v>0.2661138476304043</v>
      </c>
      <c r="AC522" t="str">
        <f>IF(Table1[[#This Row],[CStd]]=0,"Normal", IF(ABS(Table1[[#This Row],[CZscore]])&gt;2,"Outlier","Normal"))</f>
        <v>Normal</v>
      </c>
    </row>
    <row r="523" spans="1:29" x14ac:dyDescent="0.35">
      <c r="A523" t="s">
        <v>1887</v>
      </c>
      <c r="B523">
        <v>60</v>
      </c>
      <c r="C523">
        <v>168</v>
      </c>
      <c r="D523" t="s">
        <v>89</v>
      </c>
      <c r="E523">
        <v>23</v>
      </c>
      <c r="F523" t="s">
        <v>555</v>
      </c>
      <c r="G523" t="s">
        <v>34</v>
      </c>
      <c r="H523" t="s">
        <v>29</v>
      </c>
      <c r="I523" t="s">
        <v>58</v>
      </c>
      <c r="J523">
        <v>1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1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1</v>
      </c>
      <c r="X523">
        <v>1100</v>
      </c>
      <c r="Y523">
        <v>1100</v>
      </c>
      <c r="Z523">
        <f>AVERAGEIFS(Table1[FinalElo], Table1[Country], Table1[[#This Row],[Country]])</f>
        <v>1012.0629025423733</v>
      </c>
      <c r="AA523" cm="1">
        <f t="array" ref="AA523">IF(COUNTIFS(Table1[Country],Table1[[#This Row],[Country]])=1,0, _xlfn.STDEV.S(IF(Table1[Country]=Table1[[#This Row],[Country]],Table1[FinalElo])))</f>
        <v>148.42180446198614</v>
      </c>
      <c r="AB523">
        <f>IF(Table1[[#This Row],[CStd]]=0,0, (Table1[[#This Row],[FinalElo]]-Table1[[#This Row],[CAvg]]) / Table1[[#This Row],[CStd]])</f>
        <v>0.59248098873605315</v>
      </c>
      <c r="AC523" t="str">
        <f>IF(Table1[[#This Row],[CStd]]=0,"Normal", IF(ABS(Table1[[#This Row],[CZscore]])&gt;2,"Outlier","Normal"))</f>
        <v>Normal</v>
      </c>
    </row>
    <row r="524" spans="1:29" x14ac:dyDescent="0.35">
      <c r="A524" t="s">
        <v>95</v>
      </c>
      <c r="B524">
        <v>65.8</v>
      </c>
      <c r="C524">
        <v>174</v>
      </c>
      <c r="D524" t="s">
        <v>89</v>
      </c>
      <c r="E524">
        <v>39</v>
      </c>
      <c r="F524" t="s">
        <v>96</v>
      </c>
      <c r="G524" t="s">
        <v>28</v>
      </c>
      <c r="H524" t="s">
        <v>29</v>
      </c>
      <c r="I524" t="s">
        <v>48</v>
      </c>
      <c r="J524">
        <v>3</v>
      </c>
      <c r="K524">
        <v>2</v>
      </c>
      <c r="L524">
        <v>0</v>
      </c>
      <c r="M524">
        <v>1</v>
      </c>
      <c r="N524">
        <v>0</v>
      </c>
      <c r="O524">
        <v>0</v>
      </c>
      <c r="P524">
        <v>1</v>
      </c>
      <c r="Q524">
        <v>1</v>
      </c>
      <c r="R524">
        <v>0</v>
      </c>
      <c r="S524">
        <v>0</v>
      </c>
      <c r="T524">
        <v>0</v>
      </c>
      <c r="U524">
        <v>1</v>
      </c>
      <c r="V524">
        <v>0</v>
      </c>
      <c r="W524">
        <v>5</v>
      </c>
      <c r="X524">
        <v>1116.47</v>
      </c>
      <c r="Y524">
        <v>1234.1099999999999</v>
      </c>
      <c r="Z524">
        <f>AVERAGEIFS(Table1[FinalElo], Table1[Country], Table1[[#This Row],[Country]])</f>
        <v>1012.0629025423733</v>
      </c>
      <c r="AA524" cm="1">
        <f t="array" ref="AA524">IF(COUNTIFS(Table1[Country],Table1[[#This Row],[Country]])=1,0, _xlfn.STDEV.S(IF(Table1[Country]=Table1[[#This Row],[Country]],Table1[FinalElo])))</f>
        <v>148.42180446198614</v>
      </c>
      <c r="AB524">
        <f>IF(Table1[[#This Row],[CStd]]=0,0, (Table1[[#This Row],[FinalElo]]-Table1[[#This Row],[CAvg]]) / Table1[[#This Row],[CStd]])</f>
        <v>0.70344851173378309</v>
      </c>
      <c r="AC524" t="str">
        <f>IF(Table1[[#This Row],[CStd]]=0,"Normal", IF(ABS(Table1[[#This Row],[CZscore]])&gt;2,"Outlier","Normal"))</f>
        <v>Normal</v>
      </c>
    </row>
    <row r="525" spans="1:29" x14ac:dyDescent="0.35">
      <c r="A525" t="s">
        <v>1885</v>
      </c>
      <c r="B525">
        <v>50.802303999999999</v>
      </c>
      <c r="C525">
        <v>163</v>
      </c>
      <c r="D525" t="s">
        <v>89</v>
      </c>
      <c r="E525">
        <v>20</v>
      </c>
      <c r="F525" t="s">
        <v>1886</v>
      </c>
      <c r="G525" t="s">
        <v>34</v>
      </c>
      <c r="H525" t="s">
        <v>29</v>
      </c>
      <c r="I525" t="s">
        <v>55</v>
      </c>
      <c r="J525">
        <v>0</v>
      </c>
      <c r="K525">
        <v>1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1</v>
      </c>
      <c r="X525">
        <v>900</v>
      </c>
      <c r="Y525">
        <v>1000</v>
      </c>
      <c r="Z525">
        <f>AVERAGEIFS(Table1[FinalElo], Table1[Country], Table1[[#This Row],[Country]])</f>
        <v>1012.0629025423733</v>
      </c>
      <c r="AA525" cm="1">
        <f t="array" ref="AA525">IF(COUNTIFS(Table1[Country],Table1[[#This Row],[Country]])=1,0, _xlfn.STDEV.S(IF(Table1[Country]=Table1[[#This Row],[Country]],Table1[FinalElo])))</f>
        <v>148.42180446198614</v>
      </c>
      <c r="AB525">
        <f>IF(Table1[[#This Row],[CStd]]=0,0, (Table1[[#This Row],[FinalElo]]-Table1[[#This Row],[CAvg]]) / Table1[[#This Row],[CStd]])</f>
        <v>-0.75502991591154589</v>
      </c>
      <c r="AC525" t="str">
        <f>IF(Table1[[#This Row],[CStd]]=0,"Normal", IF(ABS(Table1[[#This Row],[CZscore]])&gt;2,"Outlier","Normal"))</f>
        <v>Normal</v>
      </c>
    </row>
    <row r="526" spans="1:29" x14ac:dyDescent="0.35">
      <c r="A526" t="s">
        <v>1884</v>
      </c>
      <c r="B526">
        <v>70.3</v>
      </c>
      <c r="C526">
        <v>180</v>
      </c>
      <c r="D526" t="s">
        <v>89</v>
      </c>
      <c r="E526">
        <v>31</v>
      </c>
      <c r="F526" t="s">
        <v>519</v>
      </c>
      <c r="G526" t="s">
        <v>34</v>
      </c>
      <c r="H526" t="s">
        <v>29</v>
      </c>
      <c r="I526" t="s">
        <v>48</v>
      </c>
      <c r="J526">
        <v>8</v>
      </c>
      <c r="K526">
        <v>3</v>
      </c>
      <c r="L526">
        <v>1</v>
      </c>
      <c r="M526">
        <v>2</v>
      </c>
      <c r="N526">
        <v>0</v>
      </c>
      <c r="O526">
        <v>0</v>
      </c>
      <c r="P526">
        <v>2</v>
      </c>
      <c r="Q526">
        <v>1</v>
      </c>
      <c r="R526">
        <v>0</v>
      </c>
      <c r="S526">
        <v>0</v>
      </c>
      <c r="T526">
        <v>0</v>
      </c>
      <c r="U526">
        <v>3</v>
      </c>
      <c r="V526">
        <v>0</v>
      </c>
      <c r="W526">
        <v>12</v>
      </c>
      <c r="X526">
        <v>1165.01</v>
      </c>
      <c r="Y526">
        <v>1305.4100000000001</v>
      </c>
      <c r="Z526">
        <f>AVERAGEIFS(Table1[FinalElo], Table1[Country], Table1[[#This Row],[Country]])</f>
        <v>1012.0629025423733</v>
      </c>
      <c r="AA526" cm="1">
        <f t="array" ref="AA526">IF(COUNTIFS(Table1[Country],Table1[[#This Row],[Country]])=1,0, _xlfn.STDEV.S(IF(Table1[Country]=Table1[[#This Row],[Country]],Table1[FinalElo])))</f>
        <v>148.42180446198614</v>
      </c>
      <c r="AB526">
        <f>IF(Table1[[#This Row],[CStd]]=0,0, (Table1[[#This Row],[FinalElo]]-Table1[[#This Row],[CAvg]]) / Table1[[#This Row],[CStd]])</f>
        <v>1.0304894082917551</v>
      </c>
      <c r="AC526" t="str">
        <f>IF(Table1[[#This Row],[CStd]]=0,"Normal", IF(ABS(Table1[[#This Row],[CZscore]])&gt;2,"Outlier","Normal"))</f>
        <v>Normal</v>
      </c>
    </row>
    <row r="527" spans="1:29" x14ac:dyDescent="0.35">
      <c r="A527" t="s">
        <v>1883</v>
      </c>
      <c r="B527">
        <v>61.2</v>
      </c>
      <c r="C527">
        <v>167</v>
      </c>
      <c r="D527" t="s">
        <v>89</v>
      </c>
      <c r="E527">
        <v>27</v>
      </c>
      <c r="F527" t="s">
        <v>519</v>
      </c>
      <c r="G527" t="s">
        <v>34</v>
      </c>
      <c r="H527" t="s">
        <v>29</v>
      </c>
      <c r="I527" t="s">
        <v>58</v>
      </c>
      <c r="J527">
        <v>5</v>
      </c>
      <c r="K527">
        <v>3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1</v>
      </c>
      <c r="W527">
        <v>8</v>
      </c>
      <c r="X527">
        <v>1045.1199999999999</v>
      </c>
      <c r="Y527">
        <v>1289.3499999999999</v>
      </c>
      <c r="Z527">
        <f>AVERAGEIFS(Table1[FinalElo], Table1[Country], Table1[[#This Row],[Country]])</f>
        <v>1012.0629025423733</v>
      </c>
      <c r="AA527" cm="1">
        <f t="array" ref="AA527">IF(COUNTIFS(Table1[Country],Table1[[#This Row],[Country]])=1,0, _xlfn.STDEV.S(IF(Table1[Country]=Table1[[#This Row],[Country]],Table1[FinalElo])))</f>
        <v>148.42180446198614</v>
      </c>
      <c r="AB527">
        <f>IF(Table1[[#This Row],[CStd]]=0,0, (Table1[[#This Row],[FinalElo]]-Table1[[#This Row],[CAvg]]) / Table1[[#This Row],[CStd]])</f>
        <v>0.22272399650075123</v>
      </c>
      <c r="AC527" t="str">
        <f>IF(Table1[[#This Row],[CStd]]=0,"Normal", IF(ABS(Table1[[#This Row],[CZscore]])&gt;2,"Outlier","Normal"))</f>
        <v>Normal</v>
      </c>
    </row>
    <row r="528" spans="1:29" x14ac:dyDescent="0.35">
      <c r="A528" t="s">
        <v>1882</v>
      </c>
      <c r="B528">
        <v>55</v>
      </c>
      <c r="C528">
        <v>168</v>
      </c>
      <c r="D528" t="s">
        <v>89</v>
      </c>
      <c r="E528">
        <v>22</v>
      </c>
      <c r="F528" t="s">
        <v>1202</v>
      </c>
      <c r="G528" t="s">
        <v>34</v>
      </c>
      <c r="H528" t="s">
        <v>29</v>
      </c>
      <c r="I528" t="s">
        <v>36</v>
      </c>
      <c r="J528">
        <v>0</v>
      </c>
      <c r="K528">
        <v>1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1</v>
      </c>
      <c r="S528">
        <v>0</v>
      </c>
      <c r="T528">
        <v>0</v>
      </c>
      <c r="U528">
        <v>0</v>
      </c>
      <c r="V528">
        <v>0</v>
      </c>
      <c r="W528">
        <v>1</v>
      </c>
      <c r="X528">
        <v>900</v>
      </c>
      <c r="Y528">
        <v>1000</v>
      </c>
      <c r="Z528">
        <f>AVERAGEIFS(Table1[FinalElo], Table1[Country], Table1[[#This Row],[Country]])</f>
        <v>1012.0629025423733</v>
      </c>
      <c r="AA528" cm="1">
        <f t="array" ref="AA528">IF(COUNTIFS(Table1[Country],Table1[[#This Row],[Country]])=1,0, _xlfn.STDEV.S(IF(Table1[Country]=Table1[[#This Row],[Country]],Table1[FinalElo])))</f>
        <v>148.42180446198614</v>
      </c>
      <c r="AB528">
        <f>IF(Table1[[#This Row],[CStd]]=0,0, (Table1[[#This Row],[FinalElo]]-Table1[[#This Row],[CAvg]]) / Table1[[#This Row],[CStd]])</f>
        <v>-0.75502991591154589</v>
      </c>
      <c r="AC528" t="str">
        <f>IF(Table1[[#This Row],[CStd]]=0,"Normal", IF(ABS(Table1[[#This Row],[CZscore]])&gt;2,"Outlier","Normal"))</f>
        <v>Normal</v>
      </c>
    </row>
    <row r="529" spans="1:29" hidden="1" x14ac:dyDescent="0.35">
      <c r="A529" t="s">
        <v>1049</v>
      </c>
      <c r="B529">
        <v>56.7</v>
      </c>
      <c r="C529">
        <v>166</v>
      </c>
      <c r="D529" t="s">
        <v>71</v>
      </c>
      <c r="E529">
        <v>32</v>
      </c>
      <c r="F529" t="s">
        <v>1050</v>
      </c>
      <c r="G529" t="s">
        <v>34</v>
      </c>
      <c r="H529" t="s">
        <v>35</v>
      </c>
      <c r="I529" t="s">
        <v>58</v>
      </c>
      <c r="J529">
        <v>2</v>
      </c>
      <c r="K529">
        <v>0</v>
      </c>
      <c r="L529">
        <v>0</v>
      </c>
      <c r="M529">
        <v>1</v>
      </c>
      <c r="N529">
        <v>0</v>
      </c>
      <c r="O529">
        <v>0</v>
      </c>
      <c r="P529">
        <v>1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2</v>
      </c>
      <c r="X529">
        <v>1118.6500000000001</v>
      </c>
      <c r="Y529">
        <v>1118.6500000000001</v>
      </c>
      <c r="Z529">
        <f>AVERAGEIFS(Table1[FinalElo], Table1[Country], Table1[[#This Row],[Country]])</f>
        <v>991.47826086956536</v>
      </c>
      <c r="AA529" cm="1">
        <f t="array" ref="AA529">IF(COUNTIFS(Table1[Country],Table1[[#This Row],[Country]])=1,0, _xlfn.STDEV.S(IF(Table1[Country]=Table1[[#This Row],[Country]],Table1[FinalElo])))</f>
        <v>164.61500422203164</v>
      </c>
      <c r="AB529">
        <f>IF(Table1[[#This Row],[CStd]]=0,0, (Table1[[#This Row],[FinalElo]]-Table1[[#This Row],[CAvg]]) / Table1[[#This Row],[CStd]])</f>
        <v>0.77254038738113029</v>
      </c>
      <c r="AC529" t="str">
        <f>IF(Table1[[#This Row],[CStd]]=0,"Normal", IF(ABS(Table1[[#This Row],[CZscore]])&gt;2,"Outlier","Normal"))</f>
        <v>Normal</v>
      </c>
    </row>
    <row r="530" spans="1:29" x14ac:dyDescent="0.35">
      <c r="A530" t="s">
        <v>1881</v>
      </c>
      <c r="B530">
        <v>57.606183999999999</v>
      </c>
      <c r="C530">
        <v>167</v>
      </c>
      <c r="D530" t="s">
        <v>89</v>
      </c>
      <c r="E530">
        <v>31</v>
      </c>
      <c r="F530" t="s">
        <v>402</v>
      </c>
      <c r="G530" t="s">
        <v>34</v>
      </c>
      <c r="H530" t="s">
        <v>29</v>
      </c>
      <c r="I530" t="s">
        <v>58</v>
      </c>
      <c r="J530">
        <v>0</v>
      </c>
      <c r="K530">
        <v>1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1</v>
      </c>
      <c r="V530">
        <v>0</v>
      </c>
      <c r="W530">
        <v>1</v>
      </c>
      <c r="X530">
        <v>907.7</v>
      </c>
      <c r="Y530">
        <v>1000</v>
      </c>
      <c r="Z530">
        <f>AVERAGEIFS(Table1[FinalElo], Table1[Country], Table1[[#This Row],[Country]])</f>
        <v>1012.0629025423733</v>
      </c>
      <c r="AA530" cm="1">
        <f t="array" ref="AA530">IF(COUNTIFS(Table1[Country],Table1[[#This Row],[Country]])=1,0, _xlfn.STDEV.S(IF(Table1[Country]=Table1[[#This Row],[Country]],Table1[FinalElo])))</f>
        <v>148.42180446198614</v>
      </c>
      <c r="AB530">
        <f>IF(Table1[[#This Row],[CStd]]=0,0, (Table1[[#This Row],[FinalElo]]-Table1[[#This Row],[CAvg]]) / Table1[[#This Row],[CStd]])</f>
        <v>-0.70315074608261308</v>
      </c>
      <c r="AC530" t="str">
        <f>IF(Table1[[#This Row],[CStd]]=0,"Normal", IF(ABS(Table1[[#This Row],[CZscore]])&gt;2,"Outlier","Normal"))</f>
        <v>Normal</v>
      </c>
    </row>
    <row r="531" spans="1:29" x14ac:dyDescent="0.35">
      <c r="A531" t="s">
        <v>1880</v>
      </c>
      <c r="B531">
        <v>53.3</v>
      </c>
      <c r="C531">
        <v>167</v>
      </c>
      <c r="D531" t="s">
        <v>89</v>
      </c>
      <c r="E531">
        <v>23</v>
      </c>
      <c r="F531" t="s">
        <v>653</v>
      </c>
      <c r="G531" t="s">
        <v>34</v>
      </c>
      <c r="H531" t="s">
        <v>29</v>
      </c>
      <c r="I531" t="s">
        <v>36</v>
      </c>
      <c r="J531">
        <v>1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1</v>
      </c>
      <c r="X531">
        <v>1145.82</v>
      </c>
      <c r="Y531">
        <v>1145.82</v>
      </c>
      <c r="Z531">
        <f>AVERAGEIFS(Table1[FinalElo], Table1[Country], Table1[[#This Row],[Country]])</f>
        <v>1012.0629025423733</v>
      </c>
      <c r="AA531" cm="1">
        <f t="array" ref="AA531">IF(COUNTIFS(Table1[Country],Table1[[#This Row],[Country]])=1,0, _xlfn.STDEV.S(IF(Table1[Country]=Table1[[#This Row],[Country]],Table1[FinalElo])))</f>
        <v>148.42180446198614</v>
      </c>
      <c r="AB531">
        <f>IF(Table1[[#This Row],[CStd]]=0,0, (Table1[[#This Row],[FinalElo]]-Table1[[#This Row],[CAvg]]) / Table1[[#This Row],[CStd]])</f>
        <v>0.90119573699081768</v>
      </c>
      <c r="AC531" t="str">
        <f>IF(Table1[[#This Row],[CStd]]=0,"Normal", IF(ABS(Table1[[#This Row],[CZscore]])&gt;2,"Outlier","Normal"))</f>
        <v>Normal</v>
      </c>
    </row>
    <row r="532" spans="1:29" x14ac:dyDescent="0.35">
      <c r="A532" t="s">
        <v>1878</v>
      </c>
      <c r="B532">
        <v>54.6</v>
      </c>
      <c r="C532">
        <v>168</v>
      </c>
      <c r="D532" t="s">
        <v>89</v>
      </c>
      <c r="E532">
        <v>28</v>
      </c>
      <c r="F532" t="s">
        <v>1879</v>
      </c>
      <c r="G532" t="s">
        <v>34</v>
      </c>
      <c r="H532" t="s">
        <v>29</v>
      </c>
      <c r="I532" t="s">
        <v>36</v>
      </c>
      <c r="J532">
        <v>0</v>
      </c>
      <c r="K532">
        <v>1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1</v>
      </c>
      <c r="X532">
        <v>900</v>
      </c>
      <c r="Y532">
        <v>1000</v>
      </c>
      <c r="Z532">
        <f>AVERAGEIFS(Table1[FinalElo], Table1[Country], Table1[[#This Row],[Country]])</f>
        <v>1012.0629025423733</v>
      </c>
      <c r="AA532" cm="1">
        <f t="array" ref="AA532">IF(COUNTIFS(Table1[Country],Table1[[#This Row],[Country]])=1,0, _xlfn.STDEV.S(IF(Table1[Country]=Table1[[#This Row],[Country]],Table1[FinalElo])))</f>
        <v>148.42180446198614</v>
      </c>
      <c r="AB532">
        <f>IF(Table1[[#This Row],[CStd]]=0,0, (Table1[[#This Row],[FinalElo]]-Table1[[#This Row],[CAvg]]) / Table1[[#This Row],[CStd]])</f>
        <v>-0.75502991591154589</v>
      </c>
      <c r="AC532" t="str">
        <f>IF(Table1[[#This Row],[CStd]]=0,"Normal", IF(ABS(Table1[[#This Row],[CZscore]])&gt;2,"Outlier","Normal"))</f>
        <v>Normal</v>
      </c>
    </row>
    <row r="533" spans="1:29" x14ac:dyDescent="0.35">
      <c r="A533" t="s">
        <v>1877</v>
      </c>
      <c r="B533">
        <v>51.255896</v>
      </c>
      <c r="C533">
        <v>168</v>
      </c>
      <c r="D533" t="s">
        <v>89</v>
      </c>
      <c r="E533">
        <v>24</v>
      </c>
      <c r="F533" t="s">
        <v>537</v>
      </c>
      <c r="G533" t="s">
        <v>34</v>
      </c>
      <c r="H533" t="s">
        <v>29</v>
      </c>
      <c r="I533" t="s">
        <v>55</v>
      </c>
      <c r="J533">
        <v>2</v>
      </c>
      <c r="K533">
        <v>2</v>
      </c>
      <c r="L533">
        <v>0</v>
      </c>
      <c r="M533">
        <v>0</v>
      </c>
      <c r="N533">
        <v>0</v>
      </c>
      <c r="O533">
        <v>0</v>
      </c>
      <c r="P533">
        <v>2</v>
      </c>
      <c r="Q533">
        <v>0</v>
      </c>
      <c r="R533">
        <v>1</v>
      </c>
      <c r="S533">
        <v>0</v>
      </c>
      <c r="T533">
        <v>0</v>
      </c>
      <c r="U533">
        <v>1</v>
      </c>
      <c r="V533">
        <v>0</v>
      </c>
      <c r="W533">
        <v>4</v>
      </c>
      <c r="X533">
        <v>1063.67</v>
      </c>
      <c r="Y533">
        <v>1137.1099999999999</v>
      </c>
      <c r="Z533">
        <f>AVERAGEIFS(Table1[FinalElo], Table1[Country], Table1[[#This Row],[Country]])</f>
        <v>1012.0629025423733</v>
      </c>
      <c r="AA533" cm="1">
        <f t="array" ref="AA533">IF(COUNTIFS(Table1[Country],Table1[[#This Row],[Country]])=1,0, _xlfn.STDEV.S(IF(Table1[Country]=Table1[[#This Row],[Country]],Table1[FinalElo])))</f>
        <v>148.42180446198614</v>
      </c>
      <c r="AB533">
        <f>IF(Table1[[#This Row],[CStd]]=0,0, (Table1[[#This Row],[FinalElo]]-Table1[[#This Row],[CAvg]]) / Table1[[#This Row],[CStd]])</f>
        <v>0.34770563290681727</v>
      </c>
      <c r="AC533" t="str">
        <f>IF(Table1[[#This Row],[CStd]]=0,"Normal", IF(ABS(Table1[[#This Row],[CZscore]])&gt;2,"Outlier","Normal"))</f>
        <v>Normal</v>
      </c>
    </row>
    <row r="534" spans="1:29" x14ac:dyDescent="0.35">
      <c r="A534" t="s">
        <v>1875</v>
      </c>
      <c r="B534">
        <v>56.7</v>
      </c>
      <c r="C534">
        <v>171</v>
      </c>
      <c r="D534" t="s">
        <v>89</v>
      </c>
      <c r="E534">
        <v>23</v>
      </c>
      <c r="F534" t="s">
        <v>1876</v>
      </c>
      <c r="G534" t="s">
        <v>34</v>
      </c>
      <c r="H534" t="s">
        <v>29</v>
      </c>
      <c r="I534" t="s">
        <v>58</v>
      </c>
      <c r="J534">
        <v>0</v>
      </c>
      <c r="K534">
        <v>1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1</v>
      </c>
      <c r="S534">
        <v>0</v>
      </c>
      <c r="T534">
        <v>0</v>
      </c>
      <c r="U534">
        <v>0</v>
      </c>
      <c r="V534">
        <v>0</v>
      </c>
      <c r="W534">
        <v>1</v>
      </c>
      <c r="X534">
        <v>935.26</v>
      </c>
      <c r="Y534">
        <v>1000</v>
      </c>
      <c r="Z534">
        <f>AVERAGEIFS(Table1[FinalElo], Table1[Country], Table1[[#This Row],[Country]])</f>
        <v>1012.0629025423733</v>
      </c>
      <c r="AA534" cm="1">
        <f t="array" ref="AA534">IF(COUNTIFS(Table1[Country],Table1[[#This Row],[Country]])=1,0, _xlfn.STDEV.S(IF(Table1[Country]=Table1[[#This Row],[Country]],Table1[FinalElo])))</f>
        <v>148.42180446198614</v>
      </c>
      <c r="AB534">
        <f>IF(Table1[[#This Row],[CStd]]=0,0, (Table1[[#This Row],[FinalElo]]-Table1[[#This Row],[CAvg]]) / Table1[[#This Row],[CStd]])</f>
        <v>-0.51746374342217427</v>
      </c>
      <c r="AC534" t="str">
        <f>IF(Table1[[#This Row],[CStd]]=0,"Normal", IF(ABS(Table1[[#This Row],[CZscore]])&gt;2,"Outlier","Normal"))</f>
        <v>Normal</v>
      </c>
    </row>
    <row r="535" spans="1:29" x14ac:dyDescent="0.35">
      <c r="A535" t="s">
        <v>1873</v>
      </c>
      <c r="B535">
        <v>50.802303999999999</v>
      </c>
      <c r="C535">
        <v>160</v>
      </c>
      <c r="D535" t="s">
        <v>89</v>
      </c>
      <c r="E535">
        <v>29</v>
      </c>
      <c r="F535" t="s">
        <v>1874</v>
      </c>
      <c r="G535" t="s">
        <v>34</v>
      </c>
      <c r="H535" t="s">
        <v>29</v>
      </c>
      <c r="I535" t="s">
        <v>55</v>
      </c>
      <c r="J535">
        <v>0</v>
      </c>
      <c r="K535">
        <v>1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1</v>
      </c>
      <c r="X535">
        <v>900</v>
      </c>
      <c r="Y535">
        <v>1000</v>
      </c>
      <c r="Z535">
        <f>AVERAGEIFS(Table1[FinalElo], Table1[Country], Table1[[#This Row],[Country]])</f>
        <v>1012.0629025423733</v>
      </c>
      <c r="AA535" cm="1">
        <f t="array" ref="AA535">IF(COUNTIFS(Table1[Country],Table1[[#This Row],[Country]])=1,0, _xlfn.STDEV.S(IF(Table1[Country]=Table1[[#This Row],[Country]],Table1[FinalElo])))</f>
        <v>148.42180446198614</v>
      </c>
      <c r="AB535">
        <f>IF(Table1[[#This Row],[CStd]]=0,0, (Table1[[#This Row],[FinalElo]]-Table1[[#This Row],[CAvg]]) / Table1[[#This Row],[CStd]])</f>
        <v>-0.75502991591154589</v>
      </c>
      <c r="AC535" t="str">
        <f>IF(Table1[[#This Row],[CStd]]=0,"Normal", IF(ABS(Table1[[#This Row],[CZscore]])&gt;2,"Outlier","Normal"))</f>
        <v>Normal</v>
      </c>
    </row>
    <row r="536" spans="1:29" x14ac:dyDescent="0.35">
      <c r="A536" t="s">
        <v>1871</v>
      </c>
      <c r="B536">
        <v>51.2</v>
      </c>
      <c r="C536">
        <v>168</v>
      </c>
      <c r="D536" t="s">
        <v>89</v>
      </c>
      <c r="E536">
        <v>18</v>
      </c>
      <c r="F536" t="s">
        <v>1872</v>
      </c>
      <c r="G536" t="s">
        <v>34</v>
      </c>
      <c r="H536" t="s">
        <v>29</v>
      </c>
      <c r="I536" t="s">
        <v>55</v>
      </c>
      <c r="J536">
        <v>0</v>
      </c>
      <c r="K536">
        <v>1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1</v>
      </c>
      <c r="X536">
        <v>928.01</v>
      </c>
      <c r="Y536">
        <v>1000</v>
      </c>
      <c r="Z536">
        <f>AVERAGEIFS(Table1[FinalElo], Table1[Country], Table1[[#This Row],[Country]])</f>
        <v>1012.0629025423733</v>
      </c>
      <c r="AA536" cm="1">
        <f t="array" ref="AA536">IF(COUNTIFS(Table1[Country],Table1[[#This Row],[Country]])=1,0, _xlfn.STDEV.S(IF(Table1[Country]=Table1[[#This Row],[Country]],Table1[FinalElo])))</f>
        <v>148.42180446198614</v>
      </c>
      <c r="AB536">
        <f>IF(Table1[[#This Row],[CStd]]=0,0, (Table1[[#This Row],[FinalElo]]-Table1[[#This Row],[CAvg]]) / Table1[[#This Row],[CStd]])</f>
        <v>-0.56631101371564974</v>
      </c>
      <c r="AC536" t="str">
        <f>IF(Table1[[#This Row],[CStd]]=0,"Normal", IF(ABS(Table1[[#This Row],[CZscore]])&gt;2,"Outlier","Normal"))</f>
        <v>Normal</v>
      </c>
    </row>
    <row r="537" spans="1:29" x14ac:dyDescent="0.35">
      <c r="A537" t="s">
        <v>1870</v>
      </c>
      <c r="B537">
        <v>51.6</v>
      </c>
      <c r="C537">
        <v>168</v>
      </c>
      <c r="D537" t="s">
        <v>89</v>
      </c>
      <c r="E537">
        <v>18</v>
      </c>
      <c r="F537" t="s">
        <v>1356</v>
      </c>
      <c r="G537" t="s">
        <v>34</v>
      </c>
      <c r="H537" t="s">
        <v>29</v>
      </c>
      <c r="I537" t="s">
        <v>55</v>
      </c>
      <c r="J537">
        <v>3</v>
      </c>
      <c r="K537">
        <v>1</v>
      </c>
      <c r="L537">
        <v>0</v>
      </c>
      <c r="M537">
        <v>1</v>
      </c>
      <c r="N537">
        <v>0</v>
      </c>
      <c r="O537">
        <v>0</v>
      </c>
      <c r="P537">
        <v>0</v>
      </c>
      <c r="Q537">
        <v>0</v>
      </c>
      <c r="R537">
        <v>1</v>
      </c>
      <c r="S537">
        <v>0</v>
      </c>
      <c r="T537">
        <v>0</v>
      </c>
      <c r="U537">
        <v>0</v>
      </c>
      <c r="V537">
        <v>0</v>
      </c>
      <c r="W537">
        <v>4</v>
      </c>
      <c r="X537">
        <v>1200.5999999999999</v>
      </c>
      <c r="Y537">
        <v>1200.5999999999999</v>
      </c>
      <c r="Z537">
        <f>AVERAGEIFS(Table1[FinalElo], Table1[Country], Table1[[#This Row],[Country]])</f>
        <v>1012.0629025423733</v>
      </c>
      <c r="AA537" cm="1">
        <f t="array" ref="AA537">IF(COUNTIFS(Table1[Country],Table1[[#This Row],[Country]])=1,0, _xlfn.STDEV.S(IF(Table1[Country]=Table1[[#This Row],[Country]],Table1[FinalElo])))</f>
        <v>148.42180446198614</v>
      </c>
      <c r="AB537">
        <f>IF(Table1[[#This Row],[CStd]]=0,0, (Table1[[#This Row],[FinalElo]]-Table1[[#This Row],[CAvg]]) / Table1[[#This Row],[CStd]])</f>
        <v>1.270278973773795</v>
      </c>
      <c r="AC537" t="str">
        <f>IF(Table1[[#This Row],[CStd]]=0,"Normal", IF(ABS(Table1[[#This Row],[CZscore]])&gt;2,"Outlier","Normal"))</f>
        <v>Normal</v>
      </c>
    </row>
    <row r="538" spans="1:29" x14ac:dyDescent="0.35">
      <c r="A538" t="s">
        <v>1868</v>
      </c>
      <c r="B538">
        <v>58.6</v>
      </c>
      <c r="C538">
        <v>169</v>
      </c>
      <c r="D538" t="s">
        <v>1869</v>
      </c>
      <c r="E538">
        <v>25</v>
      </c>
      <c r="F538" t="s">
        <v>330</v>
      </c>
      <c r="G538" t="s">
        <v>40</v>
      </c>
      <c r="H538" t="s">
        <v>29</v>
      </c>
      <c r="I538" t="s">
        <v>58</v>
      </c>
      <c r="J538">
        <v>0</v>
      </c>
      <c r="K538">
        <v>1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1</v>
      </c>
      <c r="V538">
        <v>0</v>
      </c>
      <c r="W538">
        <v>1</v>
      </c>
      <c r="X538">
        <v>900</v>
      </c>
      <c r="Y538">
        <v>1000</v>
      </c>
      <c r="Z538">
        <f>AVERAGEIFS(Table1[FinalElo], Table1[Country], Table1[[#This Row],[Country]])</f>
        <v>900</v>
      </c>
      <c r="AA538" cm="1">
        <f t="array" ref="AA538">IF(COUNTIFS(Table1[Country],Table1[[#This Row],[Country]])=1,0, _xlfn.STDEV.S(IF(Table1[Country]=Table1[[#This Row],[Country]],Table1[FinalElo])))</f>
        <v>0</v>
      </c>
      <c r="AB538">
        <f>IF(Table1[[#This Row],[CStd]]=0,0, (Table1[[#This Row],[FinalElo]]-Table1[[#This Row],[CAvg]]) / Table1[[#This Row],[CStd]])</f>
        <v>0</v>
      </c>
      <c r="AC538" t="str">
        <f>IF(Table1[[#This Row],[CStd]]=0,"Normal", IF(ABS(Table1[[#This Row],[CZscore]])&gt;2,"Outlier","Normal"))</f>
        <v>Normal</v>
      </c>
    </row>
    <row r="539" spans="1:29" x14ac:dyDescent="0.35">
      <c r="A539" t="s">
        <v>1866</v>
      </c>
      <c r="B539">
        <v>64.863656000000006</v>
      </c>
      <c r="C539">
        <v>175</v>
      </c>
      <c r="D539" t="s">
        <v>89</v>
      </c>
      <c r="E539">
        <v>21</v>
      </c>
      <c r="F539" t="s">
        <v>1867</v>
      </c>
      <c r="G539" t="s">
        <v>34</v>
      </c>
      <c r="H539" t="s">
        <v>29</v>
      </c>
      <c r="I539" t="s">
        <v>73</v>
      </c>
      <c r="J539">
        <v>3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1</v>
      </c>
      <c r="Q539">
        <v>1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3</v>
      </c>
      <c r="X539">
        <v>1256.8699999999999</v>
      </c>
      <c r="Y539">
        <v>1256.8699999999999</v>
      </c>
      <c r="Z539">
        <f>AVERAGEIFS(Table1[FinalElo], Table1[Country], Table1[[#This Row],[Country]])</f>
        <v>1012.0629025423733</v>
      </c>
      <c r="AA539" cm="1">
        <f t="array" ref="AA539">IF(COUNTIFS(Table1[Country],Table1[[#This Row],[Country]])=1,0, _xlfn.STDEV.S(IF(Table1[Country]=Table1[[#This Row],[Country]],Table1[FinalElo])))</f>
        <v>148.42180446198614</v>
      </c>
      <c r="AB539">
        <f>IF(Table1[[#This Row],[CStd]]=0,0, (Table1[[#This Row],[FinalElo]]-Table1[[#This Row],[CAvg]]) / Table1[[#This Row],[CStd]])</f>
        <v>1.6494011667963968</v>
      </c>
      <c r="AC539" t="str">
        <f>IF(Table1[[#This Row],[CStd]]=0,"Normal", IF(ABS(Table1[[#This Row],[CZscore]])&gt;2,"Outlier","Normal"))</f>
        <v>Normal</v>
      </c>
    </row>
    <row r="540" spans="1:29" x14ac:dyDescent="0.35">
      <c r="A540" t="s">
        <v>1863</v>
      </c>
      <c r="B540">
        <v>65.3</v>
      </c>
      <c r="C540">
        <v>174</v>
      </c>
      <c r="D540" t="s">
        <v>89</v>
      </c>
      <c r="E540">
        <v>27</v>
      </c>
      <c r="F540" t="s">
        <v>1864</v>
      </c>
      <c r="G540" t="s">
        <v>34</v>
      </c>
      <c r="H540" t="s">
        <v>29</v>
      </c>
      <c r="I540" t="s">
        <v>73</v>
      </c>
      <c r="J540">
        <v>1</v>
      </c>
      <c r="K540">
        <v>1</v>
      </c>
      <c r="L540">
        <v>0</v>
      </c>
      <c r="M540">
        <v>0</v>
      </c>
      <c r="N540">
        <v>0</v>
      </c>
      <c r="O540">
        <v>0</v>
      </c>
      <c r="P540">
        <v>1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1</v>
      </c>
      <c r="W540">
        <v>2</v>
      </c>
      <c r="X540">
        <v>980.03</v>
      </c>
      <c r="Y540">
        <v>1071.99</v>
      </c>
      <c r="Z540">
        <f>AVERAGEIFS(Table1[FinalElo], Table1[Country], Table1[[#This Row],[Country]])</f>
        <v>1012.0629025423733</v>
      </c>
      <c r="AA540" cm="1">
        <f t="array" ref="AA540">IF(COUNTIFS(Table1[Country],Table1[[#This Row],[Country]])=1,0, _xlfn.STDEV.S(IF(Table1[Country]=Table1[[#This Row],[Country]],Table1[FinalElo])))</f>
        <v>148.42180446198614</v>
      </c>
      <c r="AB540">
        <f>IF(Table1[[#This Row],[CStd]]=0,0, (Table1[[#This Row],[FinalElo]]-Table1[[#This Row],[CAvg]]) / Table1[[#This Row],[CStd]])</f>
        <v>-0.21582342741680935</v>
      </c>
      <c r="AC540" t="str">
        <f>IF(Table1[[#This Row],[CStd]]=0,"Normal", IF(ABS(Table1[[#This Row],[CZscore]])&gt;2,"Outlier","Normal"))</f>
        <v>Normal</v>
      </c>
    </row>
    <row r="541" spans="1:29" x14ac:dyDescent="0.35">
      <c r="A541" t="s">
        <v>1861</v>
      </c>
      <c r="B541">
        <v>65.77</v>
      </c>
      <c r="C541">
        <v>180</v>
      </c>
      <c r="D541" t="s">
        <v>32</v>
      </c>
      <c r="E541">
        <v>22</v>
      </c>
      <c r="F541" t="s">
        <v>1862</v>
      </c>
      <c r="G541" t="s">
        <v>40</v>
      </c>
      <c r="H541" t="s">
        <v>29</v>
      </c>
      <c r="I541" t="s">
        <v>48</v>
      </c>
      <c r="J541">
        <v>0</v>
      </c>
      <c r="K541">
        <v>1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1</v>
      </c>
      <c r="V541">
        <v>0</v>
      </c>
      <c r="W541">
        <v>1</v>
      </c>
      <c r="X541">
        <v>951.42</v>
      </c>
      <c r="Y541">
        <v>1000</v>
      </c>
      <c r="Z541">
        <f>AVERAGEIFS(Table1[FinalElo], Table1[Country], Table1[[#This Row],[Country]])</f>
        <v>1025.3786885245902</v>
      </c>
      <c r="AA541" cm="1">
        <f t="array" ref="AA541">IF(COUNTIFS(Table1[Country],Table1[[#This Row],[Country]])=1,0, _xlfn.STDEV.S(IF(Table1[Country]=Table1[[#This Row],[Country]],Table1[FinalElo])))</f>
        <v>144.71595558743479</v>
      </c>
      <c r="AB541">
        <f>IF(Table1[[#This Row],[CStd]]=0,0, (Table1[[#This Row],[FinalElo]]-Table1[[#This Row],[CAvg]]) / Table1[[#This Row],[CStd]])</f>
        <v>-0.51106105214435538</v>
      </c>
      <c r="AC541" t="str">
        <f>IF(Table1[[#This Row],[CStd]]=0,"Normal", IF(ABS(Table1[[#This Row],[CZscore]])&gt;2,"Outlier","Normal"))</f>
        <v>Normal</v>
      </c>
    </row>
    <row r="542" spans="1:29" x14ac:dyDescent="0.35">
      <c r="A542" t="s">
        <v>1859</v>
      </c>
      <c r="B542">
        <v>53.7</v>
      </c>
      <c r="C542">
        <v>168</v>
      </c>
      <c r="D542" t="s">
        <v>89</v>
      </c>
      <c r="E542">
        <v>20</v>
      </c>
      <c r="F542" t="s">
        <v>1860</v>
      </c>
      <c r="G542" t="s">
        <v>34</v>
      </c>
      <c r="H542" t="s">
        <v>29</v>
      </c>
      <c r="I542" t="s">
        <v>36</v>
      </c>
      <c r="J542">
        <v>3</v>
      </c>
      <c r="K542">
        <v>0</v>
      </c>
      <c r="L542">
        <v>0</v>
      </c>
      <c r="M542">
        <v>2</v>
      </c>
      <c r="N542">
        <v>0</v>
      </c>
      <c r="O542">
        <v>0</v>
      </c>
      <c r="P542">
        <v>1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3</v>
      </c>
      <c r="X542">
        <v>1317.26</v>
      </c>
      <c r="Y542">
        <v>1317.26</v>
      </c>
      <c r="Z542">
        <f>AVERAGEIFS(Table1[FinalElo], Table1[Country], Table1[[#This Row],[Country]])</f>
        <v>1012.0629025423733</v>
      </c>
      <c r="AA542" cm="1">
        <f t="array" ref="AA542">IF(COUNTIFS(Table1[Country],Table1[[#This Row],[Country]])=1,0, _xlfn.STDEV.S(IF(Table1[Country]=Table1[[#This Row],[Country]],Table1[FinalElo])))</f>
        <v>148.42180446198614</v>
      </c>
      <c r="AB542">
        <f>IF(Table1[[#This Row],[CStd]]=0,0, (Table1[[#This Row],[FinalElo]]-Table1[[#This Row],[CAvg]]) / Table1[[#This Row],[CStd]])</f>
        <v>2.05628208445474</v>
      </c>
      <c r="AC542" t="str">
        <f>IF(Table1[[#This Row],[CStd]]=0,"Normal", IF(ABS(Table1[[#This Row],[CZscore]])&gt;2,"Outlier","Normal"))</f>
        <v>Outlier</v>
      </c>
    </row>
    <row r="543" spans="1:29" x14ac:dyDescent="0.35">
      <c r="A543" t="s">
        <v>1857</v>
      </c>
      <c r="B543">
        <v>52.16</v>
      </c>
      <c r="C543">
        <v>170</v>
      </c>
      <c r="D543" t="s">
        <v>89</v>
      </c>
      <c r="E543">
        <v>19</v>
      </c>
      <c r="F543" t="s">
        <v>1858</v>
      </c>
      <c r="G543" t="s">
        <v>34</v>
      </c>
      <c r="H543" t="s">
        <v>29</v>
      </c>
      <c r="I543" t="s">
        <v>36</v>
      </c>
      <c r="J543">
        <v>0</v>
      </c>
      <c r="K543">
        <v>1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1</v>
      </c>
      <c r="V543">
        <v>0</v>
      </c>
      <c r="W543">
        <v>1</v>
      </c>
      <c r="X543">
        <v>900</v>
      </c>
      <c r="Y543">
        <v>1000</v>
      </c>
      <c r="Z543">
        <f>AVERAGEIFS(Table1[FinalElo], Table1[Country], Table1[[#This Row],[Country]])</f>
        <v>1012.0629025423733</v>
      </c>
      <c r="AA543" cm="1">
        <f t="array" ref="AA543">IF(COUNTIFS(Table1[Country],Table1[[#This Row],[Country]])=1,0, _xlfn.STDEV.S(IF(Table1[Country]=Table1[[#This Row],[Country]],Table1[FinalElo])))</f>
        <v>148.42180446198614</v>
      </c>
      <c r="AB543">
        <f>IF(Table1[[#This Row],[CStd]]=0,0, (Table1[[#This Row],[FinalElo]]-Table1[[#This Row],[CAvg]]) / Table1[[#This Row],[CStd]])</f>
        <v>-0.75502991591154589</v>
      </c>
      <c r="AC543" t="str">
        <f>IF(Table1[[#This Row],[CStd]]=0,"Normal", IF(ABS(Table1[[#This Row],[CZscore]])&gt;2,"Outlier","Normal"))</f>
        <v>Normal</v>
      </c>
    </row>
    <row r="544" spans="1:29" x14ac:dyDescent="0.35">
      <c r="A544" t="s">
        <v>1855</v>
      </c>
      <c r="B544">
        <v>59.8</v>
      </c>
      <c r="C544">
        <v>171</v>
      </c>
      <c r="D544" t="s">
        <v>89</v>
      </c>
      <c r="E544">
        <v>18</v>
      </c>
      <c r="F544" t="s">
        <v>1856</v>
      </c>
      <c r="G544" t="s">
        <v>34</v>
      </c>
      <c r="H544" t="s">
        <v>29</v>
      </c>
      <c r="I544" t="s">
        <v>58</v>
      </c>
      <c r="J544">
        <v>1</v>
      </c>
      <c r="K544">
        <v>1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1</v>
      </c>
      <c r="R544">
        <v>1</v>
      </c>
      <c r="S544">
        <v>0</v>
      </c>
      <c r="T544">
        <v>0</v>
      </c>
      <c r="U544">
        <v>0</v>
      </c>
      <c r="V544">
        <v>0</v>
      </c>
      <c r="W544">
        <v>2</v>
      </c>
      <c r="X544">
        <v>1028.01</v>
      </c>
      <c r="Y544">
        <v>1028.01</v>
      </c>
      <c r="Z544">
        <f>AVERAGEIFS(Table1[FinalElo], Table1[Country], Table1[[#This Row],[Country]])</f>
        <v>1012.0629025423733</v>
      </c>
      <c r="AA544" cm="1">
        <f t="array" ref="AA544">IF(COUNTIFS(Table1[Country],Table1[[#This Row],[Country]])=1,0, _xlfn.STDEV.S(IF(Table1[Country]=Table1[[#This Row],[Country]],Table1[FinalElo])))</f>
        <v>148.42180446198614</v>
      </c>
      <c r="AB544">
        <f>IF(Table1[[#This Row],[CStd]]=0,0, (Table1[[#This Row],[FinalElo]]-Table1[[#This Row],[CAvg]]) / Table1[[#This Row],[CStd]])</f>
        <v>0.10744443860814978</v>
      </c>
      <c r="AC544" t="str">
        <f>IF(Table1[[#This Row],[CStd]]=0,"Normal", IF(ABS(Table1[[#This Row],[CZscore]])&gt;2,"Outlier","Normal"))</f>
        <v>Normal</v>
      </c>
    </row>
    <row r="545" spans="1:29" hidden="1" x14ac:dyDescent="0.35">
      <c r="A545" t="s">
        <v>1083</v>
      </c>
      <c r="B545">
        <v>51.5</v>
      </c>
      <c r="C545">
        <v>157</v>
      </c>
      <c r="D545" t="s">
        <v>82</v>
      </c>
      <c r="E545">
        <v>25</v>
      </c>
      <c r="F545" t="s">
        <v>1084</v>
      </c>
      <c r="G545" t="s">
        <v>40</v>
      </c>
      <c r="H545" t="s">
        <v>35</v>
      </c>
      <c r="I545" t="s">
        <v>55</v>
      </c>
      <c r="J545">
        <v>6</v>
      </c>
      <c r="K545">
        <v>4</v>
      </c>
      <c r="L545">
        <v>0</v>
      </c>
      <c r="M545">
        <v>1</v>
      </c>
      <c r="N545">
        <v>2</v>
      </c>
      <c r="O545">
        <v>0</v>
      </c>
      <c r="P545">
        <v>3</v>
      </c>
      <c r="Q545">
        <v>0</v>
      </c>
      <c r="R545">
        <v>0</v>
      </c>
      <c r="S545">
        <v>1</v>
      </c>
      <c r="T545">
        <v>0</v>
      </c>
      <c r="U545">
        <v>2</v>
      </c>
      <c r="V545">
        <v>1</v>
      </c>
      <c r="W545">
        <v>10</v>
      </c>
      <c r="X545">
        <v>1036.25</v>
      </c>
      <c r="Y545">
        <v>1260.73</v>
      </c>
      <c r="Z545">
        <f>AVERAGEIFS(Table1[FinalElo], Table1[Country], Table1[[#This Row],[Country]])</f>
        <v>1012.5275373134326</v>
      </c>
      <c r="AA545" cm="1">
        <f t="array" ref="AA545">IF(COUNTIFS(Table1[Country],Table1[[#This Row],[Country]])=1,0, _xlfn.STDEV.S(IF(Table1[Country]=Table1[[#This Row],[Country]],Table1[FinalElo])))</f>
        <v>135.61062237674741</v>
      </c>
      <c r="AB545">
        <f>IF(Table1[[#This Row],[CStd]]=0,0, (Table1[[#This Row],[FinalElo]]-Table1[[#This Row],[CAvg]]) / Table1[[#This Row],[CStd]])</f>
        <v>0.1749307117009071</v>
      </c>
      <c r="AC545" t="str">
        <f>IF(Table1[[#This Row],[CStd]]=0,"Normal", IF(ABS(Table1[[#This Row],[CZscore]])&gt;2,"Outlier","Normal"))</f>
        <v>Normal</v>
      </c>
    </row>
    <row r="546" spans="1:29" x14ac:dyDescent="0.35">
      <c r="A546" t="s">
        <v>1853</v>
      </c>
      <c r="B546">
        <v>56.4</v>
      </c>
      <c r="C546">
        <v>165</v>
      </c>
      <c r="D546" t="s">
        <v>89</v>
      </c>
      <c r="E546">
        <v>24</v>
      </c>
      <c r="F546" t="s">
        <v>1854</v>
      </c>
      <c r="G546" t="s">
        <v>34</v>
      </c>
      <c r="H546" t="s">
        <v>29</v>
      </c>
      <c r="I546" t="s">
        <v>36</v>
      </c>
      <c r="J546">
        <v>1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1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1</v>
      </c>
      <c r="X546">
        <v>1128.01</v>
      </c>
      <c r="Y546">
        <v>1128.01</v>
      </c>
      <c r="Z546">
        <f>AVERAGEIFS(Table1[FinalElo], Table1[Country], Table1[[#This Row],[Country]])</f>
        <v>1012.0629025423733</v>
      </c>
      <c r="AA546" cm="1">
        <f t="array" ref="AA546">IF(COUNTIFS(Table1[Country],Table1[[#This Row],[Country]])=1,0, _xlfn.STDEV.S(IF(Table1[Country]=Table1[[#This Row],[Country]],Table1[FinalElo])))</f>
        <v>148.42180446198614</v>
      </c>
      <c r="AB546">
        <f>IF(Table1[[#This Row],[CStd]]=0,0, (Table1[[#This Row],[FinalElo]]-Table1[[#This Row],[CAvg]]) / Table1[[#This Row],[CStd]])</f>
        <v>0.7811998909319493</v>
      </c>
      <c r="AC546" t="str">
        <f>IF(Table1[[#This Row],[CStd]]=0,"Normal", IF(ABS(Table1[[#This Row],[CZscore]])&gt;2,"Outlier","Normal"))</f>
        <v>Normal</v>
      </c>
    </row>
    <row r="547" spans="1:29" x14ac:dyDescent="0.35">
      <c r="A547" t="s">
        <v>1851</v>
      </c>
      <c r="B547">
        <v>106.6</v>
      </c>
      <c r="C547">
        <v>185</v>
      </c>
      <c r="D547" t="s">
        <v>71</v>
      </c>
      <c r="E547">
        <v>33</v>
      </c>
      <c r="F547" t="s">
        <v>1852</v>
      </c>
      <c r="G547" t="s">
        <v>40</v>
      </c>
      <c r="H547" t="s">
        <v>29</v>
      </c>
      <c r="I547" t="s">
        <v>94</v>
      </c>
      <c r="J547">
        <v>1</v>
      </c>
      <c r="K547">
        <v>2</v>
      </c>
      <c r="L547">
        <v>1</v>
      </c>
      <c r="M547">
        <v>1</v>
      </c>
      <c r="N547">
        <v>0</v>
      </c>
      <c r="O547">
        <v>0</v>
      </c>
      <c r="P547">
        <v>0</v>
      </c>
      <c r="Q547">
        <v>0</v>
      </c>
      <c r="R547">
        <v>1</v>
      </c>
      <c r="S547">
        <v>0</v>
      </c>
      <c r="T547">
        <v>0</v>
      </c>
      <c r="U547">
        <v>0</v>
      </c>
      <c r="V547">
        <v>0</v>
      </c>
      <c r="W547">
        <v>4</v>
      </c>
      <c r="X547">
        <v>962.27</v>
      </c>
      <c r="Y547">
        <v>1000</v>
      </c>
      <c r="Z547">
        <f>AVERAGEIFS(Table1[FinalElo], Table1[Country], Table1[[#This Row],[Country]])</f>
        <v>991.47826086956536</v>
      </c>
      <c r="AA547" cm="1">
        <f t="array" ref="AA547">IF(COUNTIFS(Table1[Country],Table1[[#This Row],[Country]])=1,0, _xlfn.STDEV.S(IF(Table1[Country]=Table1[[#This Row],[Country]],Table1[FinalElo])))</f>
        <v>164.61500422203164</v>
      </c>
      <c r="AB547">
        <f>IF(Table1[[#This Row],[CStd]]=0,0, (Table1[[#This Row],[FinalElo]]-Table1[[#This Row],[CAvg]]) / Table1[[#This Row],[CStd]])</f>
        <v>-0.17743377043668188</v>
      </c>
      <c r="AC547" t="str">
        <f>IF(Table1[[#This Row],[CStd]]=0,"Normal", IF(ABS(Table1[[#This Row],[CZscore]])&gt;2,"Outlier","Normal"))</f>
        <v>Normal</v>
      </c>
    </row>
    <row r="548" spans="1:29" x14ac:dyDescent="0.35">
      <c r="A548" t="s">
        <v>1849</v>
      </c>
      <c r="B548">
        <v>63.502879999999998</v>
      </c>
      <c r="C548">
        <v>174</v>
      </c>
      <c r="D548" t="s">
        <v>1850</v>
      </c>
      <c r="E548">
        <v>24</v>
      </c>
      <c r="F548" t="s">
        <v>33</v>
      </c>
      <c r="G548" t="s">
        <v>34</v>
      </c>
      <c r="H548" t="s">
        <v>29</v>
      </c>
      <c r="I548" t="s">
        <v>73</v>
      </c>
      <c r="J548">
        <v>1</v>
      </c>
      <c r="K548">
        <v>1</v>
      </c>
      <c r="L548">
        <v>0</v>
      </c>
      <c r="M548">
        <v>0</v>
      </c>
      <c r="N548">
        <v>0</v>
      </c>
      <c r="O548">
        <v>0</v>
      </c>
      <c r="P548">
        <v>1</v>
      </c>
      <c r="Q548">
        <v>0</v>
      </c>
      <c r="R548">
        <v>0</v>
      </c>
      <c r="S548">
        <v>0</v>
      </c>
      <c r="T548">
        <v>0</v>
      </c>
      <c r="U548">
        <v>1</v>
      </c>
      <c r="V548">
        <v>0</v>
      </c>
      <c r="W548">
        <v>2</v>
      </c>
      <c r="X548">
        <v>971.99</v>
      </c>
      <c r="Y548">
        <v>1100</v>
      </c>
      <c r="Z548">
        <f>AVERAGEIFS(Table1[FinalElo], Table1[Country], Table1[[#This Row],[Country]])</f>
        <v>971.99</v>
      </c>
      <c r="AA548" cm="1">
        <f t="array" ref="AA548">IF(COUNTIFS(Table1[Country],Table1[[#This Row],[Country]])=1,0, _xlfn.STDEV.S(IF(Table1[Country]=Table1[[#This Row],[Country]],Table1[FinalElo])))</f>
        <v>0</v>
      </c>
      <c r="AB548">
        <f>IF(Table1[[#This Row],[CStd]]=0,0, (Table1[[#This Row],[FinalElo]]-Table1[[#This Row],[CAvg]]) / Table1[[#This Row],[CStd]])</f>
        <v>0</v>
      </c>
      <c r="AC548" t="str">
        <f>IF(Table1[[#This Row],[CStd]]=0,"Normal", IF(ABS(Table1[[#This Row],[CZscore]])&gt;2,"Outlier","Normal"))</f>
        <v>Normal</v>
      </c>
    </row>
    <row r="549" spans="1:29" x14ac:dyDescent="0.35">
      <c r="A549" t="s">
        <v>1848</v>
      </c>
      <c r="B549">
        <v>55.3</v>
      </c>
      <c r="C549">
        <v>168</v>
      </c>
      <c r="D549" t="s">
        <v>89</v>
      </c>
      <c r="E549">
        <v>22</v>
      </c>
      <c r="F549" t="s">
        <v>1223</v>
      </c>
      <c r="G549" t="s">
        <v>34</v>
      </c>
      <c r="H549" t="s">
        <v>29</v>
      </c>
      <c r="I549" t="s">
        <v>36</v>
      </c>
      <c r="J549">
        <v>4</v>
      </c>
      <c r="K549">
        <v>2</v>
      </c>
      <c r="L549">
        <v>0</v>
      </c>
      <c r="M549">
        <v>0</v>
      </c>
      <c r="N549">
        <v>0</v>
      </c>
      <c r="O549">
        <v>0</v>
      </c>
      <c r="P549">
        <v>4</v>
      </c>
      <c r="Q549">
        <v>0</v>
      </c>
      <c r="R549">
        <v>1</v>
      </c>
      <c r="S549">
        <v>0</v>
      </c>
      <c r="T549">
        <v>0</v>
      </c>
      <c r="U549">
        <v>0</v>
      </c>
      <c r="V549">
        <v>0</v>
      </c>
      <c r="W549">
        <v>6</v>
      </c>
      <c r="X549">
        <v>1067.3399999999999</v>
      </c>
      <c r="Y549">
        <v>1260.77</v>
      </c>
      <c r="Z549">
        <f>AVERAGEIFS(Table1[FinalElo], Table1[Country], Table1[[#This Row],[Country]])</f>
        <v>1012.0629025423733</v>
      </c>
      <c r="AA549" cm="1">
        <f t="array" ref="AA549">IF(COUNTIFS(Table1[Country],Table1[[#This Row],[Country]])=1,0, _xlfn.STDEV.S(IF(Table1[Country]=Table1[[#This Row],[Country]],Table1[FinalElo])))</f>
        <v>148.42180446198614</v>
      </c>
      <c r="AB549">
        <f>IF(Table1[[#This Row],[CStd]]=0,0, (Table1[[#This Row],[FinalElo]]-Table1[[#This Row],[CAvg]]) / Table1[[#This Row],[CStd]])</f>
        <v>0.37243245800709968</v>
      </c>
      <c r="AC549" t="str">
        <f>IF(Table1[[#This Row],[CStd]]=0,"Normal", IF(ABS(Table1[[#This Row],[CZscore]])&gt;2,"Outlier","Normal"))</f>
        <v>Normal</v>
      </c>
    </row>
    <row r="550" spans="1:29" x14ac:dyDescent="0.35">
      <c r="A550" t="s">
        <v>1847</v>
      </c>
      <c r="B550">
        <v>58</v>
      </c>
      <c r="C550">
        <v>168</v>
      </c>
      <c r="D550" t="s">
        <v>89</v>
      </c>
      <c r="E550">
        <v>27</v>
      </c>
      <c r="F550" t="s">
        <v>1223</v>
      </c>
      <c r="G550" t="s">
        <v>34</v>
      </c>
      <c r="H550" t="s">
        <v>29</v>
      </c>
      <c r="I550" t="s">
        <v>58</v>
      </c>
      <c r="J550">
        <v>1</v>
      </c>
      <c r="K550">
        <v>3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3</v>
      </c>
      <c r="V550">
        <v>0</v>
      </c>
      <c r="W550">
        <v>4</v>
      </c>
      <c r="X550">
        <v>876.65</v>
      </c>
      <c r="Y550">
        <v>1061.29</v>
      </c>
      <c r="Z550">
        <f>AVERAGEIFS(Table1[FinalElo], Table1[Country], Table1[[#This Row],[Country]])</f>
        <v>1012.0629025423733</v>
      </c>
      <c r="AA550" cm="1">
        <f t="array" ref="AA550">IF(COUNTIFS(Table1[Country],Table1[[#This Row],[Country]])=1,0, _xlfn.STDEV.S(IF(Table1[Country]=Table1[[#This Row],[Country]],Table1[FinalElo])))</f>
        <v>148.42180446198614</v>
      </c>
      <c r="AB550">
        <f>IF(Table1[[#This Row],[CStd]]=0,0, (Table1[[#This Row],[FinalElo]]-Table1[[#This Row],[CAvg]]) / Table1[[#This Row],[CStd]])</f>
        <v>-0.91235181402915322</v>
      </c>
      <c r="AC550" t="str">
        <f>IF(Table1[[#This Row],[CStd]]=0,"Normal", IF(ABS(Table1[[#This Row],[CZscore]])&gt;2,"Outlier","Normal"))</f>
        <v>Normal</v>
      </c>
    </row>
    <row r="551" spans="1:29" x14ac:dyDescent="0.35">
      <c r="A551" t="s">
        <v>1846</v>
      </c>
      <c r="B551">
        <v>61.23</v>
      </c>
      <c r="C551">
        <v>170</v>
      </c>
      <c r="D551" t="s">
        <v>89</v>
      </c>
      <c r="E551">
        <v>27</v>
      </c>
      <c r="F551" t="s">
        <v>1239</v>
      </c>
      <c r="G551" t="s">
        <v>34</v>
      </c>
      <c r="H551" t="s">
        <v>29</v>
      </c>
      <c r="I551" t="s">
        <v>73</v>
      </c>
      <c r="J551">
        <v>1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1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1</v>
      </c>
      <c r="X551">
        <v>1100</v>
      </c>
      <c r="Y551">
        <v>1100</v>
      </c>
      <c r="Z551">
        <f>AVERAGEIFS(Table1[FinalElo], Table1[Country], Table1[[#This Row],[Country]])</f>
        <v>1012.0629025423733</v>
      </c>
      <c r="AA551" cm="1">
        <f t="array" ref="AA551">IF(COUNTIFS(Table1[Country],Table1[[#This Row],[Country]])=1,0, _xlfn.STDEV.S(IF(Table1[Country]=Table1[[#This Row],[Country]],Table1[FinalElo])))</f>
        <v>148.42180446198614</v>
      </c>
      <c r="AB551">
        <f>IF(Table1[[#This Row],[CStd]]=0,0, (Table1[[#This Row],[FinalElo]]-Table1[[#This Row],[CAvg]]) / Table1[[#This Row],[CStd]])</f>
        <v>0.59248098873605315</v>
      </c>
      <c r="AC551" t="str">
        <f>IF(Table1[[#This Row],[CStd]]=0,"Normal", IF(ABS(Table1[[#This Row],[CZscore]])&gt;2,"Outlier","Normal"))</f>
        <v>Normal</v>
      </c>
    </row>
    <row r="552" spans="1:29" x14ac:dyDescent="0.35">
      <c r="A552" t="s">
        <v>1844</v>
      </c>
      <c r="B552">
        <v>62.595695999999997</v>
      </c>
      <c r="C552">
        <v>180</v>
      </c>
      <c r="D552" t="s">
        <v>89</v>
      </c>
      <c r="E552">
        <v>24</v>
      </c>
      <c r="F552" t="s">
        <v>1845</v>
      </c>
      <c r="G552" t="s">
        <v>34</v>
      </c>
      <c r="H552" t="s">
        <v>29</v>
      </c>
      <c r="I552" t="s">
        <v>73</v>
      </c>
      <c r="J552">
        <v>1</v>
      </c>
      <c r="K552">
        <v>1</v>
      </c>
      <c r="L552">
        <v>0</v>
      </c>
      <c r="M552">
        <v>0</v>
      </c>
      <c r="N552">
        <v>0</v>
      </c>
      <c r="O552">
        <v>0</v>
      </c>
      <c r="P552">
        <v>1</v>
      </c>
      <c r="Q552">
        <v>0</v>
      </c>
      <c r="R552">
        <v>0</v>
      </c>
      <c r="S552">
        <v>0</v>
      </c>
      <c r="T552">
        <v>0</v>
      </c>
      <c r="U552">
        <v>1</v>
      </c>
      <c r="V552">
        <v>0</v>
      </c>
      <c r="W552">
        <v>2</v>
      </c>
      <c r="X552">
        <v>966.09</v>
      </c>
      <c r="Y552">
        <v>1091.96</v>
      </c>
      <c r="Z552">
        <f>AVERAGEIFS(Table1[FinalElo], Table1[Country], Table1[[#This Row],[Country]])</f>
        <v>1012.0629025423733</v>
      </c>
      <c r="AA552" cm="1">
        <f t="array" ref="AA552">IF(COUNTIFS(Table1[Country],Table1[[#This Row],[Country]])=1,0, _xlfn.STDEV.S(IF(Table1[Country]=Table1[[#This Row],[Country]],Table1[FinalElo])))</f>
        <v>148.42180446198614</v>
      </c>
      <c r="AB552">
        <f>IF(Table1[[#This Row],[CStd]]=0,0, (Table1[[#This Row],[FinalElo]]-Table1[[#This Row],[CAvg]]) / Table1[[#This Row],[CStd]])</f>
        <v>-0.30974493747074661</v>
      </c>
      <c r="AC552" t="str">
        <f>IF(Table1[[#This Row],[CStd]]=0,"Normal", IF(ABS(Table1[[#This Row],[CZscore]])&gt;2,"Outlier","Normal"))</f>
        <v>Normal</v>
      </c>
    </row>
    <row r="553" spans="1:29" x14ac:dyDescent="0.35">
      <c r="A553" t="s">
        <v>1843</v>
      </c>
      <c r="B553">
        <v>56.7</v>
      </c>
      <c r="C553">
        <v>178</v>
      </c>
      <c r="D553" t="s">
        <v>146</v>
      </c>
      <c r="E553">
        <v>24</v>
      </c>
      <c r="F553" t="s">
        <v>133</v>
      </c>
      <c r="G553" t="s">
        <v>34</v>
      </c>
      <c r="H553" t="s">
        <v>29</v>
      </c>
      <c r="I553" t="s">
        <v>58</v>
      </c>
      <c r="J553">
        <v>0</v>
      </c>
      <c r="K553">
        <v>1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1</v>
      </c>
      <c r="X553">
        <v>967.09</v>
      </c>
      <c r="Y553">
        <v>1000</v>
      </c>
      <c r="Z553">
        <f>AVERAGEIFS(Table1[FinalElo], Table1[Country], Table1[[#This Row],[Country]])</f>
        <v>971.46103448275846</v>
      </c>
      <c r="AA553" cm="1">
        <f t="array" ref="AA553">IF(COUNTIFS(Table1[Country],Table1[[#This Row],[Country]])=1,0, _xlfn.STDEV.S(IF(Table1[Country]=Table1[[#This Row],[Country]],Table1[FinalElo])))</f>
        <v>107.62263899334665</v>
      </c>
      <c r="AB553">
        <f>IF(Table1[[#This Row],[CStd]]=0,0, (Table1[[#This Row],[FinalElo]]-Table1[[#This Row],[CAvg]]) / Table1[[#This Row],[CStd]])</f>
        <v>-4.0614451788611637E-2</v>
      </c>
      <c r="AC553" t="str">
        <f>IF(Table1[[#This Row],[CStd]]=0,"Normal", IF(ABS(Table1[[#This Row],[CZscore]])&gt;2,"Outlier","Normal"))</f>
        <v>Normal</v>
      </c>
    </row>
    <row r="554" spans="1:29" x14ac:dyDescent="0.35">
      <c r="A554" t="s">
        <v>1842</v>
      </c>
      <c r="B554">
        <v>52.16</v>
      </c>
      <c r="C554">
        <v>180</v>
      </c>
      <c r="D554" t="s">
        <v>89</v>
      </c>
      <c r="E554">
        <v>25</v>
      </c>
      <c r="F554" t="s">
        <v>718</v>
      </c>
      <c r="G554" t="s">
        <v>34</v>
      </c>
      <c r="H554" t="s">
        <v>29</v>
      </c>
      <c r="I554" t="s">
        <v>36</v>
      </c>
      <c r="J554">
        <v>1</v>
      </c>
      <c r="K554">
        <v>3</v>
      </c>
      <c r="L554">
        <v>0</v>
      </c>
      <c r="M554">
        <v>1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1</v>
      </c>
      <c r="W554">
        <v>4</v>
      </c>
      <c r="X554">
        <v>920.95</v>
      </c>
      <c r="Y554">
        <v>1000</v>
      </c>
      <c r="Z554">
        <f>AVERAGEIFS(Table1[FinalElo], Table1[Country], Table1[[#This Row],[Country]])</f>
        <v>1012.0629025423733</v>
      </c>
      <c r="AA554" cm="1">
        <f t="array" ref="AA554">IF(COUNTIFS(Table1[Country],Table1[[#This Row],[Country]])=1,0, _xlfn.STDEV.S(IF(Table1[Country]=Table1[[#This Row],[Country]],Table1[FinalElo])))</f>
        <v>148.42180446198614</v>
      </c>
      <c r="AB554">
        <f>IF(Table1[[#This Row],[CStd]]=0,0, (Table1[[#This Row],[FinalElo]]-Table1[[#This Row],[CAvg]]) / Table1[[#This Row],[CStd]])</f>
        <v>-0.61387814864970958</v>
      </c>
      <c r="AC554" t="str">
        <f>IF(Table1[[#This Row],[CStd]]=0,"Normal", IF(ABS(Table1[[#This Row],[CZscore]])&gt;2,"Outlier","Normal"))</f>
        <v>Normal</v>
      </c>
    </row>
    <row r="555" spans="1:29" x14ac:dyDescent="0.35">
      <c r="A555" t="s">
        <v>1841</v>
      </c>
      <c r="B555">
        <v>65.400000000000006</v>
      </c>
      <c r="C555">
        <v>178</v>
      </c>
      <c r="D555" t="s">
        <v>146</v>
      </c>
      <c r="E555">
        <v>21</v>
      </c>
      <c r="F555" t="s">
        <v>1172</v>
      </c>
      <c r="G555" t="s">
        <v>34</v>
      </c>
      <c r="H555" t="s">
        <v>29</v>
      </c>
      <c r="I555" t="s">
        <v>73</v>
      </c>
      <c r="J555">
        <v>6</v>
      </c>
      <c r="K555">
        <v>1</v>
      </c>
      <c r="L555">
        <v>0</v>
      </c>
      <c r="M555">
        <v>0</v>
      </c>
      <c r="N555">
        <v>0</v>
      </c>
      <c r="O555">
        <v>0</v>
      </c>
      <c r="P555">
        <v>1</v>
      </c>
      <c r="Q555">
        <v>1</v>
      </c>
      <c r="R555">
        <v>1</v>
      </c>
      <c r="S555">
        <v>0</v>
      </c>
      <c r="T555">
        <v>0</v>
      </c>
      <c r="U555">
        <v>0</v>
      </c>
      <c r="V555">
        <v>0</v>
      </c>
      <c r="W555">
        <v>7</v>
      </c>
      <c r="X555">
        <v>1176.29</v>
      </c>
      <c r="Y555">
        <v>1320.64</v>
      </c>
      <c r="Z555">
        <f>AVERAGEIFS(Table1[FinalElo], Table1[Country], Table1[[#This Row],[Country]])</f>
        <v>971.46103448275846</v>
      </c>
      <c r="AA555" cm="1">
        <f t="array" ref="AA555">IF(COUNTIFS(Table1[Country],Table1[[#This Row],[Country]])=1,0, _xlfn.STDEV.S(IF(Table1[Country]=Table1[[#This Row],[Country]],Table1[FinalElo])))</f>
        <v>107.62263899334665</v>
      </c>
      <c r="AB555">
        <f>IF(Table1[[#This Row],[CStd]]=0,0, (Table1[[#This Row],[FinalElo]]-Table1[[#This Row],[CAvg]]) / Table1[[#This Row],[CStd]])</f>
        <v>1.9032144856613695</v>
      </c>
      <c r="AC555" t="str">
        <f>IF(Table1[[#This Row],[CStd]]=0,"Normal", IF(ABS(Table1[[#This Row],[CZscore]])&gt;2,"Outlier","Normal"))</f>
        <v>Normal</v>
      </c>
    </row>
    <row r="556" spans="1:29" x14ac:dyDescent="0.35">
      <c r="A556" t="s">
        <v>1837</v>
      </c>
      <c r="B556">
        <v>55.791815999999997</v>
      </c>
      <c r="C556">
        <v>165</v>
      </c>
      <c r="D556" t="s">
        <v>89</v>
      </c>
      <c r="E556">
        <v>23</v>
      </c>
      <c r="F556" t="s">
        <v>1838</v>
      </c>
      <c r="G556" t="s">
        <v>34</v>
      </c>
      <c r="H556" t="s">
        <v>29</v>
      </c>
      <c r="I556" t="s">
        <v>36</v>
      </c>
      <c r="J556">
        <v>2</v>
      </c>
      <c r="K556">
        <v>2</v>
      </c>
      <c r="L556">
        <v>0</v>
      </c>
      <c r="M556">
        <v>0</v>
      </c>
      <c r="N556">
        <v>0</v>
      </c>
      <c r="O556">
        <v>0</v>
      </c>
      <c r="P556">
        <v>2</v>
      </c>
      <c r="Q556">
        <v>0</v>
      </c>
      <c r="R556">
        <v>2</v>
      </c>
      <c r="S556">
        <v>0</v>
      </c>
      <c r="T556">
        <v>0</v>
      </c>
      <c r="U556">
        <v>0</v>
      </c>
      <c r="V556">
        <v>0</v>
      </c>
      <c r="W556">
        <v>4</v>
      </c>
      <c r="X556">
        <v>945.24</v>
      </c>
      <c r="Y556">
        <v>1100</v>
      </c>
      <c r="Z556">
        <f>AVERAGEIFS(Table1[FinalElo], Table1[Country], Table1[[#This Row],[Country]])</f>
        <v>1012.0629025423733</v>
      </c>
      <c r="AA556" cm="1">
        <f t="array" ref="AA556">IF(COUNTIFS(Table1[Country],Table1[[#This Row],[Country]])=1,0, _xlfn.STDEV.S(IF(Table1[Country]=Table1[[#This Row],[Country]],Table1[FinalElo])))</f>
        <v>148.42180446198614</v>
      </c>
      <c r="AB556">
        <f>IF(Table1[[#This Row],[CStd]]=0,0, (Table1[[#This Row],[FinalElo]]-Table1[[#This Row],[CAvg]]) / Table1[[#This Row],[CStd]])</f>
        <v>-0.45022294928025897</v>
      </c>
      <c r="AC556" t="str">
        <f>IF(Table1[[#This Row],[CStd]]=0,"Normal", IF(ABS(Table1[[#This Row],[CZscore]])&gt;2,"Outlier","Normal"))</f>
        <v>Normal</v>
      </c>
    </row>
    <row r="557" spans="1:29" x14ac:dyDescent="0.35">
      <c r="A557" t="s">
        <v>1836</v>
      </c>
      <c r="B557">
        <v>58.1</v>
      </c>
      <c r="C557">
        <v>167</v>
      </c>
      <c r="D557" t="s">
        <v>89</v>
      </c>
      <c r="E557">
        <v>25</v>
      </c>
      <c r="F557" t="s">
        <v>284</v>
      </c>
      <c r="G557" t="s">
        <v>34</v>
      </c>
      <c r="H557" t="s">
        <v>29</v>
      </c>
      <c r="I557" t="s">
        <v>58</v>
      </c>
      <c r="J557">
        <v>3</v>
      </c>
      <c r="K557">
        <v>2</v>
      </c>
      <c r="L557">
        <v>0</v>
      </c>
      <c r="M557">
        <v>0</v>
      </c>
      <c r="N557">
        <v>0</v>
      </c>
      <c r="O557">
        <v>0</v>
      </c>
      <c r="P557">
        <v>2</v>
      </c>
      <c r="Q557">
        <v>1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5</v>
      </c>
      <c r="X557">
        <v>1060.9000000000001</v>
      </c>
      <c r="Y557">
        <v>1194.3</v>
      </c>
      <c r="Z557">
        <f>AVERAGEIFS(Table1[FinalElo], Table1[Country], Table1[[#This Row],[Country]])</f>
        <v>1012.0629025423733</v>
      </c>
      <c r="AA557" cm="1">
        <f t="array" ref="AA557">IF(COUNTIFS(Table1[Country],Table1[[#This Row],[Country]])=1,0, _xlfn.STDEV.S(IF(Table1[Country]=Table1[[#This Row],[Country]],Table1[FinalElo])))</f>
        <v>148.42180446198614</v>
      </c>
      <c r="AB557">
        <f>IF(Table1[[#This Row],[CStd]]=0,0, (Table1[[#This Row],[FinalElo]]-Table1[[#This Row],[CAvg]]) / Table1[[#This Row],[CStd]])</f>
        <v>0.32904260687744813</v>
      </c>
      <c r="AC557" t="str">
        <f>IF(Table1[[#This Row],[CStd]]=0,"Normal", IF(ABS(Table1[[#This Row],[CZscore]])&gt;2,"Outlier","Normal"))</f>
        <v>Normal</v>
      </c>
    </row>
    <row r="558" spans="1:29" x14ac:dyDescent="0.35">
      <c r="A558" t="s">
        <v>1835</v>
      </c>
      <c r="B558">
        <v>63.3</v>
      </c>
      <c r="C558">
        <v>168</v>
      </c>
      <c r="D558" t="s">
        <v>89</v>
      </c>
      <c r="E558">
        <v>28</v>
      </c>
      <c r="F558" t="s">
        <v>537</v>
      </c>
      <c r="G558" t="s">
        <v>34</v>
      </c>
      <c r="H558" t="s">
        <v>29</v>
      </c>
      <c r="I558" t="s">
        <v>73</v>
      </c>
      <c r="J558">
        <v>6</v>
      </c>
      <c r="K558">
        <v>6</v>
      </c>
      <c r="L558">
        <v>0</v>
      </c>
      <c r="M558">
        <v>1</v>
      </c>
      <c r="N558">
        <v>0</v>
      </c>
      <c r="O558">
        <v>0</v>
      </c>
      <c r="P558">
        <v>3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12</v>
      </c>
      <c r="X558">
        <v>1075.8</v>
      </c>
      <c r="Y558">
        <v>1261.3399999999999</v>
      </c>
      <c r="Z558">
        <f>AVERAGEIFS(Table1[FinalElo], Table1[Country], Table1[[#This Row],[Country]])</f>
        <v>1012.0629025423733</v>
      </c>
      <c r="AA558" cm="1">
        <f t="array" ref="AA558">IF(COUNTIFS(Table1[Country],Table1[[#This Row],[Country]])=1,0, _xlfn.STDEV.S(IF(Table1[Country]=Table1[[#This Row],[Country]],Table1[FinalElo])))</f>
        <v>148.42180446198614</v>
      </c>
      <c r="AB558">
        <f>IF(Table1[[#This Row],[CStd]]=0,0, (Table1[[#This Row],[FinalElo]]-Table1[[#This Row],[CAvg]]) / Table1[[#This Row],[CStd]])</f>
        <v>0.42943216927369332</v>
      </c>
      <c r="AC558" t="str">
        <f>IF(Table1[[#This Row],[CStd]]=0,"Normal", IF(ABS(Table1[[#This Row],[CZscore]])&gt;2,"Outlier","Normal"))</f>
        <v>Normal</v>
      </c>
    </row>
    <row r="559" spans="1:29" x14ac:dyDescent="0.35">
      <c r="A559" t="s">
        <v>1833</v>
      </c>
      <c r="B559">
        <v>61.1</v>
      </c>
      <c r="C559">
        <v>170</v>
      </c>
      <c r="D559" t="s">
        <v>89</v>
      </c>
      <c r="E559">
        <v>23</v>
      </c>
      <c r="F559" t="s">
        <v>1834</v>
      </c>
      <c r="G559" t="s">
        <v>34</v>
      </c>
      <c r="H559" t="s">
        <v>29</v>
      </c>
      <c r="I559" t="s">
        <v>58</v>
      </c>
      <c r="J559">
        <v>0</v>
      </c>
      <c r="K559">
        <v>1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1</v>
      </c>
      <c r="X559">
        <v>928.01</v>
      </c>
      <c r="Y559">
        <v>1000</v>
      </c>
      <c r="Z559">
        <f>AVERAGEIFS(Table1[FinalElo], Table1[Country], Table1[[#This Row],[Country]])</f>
        <v>1012.0629025423733</v>
      </c>
      <c r="AA559" cm="1">
        <f t="array" ref="AA559">IF(COUNTIFS(Table1[Country],Table1[[#This Row],[Country]])=1,0, _xlfn.STDEV.S(IF(Table1[Country]=Table1[[#This Row],[Country]],Table1[FinalElo])))</f>
        <v>148.42180446198614</v>
      </c>
      <c r="AB559">
        <f>IF(Table1[[#This Row],[CStd]]=0,0, (Table1[[#This Row],[FinalElo]]-Table1[[#This Row],[CAvg]]) / Table1[[#This Row],[CStd]])</f>
        <v>-0.56631101371564974</v>
      </c>
      <c r="AC559" t="str">
        <f>IF(Table1[[#This Row],[CStd]]=0,"Normal", IF(ABS(Table1[[#This Row],[CZscore]])&gt;2,"Outlier","Normal"))</f>
        <v>Normal</v>
      </c>
    </row>
    <row r="560" spans="1:29" x14ac:dyDescent="0.35">
      <c r="A560" t="s">
        <v>1832</v>
      </c>
      <c r="B560">
        <v>61.3</v>
      </c>
      <c r="C560">
        <v>175</v>
      </c>
      <c r="D560" t="s">
        <v>89</v>
      </c>
      <c r="E560">
        <v>29</v>
      </c>
      <c r="F560" t="s">
        <v>104</v>
      </c>
      <c r="G560" t="s">
        <v>34</v>
      </c>
      <c r="H560" t="s">
        <v>29</v>
      </c>
      <c r="I560" t="s">
        <v>73</v>
      </c>
      <c r="J560">
        <v>6</v>
      </c>
      <c r="K560">
        <v>3</v>
      </c>
      <c r="L560">
        <v>0</v>
      </c>
      <c r="M560">
        <v>1</v>
      </c>
      <c r="N560">
        <v>0</v>
      </c>
      <c r="O560">
        <v>0</v>
      </c>
      <c r="P560">
        <v>4</v>
      </c>
      <c r="Q560">
        <v>0</v>
      </c>
      <c r="R560">
        <v>0</v>
      </c>
      <c r="S560">
        <v>0</v>
      </c>
      <c r="T560">
        <v>0</v>
      </c>
      <c r="U560">
        <v>1</v>
      </c>
      <c r="V560">
        <v>1</v>
      </c>
      <c r="W560">
        <v>9</v>
      </c>
      <c r="X560">
        <v>1126.23</v>
      </c>
      <c r="Y560">
        <v>1208.1300000000001</v>
      </c>
      <c r="Z560">
        <f>AVERAGEIFS(Table1[FinalElo], Table1[Country], Table1[[#This Row],[Country]])</f>
        <v>1012.0629025423733</v>
      </c>
      <c r="AA560" cm="1">
        <f t="array" ref="AA560">IF(COUNTIFS(Table1[Country],Table1[[#This Row],[Country]])=1,0, _xlfn.STDEV.S(IF(Table1[Country]=Table1[[#This Row],[Country]],Table1[FinalElo])))</f>
        <v>148.42180446198614</v>
      </c>
      <c r="AB560">
        <f>IF(Table1[[#This Row],[CStd]]=0,0, (Table1[[#This Row],[FinalElo]]-Table1[[#This Row],[CAvg]]) / Table1[[#This Row],[CStd]])</f>
        <v>0.76920704388058592</v>
      </c>
      <c r="AC560" t="str">
        <f>IF(Table1[[#This Row],[CStd]]=0,"Normal", IF(ABS(Table1[[#This Row],[CZscore]])&gt;2,"Outlier","Normal"))</f>
        <v>Normal</v>
      </c>
    </row>
    <row r="561" spans="1:29" x14ac:dyDescent="0.35">
      <c r="A561" t="s">
        <v>1831</v>
      </c>
      <c r="B561">
        <v>58.96696</v>
      </c>
      <c r="C561">
        <v>172</v>
      </c>
      <c r="D561" t="s">
        <v>89</v>
      </c>
      <c r="E561">
        <v>23</v>
      </c>
      <c r="F561" t="s">
        <v>967</v>
      </c>
      <c r="G561" t="s">
        <v>34</v>
      </c>
      <c r="H561" t="s">
        <v>29</v>
      </c>
      <c r="I561" t="s">
        <v>58</v>
      </c>
      <c r="J561">
        <v>2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1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2</v>
      </c>
      <c r="X561">
        <v>1223.22</v>
      </c>
      <c r="Y561">
        <v>1223.22</v>
      </c>
      <c r="Z561">
        <f>AVERAGEIFS(Table1[FinalElo], Table1[Country], Table1[[#This Row],[Country]])</f>
        <v>1012.0629025423733</v>
      </c>
      <c r="AA561" cm="1">
        <f t="array" ref="AA561">IF(COUNTIFS(Table1[Country],Table1[[#This Row],[Country]])=1,0, _xlfn.STDEV.S(IF(Table1[Country]=Table1[[#This Row],[Country]],Table1[FinalElo])))</f>
        <v>148.42180446198614</v>
      </c>
      <c r="AB561">
        <f>IF(Table1[[#This Row],[CStd]]=0,0, (Table1[[#This Row],[FinalElo]]-Table1[[#This Row],[CAvg]]) / Table1[[#This Row],[CStd]])</f>
        <v>1.4226824570894392</v>
      </c>
      <c r="AC561" t="str">
        <f>IF(Table1[[#This Row],[CStd]]=0,"Normal", IF(ABS(Table1[[#This Row],[CZscore]])&gt;2,"Outlier","Normal"))</f>
        <v>Normal</v>
      </c>
    </row>
    <row r="562" spans="1:29" x14ac:dyDescent="0.35">
      <c r="A562" t="s">
        <v>1830</v>
      </c>
      <c r="B562">
        <v>47.63</v>
      </c>
      <c r="C562">
        <v>169</v>
      </c>
      <c r="D562" t="s">
        <v>89</v>
      </c>
      <c r="E562">
        <v>31</v>
      </c>
      <c r="F562" t="s">
        <v>535</v>
      </c>
      <c r="G562" t="s">
        <v>34</v>
      </c>
      <c r="H562" t="s">
        <v>29</v>
      </c>
      <c r="I562" t="s">
        <v>55</v>
      </c>
      <c r="J562">
        <v>0</v>
      </c>
      <c r="K562">
        <v>1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1</v>
      </c>
      <c r="S562">
        <v>0</v>
      </c>
      <c r="T562">
        <v>0</v>
      </c>
      <c r="U562">
        <v>0</v>
      </c>
      <c r="V562">
        <v>0</v>
      </c>
      <c r="W562">
        <v>1</v>
      </c>
      <c r="X562">
        <v>911.62</v>
      </c>
      <c r="Y562">
        <v>1000</v>
      </c>
      <c r="Z562">
        <f>AVERAGEIFS(Table1[FinalElo], Table1[Country], Table1[[#This Row],[Country]])</f>
        <v>1012.0629025423733</v>
      </c>
      <c r="AA562" cm="1">
        <f t="array" ref="AA562">IF(COUNTIFS(Table1[Country],Table1[[#This Row],[Country]])=1,0, _xlfn.STDEV.S(IF(Table1[Country]=Table1[[#This Row],[Country]],Table1[FinalElo])))</f>
        <v>148.42180446198614</v>
      </c>
      <c r="AB562">
        <f>IF(Table1[[#This Row],[CStd]]=0,0, (Table1[[#This Row],[FinalElo]]-Table1[[#This Row],[CAvg]]) / Table1[[#This Row],[CStd]])</f>
        <v>-0.6767395323515204</v>
      </c>
      <c r="AC562" t="str">
        <f>IF(Table1[[#This Row],[CStd]]=0,"Normal", IF(ABS(Table1[[#This Row],[CZscore]])&gt;2,"Outlier","Normal"))</f>
        <v>Normal</v>
      </c>
    </row>
    <row r="563" spans="1:29" x14ac:dyDescent="0.35">
      <c r="A563" t="s">
        <v>1829</v>
      </c>
      <c r="B563">
        <v>65.8</v>
      </c>
      <c r="C563">
        <v>175</v>
      </c>
      <c r="D563" t="s">
        <v>116</v>
      </c>
      <c r="E563">
        <v>27</v>
      </c>
      <c r="F563" t="s">
        <v>1431</v>
      </c>
      <c r="G563" t="s">
        <v>28</v>
      </c>
      <c r="H563" t="s">
        <v>29</v>
      </c>
      <c r="I563" t="s">
        <v>48</v>
      </c>
      <c r="J563">
        <v>3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2</v>
      </c>
      <c r="Q563">
        <v>1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3</v>
      </c>
      <c r="X563">
        <v>1230.2</v>
      </c>
      <c r="Y563">
        <v>1230.2</v>
      </c>
      <c r="Z563">
        <f>AVERAGEIFS(Table1[FinalElo], Table1[Country], Table1[[#This Row],[Country]])</f>
        <v>980.88090909090931</v>
      </c>
      <c r="AA563" cm="1">
        <f t="array" ref="AA563">IF(COUNTIFS(Table1[Country],Table1[[#This Row],[Country]])=1,0, _xlfn.STDEV.S(IF(Table1[Country]=Table1[[#This Row],[Country]],Table1[FinalElo])))</f>
        <v>133.41794796376408</v>
      </c>
      <c r="AB563">
        <f>IF(Table1[[#This Row],[CStd]]=0,0, (Table1[[#This Row],[FinalElo]]-Table1[[#This Row],[CAvg]]) / Table1[[#This Row],[CStd]])</f>
        <v>1.8687072819978094</v>
      </c>
      <c r="AC563" t="str">
        <f>IF(Table1[[#This Row],[CStd]]=0,"Normal", IF(ABS(Table1[[#This Row],[CZscore]])&gt;2,"Outlier","Normal"))</f>
        <v>Normal</v>
      </c>
    </row>
    <row r="564" spans="1:29" x14ac:dyDescent="0.35">
      <c r="A564" t="s">
        <v>1827</v>
      </c>
      <c r="B564">
        <v>55.338223999999997</v>
      </c>
      <c r="C564">
        <v>-1</v>
      </c>
      <c r="D564" t="s">
        <v>89</v>
      </c>
      <c r="E564">
        <v>18</v>
      </c>
      <c r="F564" t="s">
        <v>1828</v>
      </c>
      <c r="G564" t="s">
        <v>34</v>
      </c>
      <c r="H564" t="s">
        <v>29</v>
      </c>
      <c r="I564" t="s">
        <v>36</v>
      </c>
      <c r="J564">
        <v>1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1</v>
      </c>
      <c r="X564">
        <v>1114.8900000000001</v>
      </c>
      <c r="Y564">
        <v>1114.8900000000001</v>
      </c>
      <c r="Z564">
        <f>AVERAGEIFS(Table1[FinalElo], Table1[Country], Table1[[#This Row],[Country]])</f>
        <v>1012.0629025423733</v>
      </c>
      <c r="AA564" cm="1">
        <f t="array" ref="AA564">IF(COUNTIFS(Table1[Country],Table1[[#This Row],[Country]])=1,0, _xlfn.STDEV.S(IF(Table1[Country]=Table1[[#This Row],[Country]],Table1[FinalElo])))</f>
        <v>148.42180446198614</v>
      </c>
      <c r="AB564">
        <f>IF(Table1[[#This Row],[CStd]]=0,0, (Table1[[#This Row],[FinalElo]]-Table1[[#This Row],[CAvg]]) / Table1[[#This Row],[CStd]])</f>
        <v>0.69280317558706761</v>
      </c>
      <c r="AC564" t="str">
        <f>IF(Table1[[#This Row],[CStd]]=0,"Normal", IF(ABS(Table1[[#This Row],[CZscore]])&gt;2,"Outlier","Normal"))</f>
        <v>Normal</v>
      </c>
    </row>
    <row r="565" spans="1:29" x14ac:dyDescent="0.35">
      <c r="A565" t="s">
        <v>1825</v>
      </c>
      <c r="B565">
        <v>58.059775999999999</v>
      </c>
      <c r="C565">
        <v>167</v>
      </c>
      <c r="D565" t="s">
        <v>89</v>
      </c>
      <c r="E565">
        <v>25</v>
      </c>
      <c r="F565" t="s">
        <v>1826</v>
      </c>
      <c r="G565" t="s">
        <v>34</v>
      </c>
      <c r="H565" t="s">
        <v>29</v>
      </c>
      <c r="I565" t="s">
        <v>58</v>
      </c>
      <c r="J565">
        <v>1</v>
      </c>
      <c r="K565">
        <v>2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1</v>
      </c>
      <c r="R565">
        <v>0</v>
      </c>
      <c r="S565">
        <v>0</v>
      </c>
      <c r="T565">
        <v>0</v>
      </c>
      <c r="U565">
        <v>0</v>
      </c>
      <c r="V565">
        <v>2</v>
      </c>
      <c r="W565">
        <v>3</v>
      </c>
      <c r="X565">
        <v>987.2</v>
      </c>
      <c r="Y565">
        <v>1082.3900000000001</v>
      </c>
      <c r="Z565">
        <f>AVERAGEIFS(Table1[FinalElo], Table1[Country], Table1[[#This Row],[Country]])</f>
        <v>1012.0629025423733</v>
      </c>
      <c r="AA565" cm="1">
        <f t="array" ref="AA565">IF(COUNTIFS(Table1[Country],Table1[[#This Row],[Country]])=1,0, _xlfn.STDEV.S(IF(Table1[Country]=Table1[[#This Row],[Country]],Table1[FinalElo])))</f>
        <v>148.42180446198614</v>
      </c>
      <c r="AB565">
        <f>IF(Table1[[#This Row],[CStd]]=0,0, (Table1[[#This Row],[FinalElo]]-Table1[[#This Row],[CAvg]]) / Table1[[#This Row],[CStd]])</f>
        <v>-0.16751516148519244</v>
      </c>
      <c r="AC565" t="str">
        <f>IF(Table1[[#This Row],[CStd]]=0,"Normal", IF(ABS(Table1[[#This Row],[CZscore]])&gt;2,"Outlier","Normal"))</f>
        <v>Normal</v>
      </c>
    </row>
    <row r="566" spans="1:29" x14ac:dyDescent="0.35">
      <c r="A566" t="s">
        <v>1824</v>
      </c>
      <c r="B566">
        <v>61.23</v>
      </c>
      <c r="C566">
        <v>170</v>
      </c>
      <c r="D566" t="s">
        <v>89</v>
      </c>
      <c r="E566">
        <v>35</v>
      </c>
      <c r="F566" t="s">
        <v>99</v>
      </c>
      <c r="G566" t="s">
        <v>34</v>
      </c>
      <c r="H566" t="s">
        <v>29</v>
      </c>
      <c r="I566" t="s">
        <v>73</v>
      </c>
      <c r="J566">
        <v>1</v>
      </c>
      <c r="K566">
        <v>1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2</v>
      </c>
      <c r="X566">
        <v>930.49</v>
      </c>
      <c r="Y566">
        <v>1083.55</v>
      </c>
      <c r="Z566">
        <f>AVERAGEIFS(Table1[FinalElo], Table1[Country], Table1[[#This Row],[Country]])</f>
        <v>1012.0629025423733</v>
      </c>
      <c r="AA566" cm="1">
        <f t="array" ref="AA566">IF(COUNTIFS(Table1[Country],Table1[[#This Row],[Country]])=1,0, _xlfn.STDEV.S(IF(Table1[Country]=Table1[[#This Row],[Country]],Table1[FinalElo])))</f>
        <v>148.42180446198614</v>
      </c>
      <c r="AB566">
        <f>IF(Table1[[#This Row],[CStd]]=0,0, (Table1[[#This Row],[FinalElo]]-Table1[[#This Row],[CAvg]]) / Table1[[#This Row],[CStd]])</f>
        <v>-0.54960187849801934</v>
      </c>
      <c r="AC566" t="str">
        <f>IF(Table1[[#This Row],[CStd]]=0,"Normal", IF(ABS(Table1[[#This Row],[CZscore]])&gt;2,"Outlier","Normal"))</f>
        <v>Normal</v>
      </c>
    </row>
    <row r="567" spans="1:29" x14ac:dyDescent="0.35">
      <c r="A567" t="s">
        <v>1823</v>
      </c>
      <c r="B567">
        <v>56.7</v>
      </c>
      <c r="C567">
        <v>170</v>
      </c>
      <c r="D567" t="s">
        <v>89</v>
      </c>
      <c r="E567">
        <v>25</v>
      </c>
      <c r="F567" t="s">
        <v>1700</v>
      </c>
      <c r="G567" t="s">
        <v>34</v>
      </c>
      <c r="H567" t="s">
        <v>29</v>
      </c>
      <c r="I567" t="s">
        <v>58</v>
      </c>
      <c r="J567">
        <v>1</v>
      </c>
      <c r="K567">
        <v>3</v>
      </c>
      <c r="L567">
        <v>0</v>
      </c>
      <c r="M567">
        <v>0</v>
      </c>
      <c r="N567">
        <v>0</v>
      </c>
      <c r="O567">
        <v>0</v>
      </c>
      <c r="P567">
        <v>1</v>
      </c>
      <c r="Q567">
        <v>0</v>
      </c>
      <c r="R567">
        <v>0</v>
      </c>
      <c r="S567">
        <v>0</v>
      </c>
      <c r="T567">
        <v>0</v>
      </c>
      <c r="U567">
        <v>2</v>
      </c>
      <c r="V567">
        <v>0</v>
      </c>
      <c r="W567">
        <v>4</v>
      </c>
      <c r="X567">
        <v>807.84</v>
      </c>
      <c r="Y567">
        <v>1071.99</v>
      </c>
      <c r="Z567">
        <f>AVERAGEIFS(Table1[FinalElo], Table1[Country], Table1[[#This Row],[Country]])</f>
        <v>1012.0629025423733</v>
      </c>
      <c r="AA567" cm="1">
        <f t="array" ref="AA567">IF(COUNTIFS(Table1[Country],Table1[[#This Row],[Country]])=1,0, _xlfn.STDEV.S(IF(Table1[Country]=Table1[[#This Row],[Country]],Table1[FinalElo])))</f>
        <v>148.42180446198614</v>
      </c>
      <c r="AB567">
        <f>IF(Table1[[#This Row],[CStd]]=0,0, (Table1[[#This Row],[FinalElo]]-Table1[[#This Row],[CAvg]]) / Table1[[#This Row],[CStd]])</f>
        <v>-1.3759629407731593</v>
      </c>
      <c r="AC567" t="str">
        <f>IF(Table1[[#This Row],[CStd]]=0,"Normal", IF(ABS(Table1[[#This Row],[CZscore]])&gt;2,"Outlier","Normal"))</f>
        <v>Normal</v>
      </c>
    </row>
    <row r="568" spans="1:29" x14ac:dyDescent="0.35">
      <c r="A568" t="s">
        <v>1822</v>
      </c>
      <c r="B568">
        <v>53.070264000000002</v>
      </c>
      <c r="C568">
        <v>171</v>
      </c>
      <c r="D568" t="s">
        <v>89</v>
      </c>
      <c r="E568">
        <v>23</v>
      </c>
      <c r="F568" t="s">
        <v>492</v>
      </c>
      <c r="G568" t="s">
        <v>34</v>
      </c>
      <c r="H568" t="s">
        <v>29</v>
      </c>
      <c r="I568" t="s">
        <v>36</v>
      </c>
      <c r="J568">
        <v>3</v>
      </c>
      <c r="K568">
        <v>1</v>
      </c>
      <c r="L568">
        <v>0</v>
      </c>
      <c r="M568">
        <v>0</v>
      </c>
      <c r="N568">
        <v>0</v>
      </c>
      <c r="O568">
        <v>0</v>
      </c>
      <c r="P568">
        <v>1</v>
      </c>
      <c r="Q568">
        <v>2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4</v>
      </c>
      <c r="X568">
        <v>1169.04</v>
      </c>
      <c r="Y568">
        <v>1255.44</v>
      </c>
      <c r="Z568">
        <f>AVERAGEIFS(Table1[FinalElo], Table1[Country], Table1[[#This Row],[Country]])</f>
        <v>1012.0629025423733</v>
      </c>
      <c r="AA568" cm="1">
        <f t="array" ref="AA568">IF(COUNTIFS(Table1[Country],Table1[[#This Row],[Country]])=1,0, _xlfn.STDEV.S(IF(Table1[Country]=Table1[[#This Row],[Country]],Table1[FinalElo])))</f>
        <v>148.42180446198614</v>
      </c>
      <c r="AB568">
        <f>IF(Table1[[#This Row],[CStd]]=0,0, (Table1[[#This Row],[FinalElo]]-Table1[[#This Row],[CAvg]]) / Table1[[#This Row],[CStd]])</f>
        <v>1.0576417530204041</v>
      </c>
      <c r="AC568" t="str">
        <f>IF(Table1[[#This Row],[CStd]]=0,"Normal", IF(ABS(Table1[[#This Row],[CZscore]])&gt;2,"Outlier","Normal"))</f>
        <v>Normal</v>
      </c>
    </row>
    <row r="569" spans="1:29" x14ac:dyDescent="0.35">
      <c r="A569" t="s">
        <v>1821</v>
      </c>
      <c r="B569">
        <v>56.9</v>
      </c>
      <c r="C569">
        <v>173</v>
      </c>
      <c r="D569" t="s">
        <v>89</v>
      </c>
      <c r="E569">
        <v>21</v>
      </c>
      <c r="F569" t="s">
        <v>709</v>
      </c>
      <c r="G569" t="s">
        <v>34</v>
      </c>
      <c r="H569" t="s">
        <v>29</v>
      </c>
      <c r="I569" t="s">
        <v>58</v>
      </c>
      <c r="J569">
        <v>3</v>
      </c>
      <c r="K569">
        <v>1</v>
      </c>
      <c r="L569">
        <v>0</v>
      </c>
      <c r="M569">
        <v>2</v>
      </c>
      <c r="N569">
        <v>0</v>
      </c>
      <c r="O569">
        <v>0</v>
      </c>
      <c r="P569">
        <v>1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4</v>
      </c>
      <c r="X569">
        <v>1064.53</v>
      </c>
      <c r="Y569">
        <v>1206.23</v>
      </c>
      <c r="Z569">
        <f>AVERAGEIFS(Table1[FinalElo], Table1[Country], Table1[[#This Row],[Country]])</f>
        <v>1012.0629025423733</v>
      </c>
      <c r="AA569" cm="1">
        <f t="array" ref="AA569">IF(COUNTIFS(Table1[Country],Table1[[#This Row],[Country]])=1,0, _xlfn.STDEV.S(IF(Table1[Country]=Table1[[#This Row],[Country]],Table1[FinalElo])))</f>
        <v>148.42180446198614</v>
      </c>
      <c r="AB569">
        <f>IF(Table1[[#This Row],[CStd]]=0,0, (Table1[[#This Row],[FinalElo]]-Table1[[#This Row],[CAvg]]) / Table1[[#This Row],[CStd]])</f>
        <v>0.35349992979680128</v>
      </c>
      <c r="AC569" t="str">
        <f>IF(Table1[[#This Row],[CStd]]=0,"Normal", IF(ABS(Table1[[#This Row],[CZscore]])&gt;2,"Outlier","Normal"))</f>
        <v>Normal</v>
      </c>
    </row>
    <row r="570" spans="1:29" x14ac:dyDescent="0.35">
      <c r="A570" t="s">
        <v>91</v>
      </c>
      <c r="B570">
        <v>118.2</v>
      </c>
      <c r="C570">
        <v>184</v>
      </c>
      <c r="D570" t="s">
        <v>92</v>
      </c>
      <c r="E570">
        <v>33</v>
      </c>
      <c r="F570" t="s">
        <v>93</v>
      </c>
      <c r="G570" t="s">
        <v>40</v>
      </c>
      <c r="H570" t="s">
        <v>29</v>
      </c>
      <c r="I570" t="s">
        <v>94</v>
      </c>
      <c r="J570">
        <v>7</v>
      </c>
      <c r="K570">
        <v>1</v>
      </c>
      <c r="L570">
        <v>0</v>
      </c>
      <c r="M570">
        <v>3</v>
      </c>
      <c r="N570">
        <v>0</v>
      </c>
      <c r="O570">
        <v>0</v>
      </c>
      <c r="P570">
        <v>2</v>
      </c>
      <c r="Q570">
        <v>1</v>
      </c>
      <c r="R570">
        <v>1</v>
      </c>
      <c r="S570">
        <v>0</v>
      </c>
      <c r="T570">
        <v>0</v>
      </c>
      <c r="U570">
        <v>0</v>
      </c>
      <c r="V570">
        <v>0</v>
      </c>
      <c r="W570">
        <v>8</v>
      </c>
      <c r="X570">
        <v>1496.27</v>
      </c>
      <c r="Y570">
        <v>1496.27</v>
      </c>
      <c r="Z570">
        <f>AVERAGEIFS(Table1[FinalElo], Table1[Country], Table1[[#This Row],[Country]])</f>
        <v>1496.27</v>
      </c>
      <c r="AA570" cm="1">
        <f t="array" ref="AA570">IF(COUNTIFS(Table1[Country],Table1[[#This Row],[Country]])=1,0, _xlfn.STDEV.S(IF(Table1[Country]=Table1[[#This Row],[Country]],Table1[FinalElo])))</f>
        <v>0</v>
      </c>
      <c r="AB570">
        <f>IF(Table1[[#This Row],[CStd]]=0,0, (Table1[[#This Row],[FinalElo]]-Table1[[#This Row],[CAvg]]) / Table1[[#This Row],[CStd]])</f>
        <v>0</v>
      </c>
      <c r="AC570" t="str">
        <f>IF(Table1[[#This Row],[CStd]]=0,"Normal", IF(ABS(Table1[[#This Row],[CZscore]])&gt;2,"Outlier","Normal"))</f>
        <v>Normal</v>
      </c>
    </row>
    <row r="571" spans="1:29" x14ac:dyDescent="0.35">
      <c r="A571" t="s">
        <v>1820</v>
      </c>
      <c r="B571">
        <v>61.23</v>
      </c>
      <c r="C571">
        <v>175</v>
      </c>
      <c r="D571" t="s">
        <v>89</v>
      </c>
      <c r="E571">
        <v>19</v>
      </c>
      <c r="F571" t="s">
        <v>535</v>
      </c>
      <c r="G571" t="s">
        <v>34</v>
      </c>
      <c r="H571" t="s">
        <v>29</v>
      </c>
      <c r="I571" t="s">
        <v>73</v>
      </c>
      <c r="J571">
        <v>1</v>
      </c>
      <c r="K571">
        <v>3</v>
      </c>
      <c r="L571">
        <v>0</v>
      </c>
      <c r="M571">
        <v>1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4</v>
      </c>
      <c r="X571">
        <v>855.47</v>
      </c>
      <c r="Y571">
        <v>1108.04</v>
      </c>
      <c r="Z571">
        <f>AVERAGEIFS(Table1[FinalElo], Table1[Country], Table1[[#This Row],[Country]])</f>
        <v>1012.0629025423733</v>
      </c>
      <c r="AA571" cm="1">
        <f t="array" ref="AA571">IF(COUNTIFS(Table1[Country],Table1[[#This Row],[Country]])=1,0, _xlfn.STDEV.S(IF(Table1[Country]=Table1[[#This Row],[Country]],Table1[FinalElo])))</f>
        <v>148.42180446198614</v>
      </c>
      <c r="AB571">
        <f>IF(Table1[[#This Row],[CStd]]=0,0, (Table1[[#This Row],[FinalElo]]-Table1[[#This Row],[CAvg]]) / Table1[[#This Row],[CStd]])</f>
        <v>-1.0550532188313337</v>
      </c>
      <c r="AC571" t="str">
        <f>IF(Table1[[#This Row],[CStd]]=0,"Normal", IF(ABS(Table1[[#This Row],[CZscore]])&gt;2,"Outlier","Normal"))</f>
        <v>Normal</v>
      </c>
    </row>
    <row r="572" spans="1:29" x14ac:dyDescent="0.35">
      <c r="A572" t="s">
        <v>1818</v>
      </c>
      <c r="B572">
        <v>61.23</v>
      </c>
      <c r="C572">
        <v>180</v>
      </c>
      <c r="D572" t="s">
        <v>864</v>
      </c>
      <c r="E572">
        <v>23</v>
      </c>
      <c r="F572" t="s">
        <v>1819</v>
      </c>
      <c r="G572" t="s">
        <v>34</v>
      </c>
      <c r="H572" t="s">
        <v>29</v>
      </c>
      <c r="I572" t="s">
        <v>73</v>
      </c>
      <c r="J572">
        <v>2</v>
      </c>
      <c r="K572">
        <v>2</v>
      </c>
      <c r="L572">
        <v>0</v>
      </c>
      <c r="M572">
        <v>1</v>
      </c>
      <c r="N572">
        <v>0</v>
      </c>
      <c r="O572">
        <v>0</v>
      </c>
      <c r="P572">
        <v>0</v>
      </c>
      <c r="Q572">
        <v>1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4</v>
      </c>
      <c r="X572">
        <v>1071.43</v>
      </c>
      <c r="Y572">
        <v>1071.43</v>
      </c>
      <c r="Z572">
        <f>AVERAGEIFS(Table1[FinalElo], Table1[Country], Table1[[#This Row],[Country]])</f>
        <v>1078.2024999999999</v>
      </c>
      <c r="AA572" cm="1">
        <f t="array" ref="AA572">IF(COUNTIFS(Table1[Country],Table1[[#This Row],[Country]])=1,0, _xlfn.STDEV.S(IF(Table1[Country]=Table1[[#This Row],[Country]],Table1[FinalElo])))</f>
        <v>159.22226673741403</v>
      </c>
      <c r="AB572">
        <f>IF(Table1[[#This Row],[CStd]]=0,0, (Table1[[#This Row],[FinalElo]]-Table1[[#This Row],[CAvg]]) / Table1[[#This Row],[CStd]])</f>
        <v>-4.2534879943449566E-2</v>
      </c>
      <c r="AC572" t="str">
        <f>IF(Table1[[#This Row],[CStd]]=0,"Normal", IF(ABS(Table1[[#This Row],[CZscore]])&gt;2,"Outlier","Normal"))</f>
        <v>Normal</v>
      </c>
    </row>
    <row r="573" spans="1:29" x14ac:dyDescent="0.35">
      <c r="A573" t="s">
        <v>1816</v>
      </c>
      <c r="B573">
        <v>77.099999999999994</v>
      </c>
      <c r="C573">
        <v>175</v>
      </c>
      <c r="D573" t="s">
        <v>270</v>
      </c>
      <c r="E573">
        <v>38</v>
      </c>
      <c r="F573" t="s">
        <v>1817</v>
      </c>
      <c r="G573" t="s">
        <v>40</v>
      </c>
      <c r="H573" t="s">
        <v>29</v>
      </c>
      <c r="I573" t="s">
        <v>30</v>
      </c>
      <c r="J573">
        <v>1</v>
      </c>
      <c r="K573">
        <v>1</v>
      </c>
      <c r="L573">
        <v>0</v>
      </c>
      <c r="M573">
        <v>0</v>
      </c>
      <c r="N573">
        <v>1</v>
      </c>
      <c r="O573">
        <v>0</v>
      </c>
      <c r="P573">
        <v>0</v>
      </c>
      <c r="Q573">
        <v>0</v>
      </c>
      <c r="R573">
        <v>0</v>
      </c>
      <c r="S573">
        <v>1</v>
      </c>
      <c r="T573">
        <v>0</v>
      </c>
      <c r="U573">
        <v>0</v>
      </c>
      <c r="V573">
        <v>0</v>
      </c>
      <c r="W573">
        <v>2</v>
      </c>
      <c r="X573">
        <v>971.28</v>
      </c>
      <c r="Y573">
        <v>1135.26</v>
      </c>
      <c r="Z573">
        <f>AVERAGEIFS(Table1[FinalElo], Table1[Country], Table1[[#This Row],[Country]])</f>
        <v>1084.24</v>
      </c>
      <c r="AA573" cm="1">
        <f t="array" ref="AA573">IF(COUNTIFS(Table1[Country],Table1[[#This Row],[Country]])=1,0, _xlfn.STDEV.S(IF(Table1[Country]=Table1[[#This Row],[Country]],Table1[FinalElo])))</f>
        <v>156.18548191173187</v>
      </c>
      <c r="AB573">
        <f>IF(Table1[[#This Row],[CStd]]=0,0, (Table1[[#This Row],[FinalElo]]-Table1[[#This Row],[CAvg]]) / Table1[[#This Row],[CStd]])</f>
        <v>-0.72324263828720847</v>
      </c>
      <c r="AC573" t="str">
        <f>IF(Table1[[#This Row],[CStd]]=0,"Normal", IF(ABS(Table1[[#This Row],[CZscore]])&gt;2,"Outlier","Normal"))</f>
        <v>Normal</v>
      </c>
    </row>
    <row r="574" spans="1:29" x14ac:dyDescent="0.35">
      <c r="A574" t="s">
        <v>1814</v>
      </c>
      <c r="B574">
        <v>60.6</v>
      </c>
      <c r="C574">
        <v>165</v>
      </c>
      <c r="D574" t="s">
        <v>1815</v>
      </c>
      <c r="E574">
        <v>33</v>
      </c>
      <c r="F574" t="s">
        <v>80</v>
      </c>
      <c r="G574" t="s">
        <v>54</v>
      </c>
      <c r="H574" t="s">
        <v>29</v>
      </c>
      <c r="I574" t="s">
        <v>58</v>
      </c>
      <c r="J574">
        <v>0</v>
      </c>
      <c r="K574">
        <v>2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2</v>
      </c>
      <c r="T574">
        <v>0</v>
      </c>
      <c r="U574">
        <v>0</v>
      </c>
      <c r="V574">
        <v>0</v>
      </c>
      <c r="W574">
        <v>2</v>
      </c>
      <c r="X574">
        <v>852.8</v>
      </c>
      <c r="Y574">
        <v>1000</v>
      </c>
      <c r="Z574">
        <f>AVERAGEIFS(Table1[FinalElo], Table1[Country], Table1[[#This Row],[Country]])</f>
        <v>852.8</v>
      </c>
      <c r="AA574" cm="1">
        <f t="array" ref="AA574">IF(COUNTIFS(Table1[Country],Table1[[#This Row],[Country]])=1,0, _xlfn.STDEV.S(IF(Table1[Country]=Table1[[#This Row],[Country]],Table1[FinalElo])))</f>
        <v>0</v>
      </c>
      <c r="AB574">
        <f>IF(Table1[[#This Row],[CStd]]=0,0, (Table1[[#This Row],[FinalElo]]-Table1[[#This Row],[CAvg]]) / Table1[[#This Row],[CStd]])</f>
        <v>0</v>
      </c>
      <c r="AC574" t="str">
        <f>IF(Table1[[#This Row],[CStd]]=0,"Normal", IF(ABS(Table1[[#This Row],[CZscore]])&gt;2,"Outlier","Normal"))</f>
        <v>Normal</v>
      </c>
    </row>
    <row r="575" spans="1:29" x14ac:dyDescent="0.35">
      <c r="A575" t="s">
        <v>1813</v>
      </c>
      <c r="B575">
        <v>65.5</v>
      </c>
      <c r="C575">
        <v>173</v>
      </c>
      <c r="D575" t="s">
        <v>89</v>
      </c>
      <c r="E575">
        <v>31</v>
      </c>
      <c r="F575" t="s">
        <v>110</v>
      </c>
      <c r="G575" t="s">
        <v>34</v>
      </c>
      <c r="H575" t="s">
        <v>29</v>
      </c>
      <c r="I575" t="s">
        <v>73</v>
      </c>
      <c r="J575">
        <v>0</v>
      </c>
      <c r="K575">
        <v>1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1</v>
      </c>
      <c r="X575">
        <v>963.32</v>
      </c>
      <c r="Y575">
        <v>1000</v>
      </c>
      <c r="Z575">
        <f>AVERAGEIFS(Table1[FinalElo], Table1[Country], Table1[[#This Row],[Country]])</f>
        <v>1012.0629025423733</v>
      </c>
      <c r="AA575" cm="1">
        <f t="array" ref="AA575">IF(COUNTIFS(Table1[Country],Table1[[#This Row],[Country]])=1,0, _xlfn.STDEV.S(IF(Table1[Country]=Table1[[#This Row],[Country]],Table1[FinalElo])))</f>
        <v>148.42180446198614</v>
      </c>
      <c r="AB575">
        <f>IF(Table1[[#This Row],[CStd]]=0,0, (Table1[[#This Row],[FinalElo]]-Table1[[#This Row],[CAvg]]) / Table1[[#This Row],[CStd]])</f>
        <v>-0.32840796350011575</v>
      </c>
      <c r="AC575" t="str">
        <f>IF(Table1[[#This Row],[CStd]]=0,"Normal", IF(ABS(Table1[[#This Row],[CZscore]])&gt;2,"Outlier","Normal"))</f>
        <v>Normal</v>
      </c>
    </row>
    <row r="576" spans="1:29" x14ac:dyDescent="0.35">
      <c r="A576" t="s">
        <v>1811</v>
      </c>
      <c r="B576">
        <v>61</v>
      </c>
      <c r="C576">
        <v>174</v>
      </c>
      <c r="D576" t="s">
        <v>1812</v>
      </c>
      <c r="E576">
        <v>23</v>
      </c>
      <c r="F576" t="s">
        <v>154</v>
      </c>
      <c r="G576" t="s">
        <v>34</v>
      </c>
      <c r="H576" t="s">
        <v>29</v>
      </c>
      <c r="I576" t="s">
        <v>58</v>
      </c>
      <c r="J576">
        <v>2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1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2</v>
      </c>
      <c r="X576">
        <v>1245.8900000000001</v>
      </c>
      <c r="Y576">
        <v>1245.8900000000001</v>
      </c>
      <c r="Z576">
        <f>AVERAGEIFS(Table1[FinalElo], Table1[Country], Table1[[#This Row],[Country]])</f>
        <v>1245.8900000000001</v>
      </c>
      <c r="AA576" cm="1">
        <f t="array" ref="AA576">IF(COUNTIFS(Table1[Country],Table1[[#This Row],[Country]])=1,0, _xlfn.STDEV.S(IF(Table1[Country]=Table1[[#This Row],[Country]],Table1[FinalElo])))</f>
        <v>0</v>
      </c>
      <c r="AB576">
        <f>IF(Table1[[#This Row],[CStd]]=0,0, (Table1[[#This Row],[FinalElo]]-Table1[[#This Row],[CAvg]]) / Table1[[#This Row],[CStd]])</f>
        <v>0</v>
      </c>
      <c r="AC576" t="str">
        <f>IF(Table1[[#This Row],[CStd]]=0,"Normal", IF(ABS(Table1[[#This Row],[CZscore]])&gt;2,"Outlier","Normal"))</f>
        <v>Normal</v>
      </c>
    </row>
    <row r="577" spans="1:29" x14ac:dyDescent="0.35">
      <c r="A577" t="s">
        <v>1810</v>
      </c>
      <c r="B577">
        <v>56.9</v>
      </c>
      <c r="C577">
        <v>172</v>
      </c>
      <c r="D577" t="s">
        <v>132</v>
      </c>
      <c r="E577">
        <v>27</v>
      </c>
      <c r="F577" t="s">
        <v>87</v>
      </c>
      <c r="G577" t="s">
        <v>34</v>
      </c>
      <c r="H577" t="s">
        <v>29</v>
      </c>
      <c r="I577" t="s">
        <v>58</v>
      </c>
      <c r="J577">
        <v>2</v>
      </c>
      <c r="K577">
        <v>3</v>
      </c>
      <c r="L577">
        <v>0</v>
      </c>
      <c r="M577">
        <v>0</v>
      </c>
      <c r="N577">
        <v>0</v>
      </c>
      <c r="O577">
        <v>0</v>
      </c>
      <c r="P577">
        <v>1</v>
      </c>
      <c r="Q577">
        <v>0</v>
      </c>
      <c r="R577">
        <v>1</v>
      </c>
      <c r="S577">
        <v>0</v>
      </c>
      <c r="T577">
        <v>0</v>
      </c>
      <c r="U577">
        <v>2</v>
      </c>
      <c r="V577">
        <v>0</v>
      </c>
      <c r="W577">
        <v>5</v>
      </c>
      <c r="X577">
        <v>1010.73</v>
      </c>
      <c r="Y577">
        <v>1032.6099999999999</v>
      </c>
      <c r="Z577">
        <f>AVERAGEIFS(Table1[FinalElo], Table1[Country], Table1[[#This Row],[Country]])</f>
        <v>1177.8375000000001</v>
      </c>
      <c r="AA577" cm="1">
        <f t="array" ref="AA577">IF(COUNTIFS(Table1[Country],Table1[[#This Row],[Country]])=1,0, _xlfn.STDEV.S(IF(Table1[Country]=Table1[[#This Row],[Country]],Table1[FinalElo])))</f>
        <v>270.87013535087192</v>
      </c>
      <c r="AB577">
        <f>IF(Table1[[#This Row],[CStd]]=0,0, (Table1[[#This Row],[FinalElo]]-Table1[[#This Row],[CAvg]]) / Table1[[#This Row],[CStd]])</f>
        <v>-0.61692847675339768</v>
      </c>
      <c r="AC577" t="str">
        <f>IF(Table1[[#This Row],[CStd]]=0,"Normal", IF(ABS(Table1[[#This Row],[CZscore]])&gt;2,"Outlier","Normal"))</f>
        <v>Normal</v>
      </c>
    </row>
    <row r="578" spans="1:29" x14ac:dyDescent="0.35">
      <c r="A578" t="s">
        <v>1808</v>
      </c>
      <c r="B578">
        <v>60.8</v>
      </c>
      <c r="C578">
        <v>178</v>
      </c>
      <c r="D578" t="s">
        <v>226</v>
      </c>
      <c r="E578">
        <v>24</v>
      </c>
      <c r="F578" t="s">
        <v>1809</v>
      </c>
      <c r="G578" t="s">
        <v>34</v>
      </c>
      <c r="H578" t="s">
        <v>29</v>
      </c>
      <c r="I578" t="s">
        <v>58</v>
      </c>
      <c r="J578">
        <v>1</v>
      </c>
      <c r="K578">
        <v>1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2</v>
      </c>
      <c r="X578">
        <v>940.19</v>
      </c>
      <c r="Y578">
        <v>1067.1300000000001</v>
      </c>
      <c r="Z578">
        <f>AVERAGEIFS(Table1[FinalElo], Table1[Country], Table1[[#This Row],[Country]])</f>
        <v>961.00176470588235</v>
      </c>
      <c r="AA578" cm="1">
        <f t="array" ref="AA578">IF(COUNTIFS(Table1[Country],Table1[[#This Row],[Country]])=1,0, _xlfn.STDEV.S(IF(Table1[Country]=Table1[[#This Row],[Country]],Table1[FinalElo])))</f>
        <v>117.15877454523515</v>
      </c>
      <c r="AB578">
        <f>IF(Table1[[#This Row],[CStd]]=0,0, (Table1[[#This Row],[FinalElo]]-Table1[[#This Row],[CAvg]]) / Table1[[#This Row],[CStd]])</f>
        <v>-0.17763726862683127</v>
      </c>
      <c r="AC578" t="str">
        <f>IF(Table1[[#This Row],[CStd]]=0,"Normal", IF(ABS(Table1[[#This Row],[CZscore]])&gt;2,"Outlier","Normal"))</f>
        <v>Normal</v>
      </c>
    </row>
    <row r="579" spans="1:29" x14ac:dyDescent="0.35">
      <c r="A579" t="s">
        <v>1805</v>
      </c>
      <c r="B579">
        <v>74.8</v>
      </c>
      <c r="C579">
        <v>187</v>
      </c>
      <c r="D579" t="s">
        <v>1806</v>
      </c>
      <c r="E579">
        <v>21</v>
      </c>
      <c r="F579" t="s">
        <v>1807</v>
      </c>
      <c r="G579" t="s">
        <v>34</v>
      </c>
      <c r="H579" t="s">
        <v>29</v>
      </c>
      <c r="I579" t="s">
        <v>30</v>
      </c>
      <c r="J579">
        <v>0</v>
      </c>
      <c r="K579">
        <v>1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1</v>
      </c>
      <c r="X579">
        <v>928.01</v>
      </c>
      <c r="Y579">
        <v>1000</v>
      </c>
      <c r="Z579">
        <f>AVERAGEIFS(Table1[FinalElo], Table1[Country], Table1[[#This Row],[Country]])</f>
        <v>936.94499999999994</v>
      </c>
      <c r="AA579" cm="1">
        <f t="array" ref="AA579">IF(COUNTIFS(Table1[Country],Table1[[#This Row],[Country]])=1,0, _xlfn.STDEV.S(IF(Table1[Country]=Table1[[#This Row],[Country]],Table1[FinalElo])))</f>
        <v>12.635998179803607</v>
      </c>
      <c r="AB579">
        <f>IF(Table1[[#This Row],[CStd]]=0,0, (Table1[[#This Row],[FinalElo]]-Table1[[#This Row],[CAvg]]) / Table1[[#This Row],[CStd]])</f>
        <v>-0.70710678118654302</v>
      </c>
      <c r="AC579" t="str">
        <f>IF(Table1[[#This Row],[CStd]]=0,"Normal", IF(ABS(Table1[[#This Row],[CZscore]])&gt;2,"Outlier","Normal"))</f>
        <v>Normal</v>
      </c>
    </row>
    <row r="580" spans="1:29" x14ac:dyDescent="0.35">
      <c r="A580" t="s">
        <v>1803</v>
      </c>
      <c r="B580">
        <v>70.31</v>
      </c>
      <c r="C580">
        <v>181</v>
      </c>
      <c r="D580" t="s">
        <v>109</v>
      </c>
      <c r="E580">
        <v>28</v>
      </c>
      <c r="F580" t="s">
        <v>1804</v>
      </c>
      <c r="G580" t="s">
        <v>40</v>
      </c>
      <c r="H580" t="s">
        <v>29</v>
      </c>
      <c r="I580" t="s">
        <v>30</v>
      </c>
      <c r="J580">
        <v>1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1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1</v>
      </c>
      <c r="X580">
        <v>1071.99</v>
      </c>
      <c r="Y580">
        <v>1071.99</v>
      </c>
      <c r="Z580">
        <f>AVERAGEIFS(Table1[FinalElo], Table1[Country], Table1[[#This Row],[Country]])</f>
        <v>1017.2428571428571</v>
      </c>
      <c r="AA580" cm="1">
        <f t="array" ref="AA580">IF(COUNTIFS(Table1[Country],Table1[[#This Row],[Country]])=1,0, _xlfn.STDEV.S(IF(Table1[Country]=Table1[[#This Row],[Country]],Table1[FinalElo])))</f>
        <v>205.21100910317449</v>
      </c>
      <c r="AB580">
        <f>IF(Table1[[#This Row],[CStd]]=0,0, (Table1[[#This Row],[FinalElo]]-Table1[[#This Row],[CAvg]]) / Table1[[#This Row],[CStd]])</f>
        <v>0.26678462864347352</v>
      </c>
      <c r="AC580" t="str">
        <f>IF(Table1[[#This Row],[CStd]]=0,"Normal", IF(ABS(Table1[[#This Row],[CZscore]])&gt;2,"Outlier","Normal"))</f>
        <v>Normal</v>
      </c>
    </row>
    <row r="581" spans="1:29" x14ac:dyDescent="0.35">
      <c r="A581" t="s">
        <v>1801</v>
      </c>
      <c r="B581">
        <v>54.431040000000003</v>
      </c>
      <c r="C581">
        <v>165</v>
      </c>
      <c r="D581" t="s">
        <v>89</v>
      </c>
      <c r="E581">
        <v>23</v>
      </c>
      <c r="F581" t="s">
        <v>1802</v>
      </c>
      <c r="G581" t="s">
        <v>34</v>
      </c>
      <c r="H581" t="s">
        <v>29</v>
      </c>
      <c r="I581" t="s">
        <v>36</v>
      </c>
      <c r="J581">
        <v>1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1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1</v>
      </c>
      <c r="X581">
        <v>1100</v>
      </c>
      <c r="Y581">
        <v>1100</v>
      </c>
      <c r="Z581">
        <f>AVERAGEIFS(Table1[FinalElo], Table1[Country], Table1[[#This Row],[Country]])</f>
        <v>1012.0629025423733</v>
      </c>
      <c r="AA581" cm="1">
        <f t="array" ref="AA581">IF(COUNTIFS(Table1[Country],Table1[[#This Row],[Country]])=1,0, _xlfn.STDEV.S(IF(Table1[Country]=Table1[[#This Row],[Country]],Table1[FinalElo])))</f>
        <v>148.42180446198614</v>
      </c>
      <c r="AB581">
        <f>IF(Table1[[#This Row],[CStd]]=0,0, (Table1[[#This Row],[FinalElo]]-Table1[[#This Row],[CAvg]]) / Table1[[#This Row],[CStd]])</f>
        <v>0.59248098873605315</v>
      </c>
      <c r="AC581" t="str">
        <f>IF(Table1[[#This Row],[CStd]]=0,"Normal", IF(ABS(Table1[[#This Row],[CZscore]])&gt;2,"Outlier","Normal"))</f>
        <v>Normal</v>
      </c>
    </row>
    <row r="582" spans="1:29" x14ac:dyDescent="0.35">
      <c r="A582" t="s">
        <v>1800</v>
      </c>
      <c r="B582">
        <v>77</v>
      </c>
      <c r="C582">
        <v>183</v>
      </c>
      <c r="D582" t="s">
        <v>513</v>
      </c>
      <c r="E582">
        <v>34</v>
      </c>
      <c r="F582" t="s">
        <v>1323</v>
      </c>
      <c r="G582" t="s">
        <v>40</v>
      </c>
      <c r="H582" t="s">
        <v>29</v>
      </c>
      <c r="I582" t="s">
        <v>30</v>
      </c>
      <c r="J582">
        <v>4</v>
      </c>
      <c r="K582">
        <v>2</v>
      </c>
      <c r="L582">
        <v>0</v>
      </c>
      <c r="M582">
        <v>0</v>
      </c>
      <c r="N582">
        <v>0</v>
      </c>
      <c r="O582">
        <v>0</v>
      </c>
      <c r="P582">
        <v>4</v>
      </c>
      <c r="Q582">
        <v>0</v>
      </c>
      <c r="R582">
        <v>1</v>
      </c>
      <c r="S582">
        <v>0</v>
      </c>
      <c r="T582">
        <v>0</v>
      </c>
      <c r="U582">
        <v>1</v>
      </c>
      <c r="V582">
        <v>0</v>
      </c>
      <c r="W582">
        <v>6</v>
      </c>
      <c r="X582">
        <v>1225.5999999999999</v>
      </c>
      <c r="Y582">
        <v>1419.85</v>
      </c>
      <c r="Z582">
        <f>AVERAGEIFS(Table1[FinalElo], Table1[Country], Table1[[#This Row],[Country]])</f>
        <v>991.92857142857144</v>
      </c>
      <c r="AA582" cm="1">
        <f t="array" ref="AA582">IF(COUNTIFS(Table1[Country],Table1[[#This Row],[Country]])=1,0, _xlfn.STDEV.S(IF(Table1[Country]=Table1[[#This Row],[Country]],Table1[FinalElo])))</f>
        <v>154.84924955929111</v>
      </c>
      <c r="AB582">
        <f>IF(Table1[[#This Row],[CStd]]=0,0, (Table1[[#This Row],[FinalElo]]-Table1[[#This Row],[CAvg]]) / Table1[[#This Row],[CStd]])</f>
        <v>1.5090252567349813</v>
      </c>
      <c r="AC582" t="str">
        <f>IF(Table1[[#This Row],[CStd]]=0,"Normal", IF(ABS(Table1[[#This Row],[CZscore]])&gt;2,"Outlier","Normal"))</f>
        <v>Normal</v>
      </c>
    </row>
    <row r="583" spans="1:29" x14ac:dyDescent="0.35">
      <c r="A583" t="s">
        <v>1798</v>
      </c>
      <c r="B583">
        <v>69.900000000000006</v>
      </c>
      <c r="C583">
        <v>175</v>
      </c>
      <c r="D583" t="s">
        <v>513</v>
      </c>
      <c r="E583">
        <v>29</v>
      </c>
      <c r="F583" t="s">
        <v>1799</v>
      </c>
      <c r="G583" t="s">
        <v>40</v>
      </c>
      <c r="H583" t="s">
        <v>29</v>
      </c>
      <c r="I583" t="s">
        <v>48</v>
      </c>
      <c r="J583">
        <v>2</v>
      </c>
      <c r="K583">
        <v>1</v>
      </c>
      <c r="L583">
        <v>0</v>
      </c>
      <c r="M583">
        <v>0</v>
      </c>
      <c r="N583">
        <v>0</v>
      </c>
      <c r="O583">
        <v>0</v>
      </c>
      <c r="P583">
        <v>1</v>
      </c>
      <c r="Q583">
        <v>0</v>
      </c>
      <c r="R583">
        <v>0</v>
      </c>
      <c r="S583">
        <v>1</v>
      </c>
      <c r="T583">
        <v>0</v>
      </c>
      <c r="U583">
        <v>0</v>
      </c>
      <c r="V583">
        <v>0</v>
      </c>
      <c r="W583">
        <v>3</v>
      </c>
      <c r="X583">
        <v>1040.78</v>
      </c>
      <c r="Y583">
        <v>1171.99</v>
      </c>
      <c r="Z583">
        <f>AVERAGEIFS(Table1[FinalElo], Table1[Country], Table1[[#This Row],[Country]])</f>
        <v>991.92857142857144</v>
      </c>
      <c r="AA583" cm="1">
        <f t="array" ref="AA583">IF(COUNTIFS(Table1[Country],Table1[[#This Row],[Country]])=1,0, _xlfn.STDEV.S(IF(Table1[Country]=Table1[[#This Row],[Country]],Table1[FinalElo])))</f>
        <v>154.84924955929111</v>
      </c>
      <c r="AB583">
        <f>IF(Table1[[#This Row],[CStd]]=0,0, (Table1[[#This Row],[FinalElo]]-Table1[[#This Row],[CAvg]]) / Table1[[#This Row],[CStd]])</f>
        <v>0.31547733495940211</v>
      </c>
      <c r="AC583" t="str">
        <f>IF(Table1[[#This Row],[CStd]]=0,"Normal", IF(ABS(Table1[[#This Row],[CZscore]])&gt;2,"Outlier","Normal"))</f>
        <v>Normal</v>
      </c>
    </row>
    <row r="584" spans="1:29" x14ac:dyDescent="0.35">
      <c r="A584" t="s">
        <v>1797</v>
      </c>
      <c r="B584">
        <v>69.599999999999994</v>
      </c>
      <c r="C584">
        <v>180</v>
      </c>
      <c r="D584" t="s">
        <v>513</v>
      </c>
      <c r="E584">
        <v>32</v>
      </c>
      <c r="F584" t="s">
        <v>514</v>
      </c>
      <c r="G584" t="s">
        <v>40</v>
      </c>
      <c r="H584" t="s">
        <v>29</v>
      </c>
      <c r="I584" t="s">
        <v>48</v>
      </c>
      <c r="J584">
        <v>1</v>
      </c>
      <c r="K584">
        <v>2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1</v>
      </c>
      <c r="R584">
        <v>1</v>
      </c>
      <c r="S584">
        <v>0</v>
      </c>
      <c r="T584">
        <v>0</v>
      </c>
      <c r="U584">
        <v>1</v>
      </c>
      <c r="V584">
        <v>0</v>
      </c>
      <c r="W584">
        <v>3</v>
      </c>
      <c r="X584">
        <v>888.96</v>
      </c>
      <c r="Y584">
        <v>1087.0999999999999</v>
      </c>
      <c r="Z584">
        <f>AVERAGEIFS(Table1[FinalElo], Table1[Country], Table1[[#This Row],[Country]])</f>
        <v>991.92857142857144</v>
      </c>
      <c r="AA584" cm="1">
        <f t="array" ref="AA584">IF(COUNTIFS(Table1[Country],Table1[[#This Row],[Country]])=1,0, _xlfn.STDEV.S(IF(Table1[Country]=Table1[[#This Row],[Country]],Table1[FinalElo])))</f>
        <v>154.84924955929111</v>
      </c>
      <c r="AB584">
        <f>IF(Table1[[#This Row],[CStd]]=0,0, (Table1[[#This Row],[FinalElo]]-Table1[[#This Row],[CAvg]]) / Table1[[#This Row],[CStd]])</f>
        <v>-0.66496009326248096</v>
      </c>
      <c r="AC584" t="str">
        <f>IF(Table1[[#This Row],[CStd]]=0,"Normal", IF(ABS(Table1[[#This Row],[CZscore]])&gt;2,"Outlier","Normal"))</f>
        <v>Normal</v>
      </c>
    </row>
    <row r="585" spans="1:29" x14ac:dyDescent="0.35">
      <c r="A585" t="s">
        <v>1796</v>
      </c>
      <c r="B585">
        <v>76.7</v>
      </c>
      <c r="C585">
        <v>175</v>
      </c>
      <c r="D585" t="s">
        <v>1673</v>
      </c>
      <c r="E585">
        <v>23</v>
      </c>
      <c r="F585" t="s">
        <v>87</v>
      </c>
      <c r="G585" t="s">
        <v>34</v>
      </c>
      <c r="H585" t="s">
        <v>29</v>
      </c>
      <c r="I585" t="s">
        <v>30</v>
      </c>
      <c r="J585">
        <v>0</v>
      </c>
      <c r="K585">
        <v>1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1</v>
      </c>
      <c r="S585">
        <v>0</v>
      </c>
      <c r="T585">
        <v>0</v>
      </c>
      <c r="U585">
        <v>0</v>
      </c>
      <c r="V585">
        <v>0</v>
      </c>
      <c r="W585">
        <v>1</v>
      </c>
      <c r="X585">
        <v>900</v>
      </c>
      <c r="Y585">
        <v>1000</v>
      </c>
      <c r="Z585">
        <f>AVERAGEIFS(Table1[FinalElo], Table1[Country], Table1[[#This Row],[Country]])</f>
        <v>900</v>
      </c>
      <c r="AA585" cm="1">
        <f t="array" ref="AA585">IF(COUNTIFS(Table1[Country],Table1[[#This Row],[Country]])=1,0, _xlfn.STDEV.S(IF(Table1[Country]=Table1[[#This Row],[Country]],Table1[FinalElo])))</f>
        <v>0</v>
      </c>
      <c r="AB585">
        <f>IF(Table1[[#This Row],[CStd]]=0,0, (Table1[[#This Row],[FinalElo]]-Table1[[#This Row],[CAvg]]) / Table1[[#This Row],[CStd]])</f>
        <v>0</v>
      </c>
      <c r="AC585" t="str">
        <f>IF(Table1[[#This Row],[CStd]]=0,"Normal", IF(ABS(Table1[[#This Row],[CZscore]])&gt;2,"Outlier","Normal"))</f>
        <v>Normal</v>
      </c>
    </row>
    <row r="586" spans="1:29" x14ac:dyDescent="0.35">
      <c r="A586" t="s">
        <v>1794</v>
      </c>
      <c r="B586">
        <v>65.77</v>
      </c>
      <c r="C586">
        <v>172</v>
      </c>
      <c r="D586" t="s">
        <v>140</v>
      </c>
      <c r="E586">
        <v>23</v>
      </c>
      <c r="F586" t="s">
        <v>1795</v>
      </c>
      <c r="G586" t="s">
        <v>40</v>
      </c>
      <c r="H586" t="s">
        <v>29</v>
      </c>
      <c r="I586" t="s">
        <v>48</v>
      </c>
      <c r="J586">
        <v>0</v>
      </c>
      <c r="K586">
        <v>1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1</v>
      </c>
      <c r="T586">
        <v>0</v>
      </c>
      <c r="U586">
        <v>0</v>
      </c>
      <c r="V586">
        <v>0</v>
      </c>
      <c r="W586">
        <v>1</v>
      </c>
      <c r="X586">
        <v>900</v>
      </c>
      <c r="Y586">
        <v>1000</v>
      </c>
      <c r="Z586">
        <f>AVERAGEIFS(Table1[FinalElo], Table1[Country], Table1[[#This Row],[Country]])</f>
        <v>1002.675294117647</v>
      </c>
      <c r="AA586" cm="1">
        <f t="array" ref="AA586">IF(COUNTIFS(Table1[Country],Table1[[#This Row],[Country]])=1,0, _xlfn.STDEV.S(IF(Table1[Country]=Table1[[#This Row],[Country]],Table1[FinalElo])))</f>
        <v>171.59712028169514</v>
      </c>
      <c r="AB586">
        <f>IF(Table1[[#This Row],[CStd]]=0,0, (Table1[[#This Row],[FinalElo]]-Table1[[#This Row],[CAvg]]) / Table1[[#This Row],[CStd]])</f>
        <v>-0.59835091608235891</v>
      </c>
      <c r="AC586" t="str">
        <f>IF(Table1[[#This Row],[CStd]]=0,"Normal", IF(ABS(Table1[[#This Row],[CZscore]])&gt;2,"Outlier","Normal"))</f>
        <v>Normal</v>
      </c>
    </row>
    <row r="587" spans="1:29" x14ac:dyDescent="0.35">
      <c r="A587" t="s">
        <v>1793</v>
      </c>
      <c r="B587">
        <v>56.7</v>
      </c>
      <c r="C587">
        <v>173</v>
      </c>
      <c r="D587" t="s">
        <v>384</v>
      </c>
      <c r="E587">
        <v>28</v>
      </c>
      <c r="F587" t="s">
        <v>87</v>
      </c>
      <c r="G587" t="s">
        <v>40</v>
      </c>
      <c r="H587" t="s">
        <v>29</v>
      </c>
      <c r="I587" t="s">
        <v>58</v>
      </c>
      <c r="J587">
        <v>0</v>
      </c>
      <c r="K587">
        <v>1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1</v>
      </c>
      <c r="X587">
        <v>900</v>
      </c>
      <c r="Y587">
        <v>1000</v>
      </c>
      <c r="Z587">
        <f>AVERAGEIFS(Table1[FinalElo], Table1[Country], Table1[[#This Row],[Country]])</f>
        <v>1054.6869565217391</v>
      </c>
      <c r="AA587" cm="1">
        <f t="array" ref="AA587">IF(COUNTIFS(Table1[Country],Table1[[#This Row],[Country]])=1,0, _xlfn.STDEV.S(IF(Table1[Country]=Table1[[#This Row],[Country]],Table1[FinalElo])))</f>
        <v>191.2923801275472</v>
      </c>
      <c r="AB587">
        <f>IF(Table1[[#This Row],[CStd]]=0,0, (Table1[[#This Row],[FinalElo]]-Table1[[#This Row],[CAvg]]) / Table1[[#This Row],[CStd]])</f>
        <v>-0.80864149642865646</v>
      </c>
      <c r="AC587" t="str">
        <f>IF(Table1[[#This Row],[CStd]]=0,"Normal", IF(ABS(Table1[[#This Row],[CZscore]])&gt;2,"Outlier","Normal"))</f>
        <v>Normal</v>
      </c>
    </row>
    <row r="588" spans="1:29" x14ac:dyDescent="0.35">
      <c r="A588" t="s">
        <v>1791</v>
      </c>
      <c r="B588">
        <v>53.070264000000002</v>
      </c>
      <c r="C588">
        <v>162</v>
      </c>
      <c r="D588" t="s">
        <v>89</v>
      </c>
      <c r="E588">
        <v>30</v>
      </c>
      <c r="F588" t="s">
        <v>1792</v>
      </c>
      <c r="G588" t="s">
        <v>34</v>
      </c>
      <c r="H588" t="s">
        <v>29</v>
      </c>
      <c r="I588" t="s">
        <v>36</v>
      </c>
      <c r="J588">
        <v>5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3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5</v>
      </c>
      <c r="X588">
        <v>1389.4</v>
      </c>
      <c r="Y588">
        <v>1389.4</v>
      </c>
      <c r="Z588">
        <f>AVERAGEIFS(Table1[FinalElo], Table1[Country], Table1[[#This Row],[Country]])</f>
        <v>1012.0629025423733</v>
      </c>
      <c r="AA588" cm="1">
        <f t="array" ref="AA588">IF(COUNTIFS(Table1[Country],Table1[[#This Row],[Country]])=1,0, _xlfn.STDEV.S(IF(Table1[Country]=Table1[[#This Row],[Country]],Table1[FinalElo])))</f>
        <v>148.42180446198614</v>
      </c>
      <c r="AB588">
        <f>IF(Table1[[#This Row],[CStd]]=0,0, (Table1[[#This Row],[FinalElo]]-Table1[[#This Row],[CAvg]]) / Table1[[#This Row],[CStd]])</f>
        <v>2.5423292677611298</v>
      </c>
      <c r="AC588" t="str">
        <f>IF(Table1[[#This Row],[CStd]]=0,"Normal", IF(ABS(Table1[[#This Row],[CZscore]])&gt;2,"Outlier","Normal"))</f>
        <v>Outlier</v>
      </c>
    </row>
    <row r="589" spans="1:29" hidden="1" x14ac:dyDescent="0.35">
      <c r="A589" t="s">
        <v>1156</v>
      </c>
      <c r="B589">
        <v>52.2</v>
      </c>
      <c r="C589">
        <v>152</v>
      </c>
      <c r="D589" t="s">
        <v>1157</v>
      </c>
      <c r="E589">
        <v>23</v>
      </c>
      <c r="F589" t="s">
        <v>84</v>
      </c>
      <c r="G589" t="s">
        <v>54</v>
      </c>
      <c r="H589" t="s">
        <v>35</v>
      </c>
      <c r="I589" t="s">
        <v>36</v>
      </c>
      <c r="J589">
        <v>0</v>
      </c>
      <c r="K589">
        <v>1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1</v>
      </c>
      <c r="V589">
        <v>0</v>
      </c>
      <c r="W589">
        <v>1</v>
      </c>
      <c r="X589">
        <v>947.84</v>
      </c>
      <c r="Y589">
        <v>1000</v>
      </c>
      <c r="Z589">
        <f>AVERAGEIFS(Table1[FinalElo], Table1[Country], Table1[[#This Row],[Country]])</f>
        <v>993.06</v>
      </c>
      <c r="AA589" cm="1">
        <f t="array" ref="AA589">IF(COUNTIFS(Table1[Country],Table1[[#This Row],[Country]])=1,0, _xlfn.STDEV.S(IF(Table1[Country]=Table1[[#This Row],[Country]],Table1[FinalElo])))</f>
        <v>63.950737290511313</v>
      </c>
      <c r="AB589">
        <f>IF(Table1[[#This Row],[CStd]]=0,0, (Table1[[#This Row],[FinalElo]]-Table1[[#This Row],[CAvg]]) / Table1[[#This Row],[CStd]])</f>
        <v>-0.70710678118654668</v>
      </c>
      <c r="AC589" t="str">
        <f>IF(Table1[[#This Row],[CStd]]=0,"Normal", IF(ABS(Table1[[#This Row],[CZscore]])&gt;2,"Outlier","Normal"))</f>
        <v>Normal</v>
      </c>
    </row>
    <row r="590" spans="1:29" x14ac:dyDescent="0.35">
      <c r="A590" t="s">
        <v>1789</v>
      </c>
      <c r="B590">
        <v>63</v>
      </c>
      <c r="C590">
        <v>171</v>
      </c>
      <c r="D590" t="s">
        <v>89</v>
      </c>
      <c r="E590">
        <v>28</v>
      </c>
      <c r="F590" t="s">
        <v>1790</v>
      </c>
      <c r="G590" t="s">
        <v>34</v>
      </c>
      <c r="H590" t="s">
        <v>29</v>
      </c>
      <c r="I590" t="s">
        <v>73</v>
      </c>
      <c r="J590">
        <v>2</v>
      </c>
      <c r="K590">
        <v>2</v>
      </c>
      <c r="L590">
        <v>0</v>
      </c>
      <c r="M590">
        <v>1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1</v>
      </c>
      <c r="V590">
        <v>0</v>
      </c>
      <c r="W590">
        <v>4</v>
      </c>
      <c r="X590">
        <v>896.88</v>
      </c>
      <c r="Y590">
        <v>1100</v>
      </c>
      <c r="Z590">
        <f>AVERAGEIFS(Table1[FinalElo], Table1[Country], Table1[[#This Row],[Country]])</f>
        <v>1012.0629025423733</v>
      </c>
      <c r="AA590" cm="1">
        <f t="array" ref="AA590">IF(COUNTIFS(Table1[Country],Table1[[#This Row],[Country]])=1,0, _xlfn.STDEV.S(IF(Table1[Country]=Table1[[#This Row],[Country]],Table1[FinalElo])))</f>
        <v>148.42180446198614</v>
      </c>
      <c r="AB590">
        <f>IF(Table1[[#This Row],[CStd]]=0,0, (Table1[[#This Row],[FinalElo]]-Table1[[#This Row],[CAvg]]) / Table1[[#This Row],[CStd]])</f>
        <v>-0.77605108602404849</v>
      </c>
      <c r="AC590" t="str">
        <f>IF(Table1[[#This Row],[CStd]]=0,"Normal", IF(ABS(Table1[[#This Row],[CZscore]])&gt;2,"Outlier","Normal"))</f>
        <v>Normal</v>
      </c>
    </row>
    <row r="591" spans="1:29" x14ac:dyDescent="0.35">
      <c r="A591" t="s">
        <v>1788</v>
      </c>
      <c r="B591">
        <v>58.7</v>
      </c>
      <c r="C591">
        <v>177</v>
      </c>
      <c r="D591" t="s">
        <v>89</v>
      </c>
      <c r="E591">
        <v>21</v>
      </c>
      <c r="F591" t="s">
        <v>337</v>
      </c>
      <c r="G591" t="s">
        <v>34</v>
      </c>
      <c r="H591" t="s">
        <v>29</v>
      </c>
      <c r="I591" t="s">
        <v>58</v>
      </c>
      <c r="J591">
        <v>0</v>
      </c>
      <c r="K591">
        <v>1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1</v>
      </c>
      <c r="X591">
        <v>914.98</v>
      </c>
      <c r="Y591">
        <v>1000</v>
      </c>
      <c r="Z591">
        <f>AVERAGEIFS(Table1[FinalElo], Table1[Country], Table1[[#This Row],[Country]])</f>
        <v>1012.0629025423733</v>
      </c>
      <c r="AA591" cm="1">
        <f t="array" ref="AA591">IF(COUNTIFS(Table1[Country],Table1[[#This Row],[Country]])=1,0, _xlfn.STDEV.S(IF(Table1[Country]=Table1[[#This Row],[Country]],Table1[FinalElo])))</f>
        <v>148.42180446198614</v>
      </c>
      <c r="AB591">
        <f>IF(Table1[[#This Row],[CStd]]=0,0, (Table1[[#This Row],[FinalElo]]-Table1[[#This Row],[CAvg]]) / Table1[[#This Row],[CStd]])</f>
        <v>-0.65410134915344065</v>
      </c>
      <c r="AC591" t="str">
        <f>IF(Table1[[#This Row],[CStd]]=0,"Normal", IF(ABS(Table1[[#This Row],[CZscore]])&gt;2,"Outlier","Normal"))</f>
        <v>Normal</v>
      </c>
    </row>
    <row r="592" spans="1:29" x14ac:dyDescent="0.35">
      <c r="A592" t="s">
        <v>1787</v>
      </c>
      <c r="B592">
        <v>50.4</v>
      </c>
      <c r="C592">
        <v>167</v>
      </c>
      <c r="D592" t="s">
        <v>89</v>
      </c>
      <c r="E592">
        <v>25</v>
      </c>
      <c r="F592" t="s">
        <v>208</v>
      </c>
      <c r="G592" t="s">
        <v>34</v>
      </c>
      <c r="H592" t="s">
        <v>29</v>
      </c>
      <c r="I592" t="s">
        <v>55</v>
      </c>
      <c r="J592">
        <v>0</v>
      </c>
      <c r="K592">
        <v>2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2</v>
      </c>
      <c r="X592">
        <v>828.01</v>
      </c>
      <c r="Y592">
        <v>1000</v>
      </c>
      <c r="Z592">
        <f>AVERAGEIFS(Table1[FinalElo], Table1[Country], Table1[[#This Row],[Country]])</f>
        <v>1012.0629025423733</v>
      </c>
      <c r="AA592" cm="1">
        <f t="array" ref="AA592">IF(COUNTIFS(Table1[Country],Table1[[#This Row],[Country]])=1,0, _xlfn.STDEV.S(IF(Table1[Country]=Table1[[#This Row],[Country]],Table1[FinalElo])))</f>
        <v>148.42180446198614</v>
      </c>
      <c r="AB592">
        <f>IF(Table1[[#This Row],[CStd]]=0,0, (Table1[[#This Row],[FinalElo]]-Table1[[#This Row],[CAvg]]) / Table1[[#This Row],[CStd]])</f>
        <v>-1.2400664660394494</v>
      </c>
      <c r="AC592" t="str">
        <f>IF(Table1[[#This Row],[CStd]]=0,"Normal", IF(ABS(Table1[[#This Row],[CZscore]])&gt;2,"Outlier","Normal"))</f>
        <v>Normal</v>
      </c>
    </row>
    <row r="593" spans="1:29" x14ac:dyDescent="0.35">
      <c r="A593" t="s">
        <v>1785</v>
      </c>
      <c r="B593">
        <v>51.1</v>
      </c>
      <c r="C593">
        <v>160</v>
      </c>
      <c r="D593" t="s">
        <v>89</v>
      </c>
      <c r="E593">
        <v>27</v>
      </c>
      <c r="F593" t="s">
        <v>1786</v>
      </c>
      <c r="G593" t="s">
        <v>34</v>
      </c>
      <c r="H593" t="s">
        <v>29</v>
      </c>
      <c r="I593" t="s">
        <v>55</v>
      </c>
      <c r="J593">
        <v>0</v>
      </c>
      <c r="K593">
        <v>2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2</v>
      </c>
      <c r="X593">
        <v>908.91</v>
      </c>
      <c r="Y593">
        <v>1000</v>
      </c>
      <c r="Z593">
        <f>AVERAGEIFS(Table1[FinalElo], Table1[Country], Table1[[#This Row],[Country]])</f>
        <v>1012.0629025423733</v>
      </c>
      <c r="AA593" cm="1">
        <f t="array" ref="AA593">IF(COUNTIFS(Table1[Country],Table1[[#This Row],[Country]])=1,0, _xlfn.STDEV.S(IF(Table1[Country]=Table1[[#This Row],[Country]],Table1[FinalElo])))</f>
        <v>148.42180446198614</v>
      </c>
      <c r="AB593">
        <f>IF(Table1[[#This Row],[CStd]]=0,0, (Table1[[#This Row],[FinalElo]]-Table1[[#This Row],[CAvg]]) / Table1[[#This Row],[CStd]])</f>
        <v>-0.69499830510949556</v>
      </c>
      <c r="AC593" t="str">
        <f>IF(Table1[[#This Row],[CStd]]=0,"Normal", IF(ABS(Table1[[#This Row],[CZscore]])&gt;2,"Outlier","Normal"))</f>
        <v>Normal</v>
      </c>
    </row>
    <row r="594" spans="1:29" x14ac:dyDescent="0.35">
      <c r="A594" t="s">
        <v>1784</v>
      </c>
      <c r="B594">
        <v>58.059775999999999</v>
      </c>
      <c r="C594">
        <v>173</v>
      </c>
      <c r="D594" t="s">
        <v>89</v>
      </c>
      <c r="E594">
        <v>27</v>
      </c>
      <c r="F594" t="s">
        <v>337</v>
      </c>
      <c r="G594" t="s">
        <v>34</v>
      </c>
      <c r="H594" t="s">
        <v>29</v>
      </c>
      <c r="I594" t="s">
        <v>58</v>
      </c>
      <c r="J594">
        <v>1</v>
      </c>
      <c r="K594">
        <v>2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2</v>
      </c>
      <c r="V594">
        <v>0</v>
      </c>
      <c r="W594">
        <v>3</v>
      </c>
      <c r="X594">
        <v>988.58</v>
      </c>
      <c r="Y594">
        <v>1116.32</v>
      </c>
      <c r="Z594">
        <f>AVERAGEIFS(Table1[FinalElo], Table1[Country], Table1[[#This Row],[Country]])</f>
        <v>1012.0629025423733</v>
      </c>
      <c r="AA594" cm="1">
        <f t="array" ref="AA594">IF(COUNTIFS(Table1[Country],Table1[[#This Row],[Country]])=1,0, _xlfn.STDEV.S(IF(Table1[Country]=Table1[[#This Row],[Country]],Table1[FinalElo])))</f>
        <v>148.42180446198614</v>
      </c>
      <c r="AB594">
        <f>IF(Table1[[#This Row],[CStd]]=0,0, (Table1[[#This Row],[FinalElo]]-Table1[[#This Row],[CAvg]]) / Table1[[#This Row],[CStd]])</f>
        <v>-0.15821733624312403</v>
      </c>
      <c r="AC594" t="str">
        <f>IF(Table1[[#This Row],[CStd]]=0,"Normal", IF(ABS(Table1[[#This Row],[CZscore]])&gt;2,"Outlier","Normal"))</f>
        <v>Normal</v>
      </c>
    </row>
    <row r="595" spans="1:29" x14ac:dyDescent="0.35">
      <c r="A595" t="s">
        <v>1782</v>
      </c>
      <c r="B595">
        <v>52.16</v>
      </c>
      <c r="C595">
        <v>162</v>
      </c>
      <c r="D595" t="s">
        <v>82</v>
      </c>
      <c r="E595">
        <v>31</v>
      </c>
      <c r="F595" t="s">
        <v>1783</v>
      </c>
      <c r="G595" t="s">
        <v>40</v>
      </c>
      <c r="H595" t="s">
        <v>29</v>
      </c>
      <c r="I595" t="s">
        <v>36</v>
      </c>
      <c r="J595">
        <v>2</v>
      </c>
      <c r="K595">
        <v>0</v>
      </c>
      <c r="L595">
        <v>0</v>
      </c>
      <c r="M595">
        <v>0</v>
      </c>
      <c r="N595">
        <v>1</v>
      </c>
      <c r="O595">
        <v>0</v>
      </c>
      <c r="P595">
        <v>1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2</v>
      </c>
      <c r="X595">
        <v>1171.99</v>
      </c>
      <c r="Y595">
        <v>1171.99</v>
      </c>
      <c r="Z595">
        <f>AVERAGEIFS(Table1[FinalElo], Table1[Country], Table1[[#This Row],[Country]])</f>
        <v>1012.5275373134326</v>
      </c>
      <c r="AA595" cm="1">
        <f t="array" ref="AA595">IF(COUNTIFS(Table1[Country],Table1[[#This Row],[Country]])=1,0, _xlfn.STDEV.S(IF(Table1[Country]=Table1[[#This Row],[Country]],Table1[FinalElo])))</f>
        <v>135.61062237674741</v>
      </c>
      <c r="AB595">
        <f>IF(Table1[[#This Row],[CStd]]=0,0, (Table1[[#This Row],[FinalElo]]-Table1[[#This Row],[CAvg]]) / Table1[[#This Row],[CStd]])</f>
        <v>1.1758847492311912</v>
      </c>
      <c r="AC595" t="str">
        <f>IF(Table1[[#This Row],[CStd]]=0,"Normal", IF(ABS(Table1[[#This Row],[CZscore]])&gt;2,"Outlier","Normal"))</f>
        <v>Normal</v>
      </c>
    </row>
    <row r="596" spans="1:29" x14ac:dyDescent="0.35">
      <c r="A596" t="s">
        <v>1781</v>
      </c>
      <c r="B596">
        <v>60.5</v>
      </c>
      <c r="C596">
        <v>166</v>
      </c>
      <c r="D596" t="s">
        <v>89</v>
      </c>
      <c r="E596">
        <v>22</v>
      </c>
      <c r="F596" t="s">
        <v>555</v>
      </c>
      <c r="G596" t="s">
        <v>34</v>
      </c>
      <c r="H596" t="s">
        <v>29</v>
      </c>
      <c r="I596" t="s">
        <v>58</v>
      </c>
      <c r="J596">
        <v>1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1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1</v>
      </c>
      <c r="X596">
        <v>1100</v>
      </c>
      <c r="Y596">
        <v>1100</v>
      </c>
      <c r="Z596">
        <f>AVERAGEIFS(Table1[FinalElo], Table1[Country], Table1[[#This Row],[Country]])</f>
        <v>1012.0629025423733</v>
      </c>
      <c r="AA596" cm="1">
        <f t="array" ref="AA596">IF(COUNTIFS(Table1[Country],Table1[[#This Row],[Country]])=1,0, _xlfn.STDEV.S(IF(Table1[Country]=Table1[[#This Row],[Country]],Table1[FinalElo])))</f>
        <v>148.42180446198614</v>
      </c>
      <c r="AB596">
        <f>IF(Table1[[#This Row],[CStd]]=0,0, (Table1[[#This Row],[FinalElo]]-Table1[[#This Row],[CAvg]]) / Table1[[#This Row],[CStd]])</f>
        <v>0.59248098873605315</v>
      </c>
      <c r="AC596" t="str">
        <f>IF(Table1[[#This Row],[CStd]]=0,"Normal", IF(ABS(Table1[[#This Row],[CZscore]])&gt;2,"Outlier","Normal"))</f>
        <v>Normal</v>
      </c>
    </row>
    <row r="597" spans="1:29" x14ac:dyDescent="0.35">
      <c r="A597" t="s">
        <v>1780</v>
      </c>
      <c r="B597">
        <v>65.599999999999994</v>
      </c>
      <c r="C597">
        <v>175</v>
      </c>
      <c r="D597" t="s">
        <v>89</v>
      </c>
      <c r="E597">
        <v>30</v>
      </c>
      <c r="F597" t="s">
        <v>99</v>
      </c>
      <c r="G597" t="s">
        <v>34</v>
      </c>
      <c r="H597" t="s">
        <v>29</v>
      </c>
      <c r="I597" t="s">
        <v>73</v>
      </c>
      <c r="J597">
        <v>1</v>
      </c>
      <c r="K597">
        <v>3</v>
      </c>
      <c r="L597">
        <v>0</v>
      </c>
      <c r="M597">
        <v>0</v>
      </c>
      <c r="N597">
        <v>0</v>
      </c>
      <c r="O597">
        <v>0</v>
      </c>
      <c r="P597">
        <v>1</v>
      </c>
      <c r="Q597">
        <v>0</v>
      </c>
      <c r="R597">
        <v>0</v>
      </c>
      <c r="S597">
        <v>0</v>
      </c>
      <c r="T597">
        <v>0</v>
      </c>
      <c r="U597">
        <v>1</v>
      </c>
      <c r="V597">
        <v>0</v>
      </c>
      <c r="W597">
        <v>4</v>
      </c>
      <c r="X597">
        <v>820.86</v>
      </c>
      <c r="Y597">
        <v>1000</v>
      </c>
      <c r="Z597">
        <f>AVERAGEIFS(Table1[FinalElo], Table1[Country], Table1[[#This Row],[Country]])</f>
        <v>1012.0629025423733</v>
      </c>
      <c r="AA597" cm="1">
        <f t="array" ref="AA597">IF(COUNTIFS(Table1[Country],Table1[[#This Row],[Country]])=1,0, _xlfn.STDEV.S(IF(Table1[Country]=Table1[[#This Row],[Country]],Table1[FinalElo])))</f>
        <v>148.42180446198614</v>
      </c>
      <c r="AB597">
        <f>IF(Table1[[#This Row],[CStd]]=0,0, (Table1[[#This Row],[FinalElo]]-Table1[[#This Row],[CAvg]]) / Table1[[#This Row],[CStd]])</f>
        <v>-1.2882399808806009</v>
      </c>
      <c r="AC597" t="str">
        <f>IF(Table1[[#This Row],[CStd]]=0,"Normal", IF(ABS(Table1[[#This Row],[CZscore]])&gt;2,"Outlier","Normal"))</f>
        <v>Normal</v>
      </c>
    </row>
    <row r="598" spans="1:29" x14ac:dyDescent="0.35">
      <c r="A598" t="s">
        <v>1779</v>
      </c>
      <c r="B598">
        <v>67.8</v>
      </c>
      <c r="C598">
        <v>180</v>
      </c>
      <c r="D598" t="s">
        <v>89</v>
      </c>
      <c r="E598">
        <v>26</v>
      </c>
      <c r="F598" t="s">
        <v>104</v>
      </c>
      <c r="G598" t="s">
        <v>34</v>
      </c>
      <c r="H598" t="s">
        <v>29</v>
      </c>
      <c r="I598" t="s">
        <v>48</v>
      </c>
      <c r="J598">
        <v>3</v>
      </c>
      <c r="K598">
        <v>1</v>
      </c>
      <c r="L598">
        <v>0</v>
      </c>
      <c r="M598">
        <v>0</v>
      </c>
      <c r="N598">
        <v>0</v>
      </c>
      <c r="O598">
        <v>0</v>
      </c>
      <c r="P598">
        <v>2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4</v>
      </c>
      <c r="X598">
        <v>1181.5999999999999</v>
      </c>
      <c r="Y598">
        <v>1265.18</v>
      </c>
      <c r="Z598">
        <f>AVERAGEIFS(Table1[FinalElo], Table1[Country], Table1[[#This Row],[Country]])</f>
        <v>1012.0629025423733</v>
      </c>
      <c r="AA598" cm="1">
        <f t="array" ref="AA598">IF(COUNTIFS(Table1[Country],Table1[[#This Row],[Country]])=1,0, _xlfn.STDEV.S(IF(Table1[Country]=Table1[[#This Row],[Country]],Table1[FinalElo])))</f>
        <v>148.42180446198614</v>
      </c>
      <c r="AB598">
        <f>IF(Table1[[#This Row],[CStd]]=0,0, (Table1[[#This Row],[FinalElo]]-Table1[[#This Row],[CAvg]]) / Table1[[#This Row],[CStd]])</f>
        <v>1.142265437832273</v>
      </c>
      <c r="AC598" t="str">
        <f>IF(Table1[[#This Row],[CStd]]=0,"Normal", IF(ABS(Table1[[#This Row],[CZscore]])&gt;2,"Outlier","Normal"))</f>
        <v>Normal</v>
      </c>
    </row>
    <row r="599" spans="1:29" x14ac:dyDescent="0.35">
      <c r="A599" t="s">
        <v>88</v>
      </c>
      <c r="B599">
        <v>60.8</v>
      </c>
      <c r="C599">
        <v>171</v>
      </c>
      <c r="D599" t="s">
        <v>89</v>
      </c>
      <c r="E599">
        <v>38</v>
      </c>
      <c r="F599" t="s">
        <v>90</v>
      </c>
      <c r="G599" t="s">
        <v>34</v>
      </c>
      <c r="H599" t="s">
        <v>29</v>
      </c>
      <c r="I599" t="s">
        <v>58</v>
      </c>
      <c r="J599">
        <v>12</v>
      </c>
      <c r="K599">
        <v>4</v>
      </c>
      <c r="L599">
        <v>0</v>
      </c>
      <c r="M599">
        <v>1</v>
      </c>
      <c r="N599">
        <v>0</v>
      </c>
      <c r="O599">
        <v>0</v>
      </c>
      <c r="P599">
        <v>6</v>
      </c>
      <c r="Q599">
        <v>1</v>
      </c>
      <c r="R599">
        <v>0</v>
      </c>
      <c r="S599">
        <v>0</v>
      </c>
      <c r="T599">
        <v>0</v>
      </c>
      <c r="U599">
        <v>1</v>
      </c>
      <c r="V599">
        <v>1</v>
      </c>
      <c r="W599">
        <v>16</v>
      </c>
      <c r="X599">
        <v>1426.97</v>
      </c>
      <c r="Y599">
        <v>1558.98</v>
      </c>
      <c r="Z599">
        <f>AVERAGEIFS(Table1[FinalElo], Table1[Country], Table1[[#This Row],[Country]])</f>
        <v>1012.0629025423733</v>
      </c>
      <c r="AA599" cm="1">
        <f t="array" ref="AA599">IF(COUNTIFS(Table1[Country],Table1[[#This Row],[Country]])=1,0, _xlfn.STDEV.S(IF(Table1[Country]=Table1[[#This Row],[Country]],Table1[FinalElo])))</f>
        <v>148.42180446198614</v>
      </c>
      <c r="AB599">
        <f>IF(Table1[[#This Row],[CStd]]=0,0, (Table1[[#This Row],[FinalElo]]-Table1[[#This Row],[CAvg]]) / Table1[[#This Row],[CStd]])</f>
        <v>2.7954591911991806</v>
      </c>
      <c r="AC599" t="str">
        <f>IF(Table1[[#This Row],[CStd]]=0,"Normal", IF(ABS(Table1[[#This Row],[CZscore]])&gt;2,"Outlier","Normal"))</f>
        <v>Outlier</v>
      </c>
    </row>
    <row r="600" spans="1:29" x14ac:dyDescent="0.35">
      <c r="A600" t="s">
        <v>1777</v>
      </c>
      <c r="B600">
        <v>49.6</v>
      </c>
      <c r="C600">
        <v>163</v>
      </c>
      <c r="D600" t="s">
        <v>89</v>
      </c>
      <c r="E600">
        <v>21</v>
      </c>
      <c r="F600" t="s">
        <v>1778</v>
      </c>
      <c r="G600" t="s">
        <v>34</v>
      </c>
      <c r="H600" t="s">
        <v>29</v>
      </c>
      <c r="I600" t="s">
        <v>55</v>
      </c>
      <c r="J600">
        <v>0</v>
      </c>
      <c r="K600">
        <v>0</v>
      </c>
      <c r="L600">
        <v>1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1</v>
      </c>
      <c r="X600">
        <v>1000</v>
      </c>
      <c r="Y600">
        <v>1000</v>
      </c>
      <c r="Z600">
        <f>AVERAGEIFS(Table1[FinalElo], Table1[Country], Table1[[#This Row],[Country]])</f>
        <v>1012.0629025423733</v>
      </c>
      <c r="AA600" cm="1">
        <f t="array" ref="AA600">IF(COUNTIFS(Table1[Country],Table1[[#This Row],[Country]])=1,0, _xlfn.STDEV.S(IF(Table1[Country]=Table1[[#This Row],[Country]],Table1[FinalElo])))</f>
        <v>148.42180446198614</v>
      </c>
      <c r="AB600">
        <f>IF(Table1[[#This Row],[CStd]]=0,0, (Table1[[#This Row],[FinalElo]]-Table1[[#This Row],[CAvg]]) / Table1[[#This Row],[CStd]])</f>
        <v>-8.1274463587746398E-2</v>
      </c>
      <c r="AC600" t="str">
        <f>IF(Table1[[#This Row],[CStd]]=0,"Normal", IF(ABS(Table1[[#This Row],[CZscore]])&gt;2,"Outlier","Normal"))</f>
        <v>Normal</v>
      </c>
    </row>
    <row r="601" spans="1:29" x14ac:dyDescent="0.35">
      <c r="A601" t="s">
        <v>1776</v>
      </c>
      <c r="B601">
        <v>47.63</v>
      </c>
      <c r="C601">
        <v>156</v>
      </c>
      <c r="D601" t="s">
        <v>89</v>
      </c>
      <c r="E601">
        <v>29</v>
      </c>
      <c r="F601" t="s">
        <v>99</v>
      </c>
      <c r="G601" t="s">
        <v>34</v>
      </c>
      <c r="H601" t="s">
        <v>29</v>
      </c>
      <c r="I601" t="s">
        <v>55</v>
      </c>
      <c r="J601">
        <v>2</v>
      </c>
      <c r="K601">
        <v>2</v>
      </c>
      <c r="L601">
        <v>0</v>
      </c>
      <c r="M601">
        <v>1</v>
      </c>
      <c r="N601">
        <v>0</v>
      </c>
      <c r="O601">
        <v>0</v>
      </c>
      <c r="P601">
        <v>1</v>
      </c>
      <c r="Q601">
        <v>0</v>
      </c>
      <c r="R601">
        <v>0</v>
      </c>
      <c r="S601">
        <v>0</v>
      </c>
      <c r="T601">
        <v>0</v>
      </c>
      <c r="U601">
        <v>2</v>
      </c>
      <c r="V601">
        <v>0</v>
      </c>
      <c r="W601">
        <v>4</v>
      </c>
      <c r="X601">
        <v>986.02</v>
      </c>
      <c r="Y601">
        <v>1219.67</v>
      </c>
      <c r="Z601">
        <f>AVERAGEIFS(Table1[FinalElo], Table1[Country], Table1[[#This Row],[Country]])</f>
        <v>1012.0629025423733</v>
      </c>
      <c r="AA601" cm="1">
        <f t="array" ref="AA601">IF(COUNTIFS(Table1[Country],Table1[[#This Row],[Country]])=1,0, _xlfn.STDEV.S(IF(Table1[Country]=Table1[[#This Row],[Country]],Table1[FinalElo])))</f>
        <v>148.42180446198614</v>
      </c>
      <c r="AB601">
        <f>IF(Table1[[#This Row],[CStd]]=0,0, (Table1[[#This Row],[FinalElo]]-Table1[[#This Row],[CAvg]]) / Table1[[#This Row],[CStd]])</f>
        <v>-0.17546547582261368</v>
      </c>
      <c r="AC601" t="str">
        <f>IF(Table1[[#This Row],[CStd]]=0,"Normal", IF(ABS(Table1[[#This Row],[CZscore]])&gt;2,"Outlier","Normal"))</f>
        <v>Normal</v>
      </c>
    </row>
    <row r="602" spans="1:29" x14ac:dyDescent="0.35">
      <c r="A602" t="s">
        <v>1775</v>
      </c>
      <c r="B602">
        <v>53.070264000000002</v>
      </c>
      <c r="C602">
        <v>162</v>
      </c>
      <c r="D602" t="s">
        <v>89</v>
      </c>
      <c r="E602">
        <v>24</v>
      </c>
      <c r="F602" t="s">
        <v>535</v>
      </c>
      <c r="G602" t="s">
        <v>34</v>
      </c>
      <c r="H602" t="s">
        <v>29</v>
      </c>
      <c r="I602" t="s">
        <v>36</v>
      </c>
      <c r="J602">
        <v>1</v>
      </c>
      <c r="K602">
        <v>1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2</v>
      </c>
      <c r="X602">
        <v>926.53</v>
      </c>
      <c r="Y602">
        <v>1100</v>
      </c>
      <c r="Z602">
        <f>AVERAGEIFS(Table1[FinalElo], Table1[Country], Table1[[#This Row],[Country]])</f>
        <v>1012.0629025423733</v>
      </c>
      <c r="AA602" cm="1">
        <f t="array" ref="AA602">IF(COUNTIFS(Table1[Country],Table1[[#This Row],[Country]])=1,0, _xlfn.STDEV.S(IF(Table1[Country]=Table1[[#This Row],[Country]],Table1[FinalElo])))</f>
        <v>148.42180446198614</v>
      </c>
      <c r="AB602">
        <f>IF(Table1[[#This Row],[CStd]]=0,0, (Table1[[#This Row],[FinalElo]]-Table1[[#This Row],[CAvg]]) / Table1[[#This Row],[CStd]])</f>
        <v>-0.57628259441004215</v>
      </c>
      <c r="AC602" t="str">
        <f>IF(Table1[[#This Row],[CStd]]=0,"Normal", IF(ABS(Table1[[#This Row],[CZscore]])&gt;2,"Outlier","Normal"))</f>
        <v>Normal</v>
      </c>
    </row>
    <row r="603" spans="1:29" x14ac:dyDescent="0.35">
      <c r="A603" t="s">
        <v>1774</v>
      </c>
      <c r="B603">
        <v>47.63</v>
      </c>
      <c r="C603">
        <v>157</v>
      </c>
      <c r="D603" t="s">
        <v>1366</v>
      </c>
      <c r="E603">
        <v>27</v>
      </c>
      <c r="F603" t="s">
        <v>1772</v>
      </c>
      <c r="G603" t="s">
        <v>34</v>
      </c>
      <c r="H603" t="s">
        <v>29</v>
      </c>
      <c r="I603" t="s">
        <v>55</v>
      </c>
      <c r="J603">
        <v>1</v>
      </c>
      <c r="K603">
        <v>1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1</v>
      </c>
      <c r="S603">
        <v>0</v>
      </c>
      <c r="T603">
        <v>0</v>
      </c>
      <c r="U603">
        <v>0</v>
      </c>
      <c r="V603">
        <v>0</v>
      </c>
      <c r="W603">
        <v>2</v>
      </c>
      <c r="X603">
        <v>1012.02</v>
      </c>
      <c r="Y603">
        <v>1128.01</v>
      </c>
      <c r="Z603">
        <f>AVERAGEIFS(Table1[FinalElo], Table1[Country], Table1[[#This Row],[Country]])</f>
        <v>956.19333333333327</v>
      </c>
      <c r="AA603" cm="1">
        <f t="array" ref="AA603">IF(COUNTIFS(Table1[Country],Table1[[#This Row],[Country]])=1,0, _xlfn.STDEV.S(IF(Table1[Country]=Table1[[#This Row],[Country]],Table1[FinalElo])))</f>
        <v>95.923712266571499</v>
      </c>
      <c r="AB603">
        <f>IF(Table1[[#This Row],[CStd]]=0,0, (Table1[[#This Row],[FinalElo]]-Table1[[#This Row],[CAvg]]) / Table1[[#This Row],[CStd]])</f>
        <v>0.58199026442517876</v>
      </c>
      <c r="AC603" t="str">
        <f>IF(Table1[[#This Row],[CStd]]=0,"Normal", IF(ABS(Table1[[#This Row],[CZscore]])&gt;2,"Outlier","Normal"))</f>
        <v>Normal</v>
      </c>
    </row>
    <row r="604" spans="1:29" x14ac:dyDescent="0.35">
      <c r="A604" t="s">
        <v>1773</v>
      </c>
      <c r="B604">
        <v>49.8</v>
      </c>
      <c r="C604">
        <v>158</v>
      </c>
      <c r="D604" t="s">
        <v>89</v>
      </c>
      <c r="E604">
        <v>30</v>
      </c>
      <c r="F604">
        <v>2</v>
      </c>
      <c r="G604" t="s">
        <v>34</v>
      </c>
      <c r="H604" t="s">
        <v>29</v>
      </c>
      <c r="I604" t="s">
        <v>55</v>
      </c>
      <c r="J604">
        <v>5</v>
      </c>
      <c r="K604">
        <v>1</v>
      </c>
      <c r="L604">
        <v>0</v>
      </c>
      <c r="M604">
        <v>0</v>
      </c>
      <c r="N604">
        <v>0</v>
      </c>
      <c r="O604">
        <v>0</v>
      </c>
      <c r="P604">
        <v>2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1</v>
      </c>
      <c r="W604">
        <v>6</v>
      </c>
      <c r="X604">
        <v>1175.5899999999999</v>
      </c>
      <c r="Y604">
        <v>1355.81</v>
      </c>
      <c r="Z604">
        <f>AVERAGEIFS(Table1[FinalElo], Table1[Country], Table1[[#This Row],[Country]])</f>
        <v>1012.0629025423733</v>
      </c>
      <c r="AA604" cm="1">
        <f t="array" ref="AA604">IF(COUNTIFS(Table1[Country],Table1[[#This Row],[Country]])=1,0, _xlfn.STDEV.S(IF(Table1[Country]=Table1[[#This Row],[Country]],Table1[FinalElo])))</f>
        <v>148.42180446198614</v>
      </c>
      <c r="AB604">
        <f>IF(Table1[[#This Row],[CStd]]=0,0, (Table1[[#This Row],[FinalElo]]-Table1[[#This Row],[CAvg]]) / Table1[[#This Row],[CStd]])</f>
        <v>1.1017727351476125</v>
      </c>
      <c r="AC604" t="str">
        <f>IF(Table1[[#This Row],[CStd]]=0,"Normal", IF(ABS(Table1[[#This Row],[CZscore]])&gt;2,"Outlier","Normal"))</f>
        <v>Normal</v>
      </c>
    </row>
    <row r="605" spans="1:29" x14ac:dyDescent="0.35">
      <c r="A605" t="s">
        <v>1771</v>
      </c>
      <c r="B605">
        <v>59.874144000000001</v>
      </c>
      <c r="C605">
        <v>170</v>
      </c>
      <c r="D605" t="s">
        <v>1366</v>
      </c>
      <c r="E605">
        <v>33</v>
      </c>
      <c r="F605" t="s">
        <v>1772</v>
      </c>
      <c r="G605" t="s">
        <v>34</v>
      </c>
      <c r="H605" t="s">
        <v>29</v>
      </c>
      <c r="I605" t="s">
        <v>58</v>
      </c>
      <c r="J605">
        <v>1</v>
      </c>
      <c r="K605">
        <v>1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1</v>
      </c>
      <c r="V605">
        <v>0</v>
      </c>
      <c r="W605">
        <v>2</v>
      </c>
      <c r="X605">
        <v>999.55</v>
      </c>
      <c r="Y605">
        <v>1137.08</v>
      </c>
      <c r="Z605">
        <f>AVERAGEIFS(Table1[FinalElo], Table1[Country], Table1[[#This Row],[Country]])</f>
        <v>956.19333333333327</v>
      </c>
      <c r="AA605" cm="1">
        <f t="array" ref="AA605">IF(COUNTIFS(Table1[Country],Table1[[#This Row],[Country]])=1,0, _xlfn.STDEV.S(IF(Table1[Country]=Table1[[#This Row],[Country]],Table1[FinalElo])))</f>
        <v>95.923712266571499</v>
      </c>
      <c r="AB605">
        <f>IF(Table1[[#This Row],[CStd]]=0,0, (Table1[[#This Row],[FinalElo]]-Table1[[#This Row],[CAvg]]) / Table1[[#This Row],[CStd]])</f>
        <v>0.45199112547040227</v>
      </c>
      <c r="AC605" t="str">
        <f>IF(Table1[[#This Row],[CStd]]=0,"Normal", IF(ABS(Table1[[#This Row],[CZscore]])&gt;2,"Outlier","Normal"))</f>
        <v>Normal</v>
      </c>
    </row>
    <row r="606" spans="1:29" x14ac:dyDescent="0.35">
      <c r="A606" t="s">
        <v>1769</v>
      </c>
      <c r="B606">
        <v>51.8</v>
      </c>
      <c r="C606">
        <v>153</v>
      </c>
      <c r="D606" t="s">
        <v>237</v>
      </c>
      <c r="E606">
        <v>29</v>
      </c>
      <c r="F606" t="s">
        <v>1770</v>
      </c>
      <c r="G606" t="s">
        <v>40</v>
      </c>
      <c r="H606" t="s">
        <v>29</v>
      </c>
      <c r="I606" t="s">
        <v>55</v>
      </c>
      <c r="J606">
        <v>2</v>
      </c>
      <c r="K606">
        <v>3</v>
      </c>
      <c r="L606">
        <v>0</v>
      </c>
      <c r="M606">
        <v>1</v>
      </c>
      <c r="N606">
        <v>0</v>
      </c>
      <c r="O606">
        <v>0</v>
      </c>
      <c r="P606">
        <v>1</v>
      </c>
      <c r="Q606">
        <v>0</v>
      </c>
      <c r="R606">
        <v>0</v>
      </c>
      <c r="S606">
        <v>1</v>
      </c>
      <c r="T606">
        <v>0</v>
      </c>
      <c r="U606">
        <v>2</v>
      </c>
      <c r="V606">
        <v>0</v>
      </c>
      <c r="W606">
        <v>5</v>
      </c>
      <c r="X606">
        <v>1001.32</v>
      </c>
      <c r="Y606">
        <v>1142.79</v>
      </c>
      <c r="Z606">
        <f>AVERAGEIFS(Table1[FinalElo], Table1[Country], Table1[[#This Row],[Country]])</f>
        <v>1086.655</v>
      </c>
      <c r="AA606" cm="1">
        <f t="array" ref="AA606">IF(COUNTIFS(Table1[Country],Table1[[#This Row],[Country]])=1,0, _xlfn.STDEV.S(IF(Table1[Country]=Table1[[#This Row],[Country]],Table1[FinalElo])))</f>
        <v>120.68191434510803</v>
      </c>
      <c r="AB606">
        <f>IF(Table1[[#This Row],[CStd]]=0,0, (Table1[[#This Row],[FinalElo]]-Table1[[#This Row],[CAvg]]) / Table1[[#This Row],[CStd]])</f>
        <v>-0.70710678118654713</v>
      </c>
      <c r="AC606" t="str">
        <f>IF(Table1[[#This Row],[CStd]]=0,"Normal", IF(ABS(Table1[[#This Row],[CZscore]])&gt;2,"Outlier","Normal"))</f>
        <v>Normal</v>
      </c>
    </row>
    <row r="607" spans="1:29" x14ac:dyDescent="0.35">
      <c r="A607" t="s">
        <v>1768</v>
      </c>
      <c r="B607">
        <v>58.059775999999999</v>
      </c>
      <c r="C607">
        <v>163</v>
      </c>
      <c r="D607" t="s">
        <v>32</v>
      </c>
      <c r="E607">
        <v>29</v>
      </c>
      <c r="F607" t="s">
        <v>33</v>
      </c>
      <c r="G607" t="s">
        <v>34</v>
      </c>
      <c r="H607" t="s">
        <v>29</v>
      </c>
      <c r="I607" t="s">
        <v>58</v>
      </c>
      <c r="J607">
        <v>1</v>
      </c>
      <c r="K607">
        <v>2</v>
      </c>
      <c r="L607">
        <v>0</v>
      </c>
      <c r="M607">
        <v>0</v>
      </c>
      <c r="N607">
        <v>0</v>
      </c>
      <c r="O607">
        <v>0</v>
      </c>
      <c r="P607">
        <v>1</v>
      </c>
      <c r="Q607">
        <v>0</v>
      </c>
      <c r="R607">
        <v>1</v>
      </c>
      <c r="S607">
        <v>0</v>
      </c>
      <c r="T607">
        <v>0</v>
      </c>
      <c r="U607">
        <v>1</v>
      </c>
      <c r="V607">
        <v>0</v>
      </c>
      <c r="W607">
        <v>3</v>
      </c>
      <c r="X607">
        <v>871.53</v>
      </c>
      <c r="Y607">
        <v>1100</v>
      </c>
      <c r="Z607">
        <f>AVERAGEIFS(Table1[FinalElo], Table1[Country], Table1[[#This Row],[Country]])</f>
        <v>1025.3786885245902</v>
      </c>
      <c r="AA607" cm="1">
        <f t="array" ref="AA607">IF(COUNTIFS(Table1[Country],Table1[[#This Row],[Country]])=1,0, _xlfn.STDEV.S(IF(Table1[Country]=Table1[[#This Row],[Country]],Table1[FinalElo])))</f>
        <v>144.71595558743479</v>
      </c>
      <c r="AB607">
        <f>IF(Table1[[#This Row],[CStd]]=0,0, (Table1[[#This Row],[FinalElo]]-Table1[[#This Row],[CAvg]]) / Table1[[#This Row],[CStd]])</f>
        <v>-1.0631079890263904</v>
      </c>
      <c r="AC607" t="str">
        <f>IF(Table1[[#This Row],[CStd]]=0,"Normal", IF(ABS(Table1[[#This Row],[CZscore]])&gt;2,"Outlier","Normal"))</f>
        <v>Normal</v>
      </c>
    </row>
    <row r="608" spans="1:29" x14ac:dyDescent="0.35">
      <c r="A608" t="s">
        <v>1766</v>
      </c>
      <c r="B608">
        <v>61.2</v>
      </c>
      <c r="C608">
        <v>163</v>
      </c>
      <c r="D608" t="s">
        <v>82</v>
      </c>
      <c r="E608">
        <v>35</v>
      </c>
      <c r="F608" t="s">
        <v>1767</v>
      </c>
      <c r="G608" t="s">
        <v>40</v>
      </c>
      <c r="H608" t="s">
        <v>29</v>
      </c>
      <c r="I608" t="s">
        <v>58</v>
      </c>
      <c r="J608">
        <v>1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1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1</v>
      </c>
      <c r="X608">
        <v>1100</v>
      </c>
      <c r="Y608">
        <v>1100</v>
      </c>
      <c r="Z608">
        <f>AVERAGEIFS(Table1[FinalElo], Table1[Country], Table1[[#This Row],[Country]])</f>
        <v>1012.5275373134326</v>
      </c>
      <c r="AA608" cm="1">
        <f t="array" ref="AA608">IF(COUNTIFS(Table1[Country],Table1[[#This Row],[Country]])=1,0, _xlfn.STDEV.S(IF(Table1[Country]=Table1[[#This Row],[Country]],Table1[FinalElo])))</f>
        <v>135.61062237674741</v>
      </c>
      <c r="AB608">
        <f>IF(Table1[[#This Row],[CStd]]=0,0, (Table1[[#This Row],[FinalElo]]-Table1[[#This Row],[CAvg]]) / Table1[[#This Row],[CStd]])</f>
        <v>0.64502662957740331</v>
      </c>
      <c r="AC608" t="str">
        <f>IF(Table1[[#This Row],[CStd]]=0,"Normal", IF(ABS(Table1[[#This Row],[CZscore]])&gt;2,"Outlier","Normal"))</f>
        <v>Normal</v>
      </c>
    </row>
    <row r="609" spans="1:29" x14ac:dyDescent="0.35">
      <c r="A609" t="s">
        <v>1764</v>
      </c>
      <c r="B609">
        <v>51.255896</v>
      </c>
      <c r="C609">
        <v>165</v>
      </c>
      <c r="D609" t="s">
        <v>89</v>
      </c>
      <c r="E609">
        <v>21</v>
      </c>
      <c r="F609" t="s">
        <v>1765</v>
      </c>
      <c r="G609" t="s">
        <v>34</v>
      </c>
      <c r="H609" t="s">
        <v>29</v>
      </c>
      <c r="I609" t="s">
        <v>55</v>
      </c>
      <c r="J609">
        <v>1</v>
      </c>
      <c r="K609">
        <v>1</v>
      </c>
      <c r="L609">
        <v>0</v>
      </c>
      <c r="M609">
        <v>0</v>
      </c>
      <c r="N609">
        <v>0</v>
      </c>
      <c r="O609">
        <v>0</v>
      </c>
      <c r="P609">
        <v>1</v>
      </c>
      <c r="Q609">
        <v>0</v>
      </c>
      <c r="R609">
        <v>0</v>
      </c>
      <c r="S609">
        <v>0</v>
      </c>
      <c r="T609">
        <v>0</v>
      </c>
      <c r="U609">
        <v>1</v>
      </c>
      <c r="V609">
        <v>0</v>
      </c>
      <c r="W609">
        <v>2</v>
      </c>
      <c r="X609">
        <v>995.36</v>
      </c>
      <c r="Y609">
        <v>1157.74</v>
      </c>
      <c r="Z609">
        <f>AVERAGEIFS(Table1[FinalElo], Table1[Country], Table1[[#This Row],[Country]])</f>
        <v>1012.0629025423733</v>
      </c>
      <c r="AA609" cm="1">
        <f t="array" ref="AA609">IF(COUNTIFS(Table1[Country],Table1[[#This Row],[Country]])=1,0, _xlfn.STDEV.S(IF(Table1[Country]=Table1[[#This Row],[Country]],Table1[FinalElo])))</f>
        <v>148.42180446198614</v>
      </c>
      <c r="AB609">
        <f>IF(Table1[[#This Row],[CStd]]=0,0, (Table1[[#This Row],[FinalElo]]-Table1[[#This Row],[CAvg]]) / Table1[[#This Row],[CStd]])</f>
        <v>-0.1125367165755706</v>
      </c>
      <c r="AC609" t="str">
        <f>IF(Table1[[#This Row],[CStd]]=0,"Normal", IF(ABS(Table1[[#This Row],[CZscore]])&gt;2,"Outlier","Normal"))</f>
        <v>Normal</v>
      </c>
    </row>
    <row r="610" spans="1:29" x14ac:dyDescent="0.35">
      <c r="A610" t="s">
        <v>1761</v>
      </c>
      <c r="B610">
        <v>83.3</v>
      </c>
      <c r="C610">
        <v>182</v>
      </c>
      <c r="D610" t="s">
        <v>1762</v>
      </c>
      <c r="E610">
        <v>41</v>
      </c>
      <c r="F610" t="s">
        <v>1763</v>
      </c>
      <c r="G610" t="s">
        <v>28</v>
      </c>
      <c r="H610" t="s">
        <v>29</v>
      </c>
      <c r="I610" t="s">
        <v>50</v>
      </c>
      <c r="J610">
        <v>6</v>
      </c>
      <c r="K610">
        <v>4</v>
      </c>
      <c r="L610">
        <v>0</v>
      </c>
      <c r="M610">
        <v>2</v>
      </c>
      <c r="N610">
        <v>0</v>
      </c>
      <c r="O610">
        <v>0</v>
      </c>
      <c r="P610">
        <v>1</v>
      </c>
      <c r="Q610">
        <v>0</v>
      </c>
      <c r="R610">
        <v>0</v>
      </c>
      <c r="S610">
        <v>0</v>
      </c>
      <c r="T610">
        <v>0</v>
      </c>
      <c r="U610">
        <v>3</v>
      </c>
      <c r="V610">
        <v>0</v>
      </c>
      <c r="W610">
        <v>10</v>
      </c>
      <c r="X610">
        <v>1216.6099999999999</v>
      </c>
      <c r="Y610">
        <v>1219.97</v>
      </c>
      <c r="Z610">
        <f>AVERAGEIFS(Table1[FinalElo], Table1[Country], Table1[[#This Row],[Country]])</f>
        <v>1216.6099999999999</v>
      </c>
      <c r="AA610" cm="1">
        <f t="array" ref="AA610">IF(COUNTIFS(Table1[Country],Table1[[#This Row],[Country]])=1,0, _xlfn.STDEV.S(IF(Table1[Country]=Table1[[#This Row],[Country]],Table1[FinalElo])))</f>
        <v>0</v>
      </c>
      <c r="AB610">
        <f>IF(Table1[[#This Row],[CStd]]=0,0, (Table1[[#This Row],[FinalElo]]-Table1[[#This Row],[CAvg]]) / Table1[[#This Row],[CStd]])</f>
        <v>0</v>
      </c>
      <c r="AC610" t="str">
        <f>IF(Table1[[#This Row],[CStd]]=0,"Normal", IF(ABS(Table1[[#This Row],[CZscore]])&gt;2,"Outlier","Normal"))</f>
        <v>Normal</v>
      </c>
    </row>
    <row r="611" spans="1:29" x14ac:dyDescent="0.35">
      <c r="A611" t="s">
        <v>1759</v>
      </c>
      <c r="B611">
        <v>70.31</v>
      </c>
      <c r="C611">
        <v>185</v>
      </c>
      <c r="D611" t="s">
        <v>218</v>
      </c>
      <c r="E611">
        <v>35</v>
      </c>
      <c r="F611" t="s">
        <v>1760</v>
      </c>
      <c r="G611" t="s">
        <v>40</v>
      </c>
      <c r="H611" t="s">
        <v>29</v>
      </c>
      <c r="I611" t="s">
        <v>30</v>
      </c>
      <c r="J611">
        <v>0</v>
      </c>
      <c r="K611">
        <v>2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1</v>
      </c>
      <c r="S611">
        <v>1</v>
      </c>
      <c r="T611">
        <v>0</v>
      </c>
      <c r="U611">
        <v>0</v>
      </c>
      <c r="V611">
        <v>0</v>
      </c>
      <c r="W611">
        <v>2</v>
      </c>
      <c r="X611">
        <v>933.02</v>
      </c>
      <c r="Y611">
        <v>1000</v>
      </c>
      <c r="Z611">
        <f>AVERAGEIFS(Table1[FinalElo], Table1[Country], Table1[[#This Row],[Country]])</f>
        <v>953.02272727272725</v>
      </c>
      <c r="AA611" cm="1">
        <f t="array" ref="AA611">IF(COUNTIFS(Table1[Country],Table1[[#This Row],[Country]])=1,0, _xlfn.STDEV.S(IF(Table1[Country]=Table1[[#This Row],[Country]],Table1[FinalElo])))</f>
        <v>75.051454894746612</v>
      </c>
      <c r="AB611">
        <f>IF(Table1[[#This Row],[CStd]]=0,0, (Table1[[#This Row],[FinalElo]]-Table1[[#This Row],[CAvg]]) / Table1[[#This Row],[CStd]])</f>
        <v>-0.26652018006552203</v>
      </c>
      <c r="AC611" t="str">
        <f>IF(Table1[[#This Row],[CStd]]=0,"Normal", IF(ABS(Table1[[#This Row],[CZscore]])&gt;2,"Outlier","Normal"))</f>
        <v>Normal</v>
      </c>
    </row>
    <row r="612" spans="1:29" x14ac:dyDescent="0.35">
      <c r="A612" t="s">
        <v>1758</v>
      </c>
      <c r="B612">
        <v>56.7</v>
      </c>
      <c r="C612">
        <v>160</v>
      </c>
      <c r="D612" t="s">
        <v>32</v>
      </c>
      <c r="E612">
        <v>20</v>
      </c>
      <c r="F612" t="s">
        <v>256</v>
      </c>
      <c r="G612" t="s">
        <v>34</v>
      </c>
      <c r="H612" t="s">
        <v>29</v>
      </c>
      <c r="I612" t="s">
        <v>58</v>
      </c>
      <c r="J612">
        <v>0</v>
      </c>
      <c r="K612">
        <v>3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3</v>
      </c>
      <c r="V612">
        <v>0</v>
      </c>
      <c r="W612">
        <v>3</v>
      </c>
      <c r="X612">
        <v>827.48</v>
      </c>
      <c r="Y612">
        <v>1000</v>
      </c>
      <c r="Z612">
        <f>AVERAGEIFS(Table1[FinalElo], Table1[Country], Table1[[#This Row],[Country]])</f>
        <v>1025.3786885245902</v>
      </c>
      <c r="AA612" cm="1">
        <f t="array" ref="AA612">IF(COUNTIFS(Table1[Country],Table1[[#This Row],[Country]])=1,0, _xlfn.STDEV.S(IF(Table1[Country]=Table1[[#This Row],[Country]],Table1[FinalElo])))</f>
        <v>144.71595558743479</v>
      </c>
      <c r="AB612">
        <f>IF(Table1[[#This Row],[CStd]]=0,0, (Table1[[#This Row],[FinalElo]]-Table1[[#This Row],[CAvg]]) / Table1[[#This Row],[CStd]])</f>
        <v>-1.3674973690445855</v>
      </c>
      <c r="AC612" t="str">
        <f>IF(Table1[[#This Row],[CStd]]=0,"Normal", IF(ABS(Table1[[#This Row],[CZscore]])&gt;2,"Outlier","Normal"))</f>
        <v>Normal</v>
      </c>
    </row>
    <row r="613" spans="1:29" x14ac:dyDescent="0.35">
      <c r="A613" t="s">
        <v>1756</v>
      </c>
      <c r="B613">
        <v>70.31</v>
      </c>
      <c r="C613">
        <v>173</v>
      </c>
      <c r="D613" t="s">
        <v>52</v>
      </c>
      <c r="E613">
        <v>35</v>
      </c>
      <c r="F613" t="s">
        <v>1757</v>
      </c>
      <c r="G613" t="s">
        <v>40</v>
      </c>
      <c r="H613" t="s">
        <v>29</v>
      </c>
      <c r="I613" t="s">
        <v>30</v>
      </c>
      <c r="J613">
        <v>0</v>
      </c>
      <c r="K613">
        <v>1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1</v>
      </c>
      <c r="T613">
        <v>0</v>
      </c>
      <c r="U613">
        <v>0</v>
      </c>
      <c r="V613">
        <v>0</v>
      </c>
      <c r="W613">
        <v>1</v>
      </c>
      <c r="X613">
        <v>928.01</v>
      </c>
      <c r="Y613">
        <v>1000</v>
      </c>
      <c r="Z613">
        <f>AVERAGEIFS(Table1[FinalElo], Table1[Country], Table1[[#This Row],[Country]])</f>
        <v>1039.8985714285714</v>
      </c>
      <c r="AA613" cm="1">
        <f t="array" ref="AA613">IF(COUNTIFS(Table1[Country],Table1[[#This Row],[Country]])=1,0, _xlfn.STDEV.S(IF(Table1[Country]=Table1[[#This Row],[Country]],Table1[FinalElo])))</f>
        <v>194.01778111336392</v>
      </c>
      <c r="AB613">
        <f>IF(Table1[[#This Row],[CStd]]=0,0, (Table1[[#This Row],[FinalElo]]-Table1[[#This Row],[CAvg]]) / Table1[[#This Row],[CStd]])</f>
        <v>-0.57669235668247987</v>
      </c>
      <c r="AC613" t="str">
        <f>IF(Table1[[#This Row],[CStd]]=0,"Normal", IF(ABS(Table1[[#This Row],[CZscore]])&gt;2,"Outlier","Normal"))</f>
        <v>Normal</v>
      </c>
    </row>
    <row r="614" spans="1:29" x14ac:dyDescent="0.35">
      <c r="A614" t="s">
        <v>1754</v>
      </c>
      <c r="B614">
        <v>65.77</v>
      </c>
      <c r="C614">
        <v>179</v>
      </c>
      <c r="D614" t="s">
        <v>286</v>
      </c>
      <c r="E614">
        <v>26</v>
      </c>
      <c r="F614" t="s">
        <v>1755</v>
      </c>
      <c r="G614" t="s">
        <v>34</v>
      </c>
      <c r="H614" t="s">
        <v>29</v>
      </c>
      <c r="I614" t="s">
        <v>48</v>
      </c>
      <c r="J614">
        <v>5</v>
      </c>
      <c r="K614">
        <v>1</v>
      </c>
      <c r="L614">
        <v>0</v>
      </c>
      <c r="M614">
        <v>3</v>
      </c>
      <c r="N614">
        <v>0</v>
      </c>
      <c r="O614">
        <v>0</v>
      </c>
      <c r="P614">
        <v>0</v>
      </c>
      <c r="Q614">
        <v>0</v>
      </c>
      <c r="R614">
        <v>1</v>
      </c>
      <c r="S614">
        <v>0</v>
      </c>
      <c r="T614">
        <v>0</v>
      </c>
      <c r="U614">
        <v>0</v>
      </c>
      <c r="V614">
        <v>0</v>
      </c>
      <c r="W614">
        <v>6</v>
      </c>
      <c r="X614">
        <v>1387.42</v>
      </c>
      <c r="Y614">
        <v>1442.52</v>
      </c>
      <c r="Z614">
        <f>AVERAGEIFS(Table1[FinalElo], Table1[Country], Table1[[#This Row],[Country]])</f>
        <v>1087.97</v>
      </c>
      <c r="AA614" cm="1">
        <f t="array" ref="AA614">IF(COUNTIFS(Table1[Country],Table1[[#This Row],[Country]])=1,0, _xlfn.STDEV.S(IF(Table1[Country]=Table1[[#This Row],[Country]],Table1[FinalElo])))</f>
        <v>209.70246125675953</v>
      </c>
      <c r="AB614">
        <f>IF(Table1[[#This Row],[CStd]]=0,0, (Table1[[#This Row],[FinalElo]]-Table1[[#This Row],[CAvg]]) / Table1[[#This Row],[CStd]])</f>
        <v>1.4279756098492029</v>
      </c>
      <c r="AC614" t="str">
        <f>IF(Table1[[#This Row],[CStd]]=0,"Normal", IF(ABS(Table1[[#This Row],[CZscore]])&gt;2,"Outlier","Normal"))</f>
        <v>Normal</v>
      </c>
    </row>
    <row r="615" spans="1:29" x14ac:dyDescent="0.35">
      <c r="A615" t="s">
        <v>1751</v>
      </c>
      <c r="B615">
        <v>69.900000000000006</v>
      </c>
      <c r="C615">
        <v>184</v>
      </c>
      <c r="D615" t="s">
        <v>1752</v>
      </c>
      <c r="E615">
        <v>35</v>
      </c>
      <c r="F615" t="s">
        <v>1753</v>
      </c>
      <c r="G615" t="s">
        <v>34</v>
      </c>
      <c r="H615" t="s">
        <v>29</v>
      </c>
      <c r="I615" t="s">
        <v>48</v>
      </c>
      <c r="J615">
        <v>0</v>
      </c>
      <c r="K615">
        <v>3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1</v>
      </c>
      <c r="V615">
        <v>0</v>
      </c>
      <c r="W615">
        <v>3</v>
      </c>
      <c r="X615">
        <v>753.22</v>
      </c>
      <c r="Y615">
        <v>1000</v>
      </c>
      <c r="Z615">
        <f>AVERAGEIFS(Table1[FinalElo], Table1[Country], Table1[[#This Row],[Country]])</f>
        <v>753.22</v>
      </c>
      <c r="AA615" cm="1">
        <f t="array" ref="AA615">IF(COUNTIFS(Table1[Country],Table1[[#This Row],[Country]])=1,0, _xlfn.STDEV.S(IF(Table1[Country]=Table1[[#This Row],[Country]],Table1[FinalElo])))</f>
        <v>0</v>
      </c>
      <c r="AB615">
        <f>IF(Table1[[#This Row],[CStd]]=0,0, (Table1[[#This Row],[FinalElo]]-Table1[[#This Row],[CAvg]]) / Table1[[#This Row],[CStd]])</f>
        <v>0</v>
      </c>
      <c r="AC615" t="str">
        <f>IF(Table1[[#This Row],[CStd]]=0,"Normal", IF(ABS(Table1[[#This Row],[CZscore]])&gt;2,"Outlier","Normal"))</f>
        <v>Normal</v>
      </c>
    </row>
    <row r="616" spans="1:29" x14ac:dyDescent="0.35">
      <c r="A616" t="s">
        <v>1750</v>
      </c>
      <c r="B616">
        <v>56.7</v>
      </c>
      <c r="C616">
        <v>164</v>
      </c>
      <c r="D616" t="s">
        <v>116</v>
      </c>
      <c r="E616">
        <v>27</v>
      </c>
      <c r="F616" t="s">
        <v>427</v>
      </c>
      <c r="G616" t="s">
        <v>40</v>
      </c>
      <c r="H616" t="s">
        <v>29</v>
      </c>
      <c r="I616" t="s">
        <v>58</v>
      </c>
      <c r="J616">
        <v>1</v>
      </c>
      <c r="K616">
        <v>0</v>
      </c>
      <c r="L616">
        <v>0</v>
      </c>
      <c r="M616">
        <v>0</v>
      </c>
      <c r="N616">
        <v>1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1</v>
      </c>
      <c r="X616">
        <v>1135.26</v>
      </c>
      <c r="Y616">
        <v>1135.26</v>
      </c>
      <c r="Z616">
        <f>AVERAGEIFS(Table1[FinalElo], Table1[Country], Table1[[#This Row],[Country]])</f>
        <v>980.88090909090931</v>
      </c>
      <c r="AA616" cm="1">
        <f t="array" ref="AA616">IF(COUNTIFS(Table1[Country],Table1[[#This Row],[Country]])=1,0, _xlfn.STDEV.S(IF(Table1[Country]=Table1[[#This Row],[Country]],Table1[FinalElo])))</f>
        <v>133.41794796376408</v>
      </c>
      <c r="AB616">
        <f>IF(Table1[[#This Row],[CStd]]=0,0, (Table1[[#This Row],[FinalElo]]-Table1[[#This Row],[CAvg]]) / Table1[[#This Row],[CStd]])</f>
        <v>1.1571088692731175</v>
      </c>
      <c r="AC616" t="str">
        <f>IF(Table1[[#This Row],[CStd]]=0,"Normal", IF(ABS(Table1[[#This Row],[CZscore]])&gt;2,"Outlier","Normal"))</f>
        <v>Normal</v>
      </c>
    </row>
    <row r="617" spans="1:29" x14ac:dyDescent="0.35">
      <c r="A617" t="s">
        <v>1748</v>
      </c>
      <c r="B617">
        <v>52.616672000000001</v>
      </c>
      <c r="C617">
        <v>165</v>
      </c>
      <c r="D617" t="s">
        <v>1502</v>
      </c>
      <c r="E617">
        <v>32</v>
      </c>
      <c r="F617" t="s">
        <v>1749</v>
      </c>
      <c r="G617" t="s">
        <v>34</v>
      </c>
      <c r="H617" t="s">
        <v>29</v>
      </c>
      <c r="I617" t="s">
        <v>36</v>
      </c>
      <c r="J617">
        <v>0</v>
      </c>
      <c r="K617">
        <v>1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1</v>
      </c>
      <c r="S617">
        <v>0</v>
      </c>
      <c r="T617">
        <v>0</v>
      </c>
      <c r="U617">
        <v>0</v>
      </c>
      <c r="V617">
        <v>0</v>
      </c>
      <c r="W617">
        <v>1</v>
      </c>
      <c r="X617">
        <v>928.01</v>
      </c>
      <c r="Y617">
        <v>1000</v>
      </c>
      <c r="Z617">
        <f>AVERAGEIFS(Table1[FinalElo], Table1[Country], Table1[[#This Row],[Country]])</f>
        <v>972.07222222222242</v>
      </c>
      <c r="AA617" cm="1">
        <f t="array" ref="AA617">IF(COUNTIFS(Table1[Country],Table1[[#This Row],[Country]])=1,0, _xlfn.STDEV.S(IF(Table1[Country]=Table1[[#This Row],[Country]],Table1[FinalElo])))</f>
        <v>96.39574702467138</v>
      </c>
      <c r="AB617">
        <f>IF(Table1[[#This Row],[CStd]]=0,0, (Table1[[#This Row],[FinalElo]]-Table1[[#This Row],[CAvg]]) / Table1[[#This Row],[CStd]])</f>
        <v>-0.45709716021958119</v>
      </c>
      <c r="AC617" t="str">
        <f>IF(Table1[[#This Row],[CStd]]=0,"Normal", IF(ABS(Table1[[#This Row],[CZscore]])&gt;2,"Outlier","Normal"))</f>
        <v>Normal</v>
      </c>
    </row>
    <row r="618" spans="1:29" x14ac:dyDescent="0.35">
      <c r="A618" t="s">
        <v>1746</v>
      </c>
      <c r="B618">
        <v>61.2</v>
      </c>
      <c r="C618">
        <v>167</v>
      </c>
      <c r="D618" t="s">
        <v>1502</v>
      </c>
      <c r="E618">
        <v>36</v>
      </c>
      <c r="F618" t="s">
        <v>1747</v>
      </c>
      <c r="G618" t="s">
        <v>34</v>
      </c>
      <c r="H618" t="s">
        <v>29</v>
      </c>
      <c r="I618" t="s">
        <v>58</v>
      </c>
      <c r="J618">
        <v>3</v>
      </c>
      <c r="K618">
        <v>1</v>
      </c>
      <c r="L618">
        <v>0</v>
      </c>
      <c r="M618">
        <v>0</v>
      </c>
      <c r="N618">
        <v>0</v>
      </c>
      <c r="O618">
        <v>0</v>
      </c>
      <c r="P618">
        <v>1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4</v>
      </c>
      <c r="X618">
        <v>1153.5899999999999</v>
      </c>
      <c r="Y618">
        <v>1153.5899999999999</v>
      </c>
      <c r="Z618">
        <f>AVERAGEIFS(Table1[FinalElo], Table1[Country], Table1[[#This Row],[Country]])</f>
        <v>972.07222222222242</v>
      </c>
      <c r="AA618" cm="1">
        <f t="array" ref="AA618">IF(COUNTIFS(Table1[Country],Table1[[#This Row],[Country]])=1,0, _xlfn.STDEV.S(IF(Table1[Country]=Table1[[#This Row],[Country]],Table1[FinalElo])))</f>
        <v>96.39574702467138</v>
      </c>
      <c r="AB618">
        <f>IF(Table1[[#This Row],[CStd]]=0,0, (Table1[[#This Row],[FinalElo]]-Table1[[#This Row],[CAvg]]) / Table1[[#This Row],[CStd]])</f>
        <v>1.8830475760649494</v>
      </c>
      <c r="AC618" t="str">
        <f>IF(Table1[[#This Row],[CStd]]=0,"Normal", IF(ABS(Table1[[#This Row],[CZscore]])&gt;2,"Outlier","Normal"))</f>
        <v>Normal</v>
      </c>
    </row>
    <row r="619" spans="1:29" x14ac:dyDescent="0.35">
      <c r="A619" t="s">
        <v>1744</v>
      </c>
      <c r="B619">
        <v>57.7</v>
      </c>
      <c r="C619">
        <v>165</v>
      </c>
      <c r="D619" t="s">
        <v>89</v>
      </c>
      <c r="E619">
        <v>26</v>
      </c>
      <c r="F619" t="s">
        <v>1745</v>
      </c>
      <c r="G619" t="s">
        <v>34</v>
      </c>
      <c r="H619" t="s">
        <v>29</v>
      </c>
      <c r="I619" t="s">
        <v>58</v>
      </c>
      <c r="J619">
        <v>0</v>
      </c>
      <c r="K619">
        <v>3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1</v>
      </c>
      <c r="S619">
        <v>0</v>
      </c>
      <c r="T619">
        <v>0</v>
      </c>
      <c r="U619">
        <v>0</v>
      </c>
      <c r="V619">
        <v>0</v>
      </c>
      <c r="W619">
        <v>3</v>
      </c>
      <c r="X619">
        <v>805.76</v>
      </c>
      <c r="Y619">
        <v>1000</v>
      </c>
      <c r="Z619">
        <f>AVERAGEIFS(Table1[FinalElo], Table1[Country], Table1[[#This Row],[Country]])</f>
        <v>1012.0629025423733</v>
      </c>
      <c r="AA619" cm="1">
        <f t="array" ref="AA619">IF(COUNTIFS(Table1[Country],Table1[[#This Row],[Country]])=1,0, _xlfn.STDEV.S(IF(Table1[Country]=Table1[[#This Row],[Country]],Table1[FinalElo])))</f>
        <v>148.42180446198614</v>
      </c>
      <c r="AB619">
        <f>IF(Table1[[#This Row],[CStd]]=0,0, (Table1[[#This Row],[FinalElo]]-Table1[[#This Row],[CAvg]]) / Table1[[#This Row],[CStd]])</f>
        <v>-1.3899770541814946</v>
      </c>
      <c r="AC619" t="str">
        <f>IF(Table1[[#This Row],[CStd]]=0,"Normal", IF(ABS(Table1[[#This Row],[CZscore]])&gt;2,"Outlier","Normal"))</f>
        <v>Normal</v>
      </c>
    </row>
    <row r="620" spans="1:29" x14ac:dyDescent="0.35">
      <c r="A620" t="s">
        <v>1743</v>
      </c>
      <c r="B620">
        <v>46.719976000000003</v>
      </c>
      <c r="C620">
        <v>156</v>
      </c>
      <c r="D620" t="s">
        <v>332</v>
      </c>
      <c r="E620">
        <v>21</v>
      </c>
      <c r="F620" t="s">
        <v>337</v>
      </c>
      <c r="G620" t="s">
        <v>34</v>
      </c>
      <c r="H620" t="s">
        <v>29</v>
      </c>
      <c r="I620" t="s">
        <v>55</v>
      </c>
      <c r="J620">
        <v>0</v>
      </c>
      <c r="K620">
        <v>1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1</v>
      </c>
      <c r="X620">
        <v>945.82</v>
      </c>
      <c r="Y620">
        <v>1000</v>
      </c>
      <c r="Z620">
        <f>AVERAGEIFS(Table1[FinalElo], Table1[Country], Table1[[#This Row],[Country]])</f>
        <v>975.5858333333332</v>
      </c>
      <c r="AA620" cm="1">
        <f t="array" ref="AA620">IF(COUNTIFS(Table1[Country],Table1[[#This Row],[Country]])=1,0, _xlfn.STDEV.S(IF(Table1[Country]=Table1[[#This Row],[Country]],Table1[FinalElo])))</f>
        <v>72.69168633948992</v>
      </c>
      <c r="AB620">
        <f>IF(Table1[[#This Row],[CStd]]=0,0, (Table1[[#This Row],[FinalElo]]-Table1[[#This Row],[CAvg]]) / Table1[[#This Row],[CStd]])</f>
        <v>-0.40948057243188196</v>
      </c>
      <c r="AC620" t="str">
        <f>IF(Table1[[#This Row],[CStd]]=0,"Normal", IF(ABS(Table1[[#This Row],[CZscore]])&gt;2,"Outlier","Normal"))</f>
        <v>Normal</v>
      </c>
    </row>
    <row r="621" spans="1:29" x14ac:dyDescent="0.35">
      <c r="A621" t="s">
        <v>1741</v>
      </c>
      <c r="B621">
        <v>51.4</v>
      </c>
      <c r="C621">
        <v>165</v>
      </c>
      <c r="D621" t="s">
        <v>89</v>
      </c>
      <c r="E621">
        <v>20</v>
      </c>
      <c r="F621" t="s">
        <v>1742</v>
      </c>
      <c r="G621" t="s">
        <v>34</v>
      </c>
      <c r="H621" t="s">
        <v>29</v>
      </c>
      <c r="I621" t="s">
        <v>55</v>
      </c>
      <c r="J621">
        <v>1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1</v>
      </c>
      <c r="X621">
        <v>1071.99</v>
      </c>
      <c r="Y621">
        <v>1071.99</v>
      </c>
      <c r="Z621">
        <f>AVERAGEIFS(Table1[FinalElo], Table1[Country], Table1[[#This Row],[Country]])</f>
        <v>1012.0629025423733</v>
      </c>
      <c r="AA621" cm="1">
        <f t="array" ref="AA621">IF(COUNTIFS(Table1[Country],Table1[[#This Row],[Country]])=1,0, _xlfn.STDEV.S(IF(Table1[Country]=Table1[[#This Row],[Country]],Table1[FinalElo])))</f>
        <v>148.42180446198614</v>
      </c>
      <c r="AB621">
        <f>IF(Table1[[#This Row],[CStd]]=0,0, (Table1[[#This Row],[FinalElo]]-Table1[[#This Row],[CAvg]]) / Table1[[#This Row],[CStd]])</f>
        <v>0.40376208654015694</v>
      </c>
      <c r="AC621" t="str">
        <f>IF(Table1[[#This Row],[CStd]]=0,"Normal", IF(ABS(Table1[[#This Row],[CZscore]])&gt;2,"Outlier","Normal"))</f>
        <v>Normal</v>
      </c>
    </row>
    <row r="622" spans="1:29" x14ac:dyDescent="0.35">
      <c r="A622" t="s">
        <v>1739</v>
      </c>
      <c r="B622">
        <v>54.431040000000003</v>
      </c>
      <c r="C622">
        <v>168</v>
      </c>
      <c r="D622" t="s">
        <v>247</v>
      </c>
      <c r="E622">
        <v>23</v>
      </c>
      <c r="F622" t="s">
        <v>1740</v>
      </c>
      <c r="G622" t="s">
        <v>34</v>
      </c>
      <c r="H622" t="s">
        <v>29</v>
      </c>
      <c r="I622" t="s">
        <v>36</v>
      </c>
      <c r="J622">
        <v>1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1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1</v>
      </c>
      <c r="X622">
        <v>1100</v>
      </c>
      <c r="Y622">
        <v>1100</v>
      </c>
      <c r="Z622">
        <f>AVERAGEIFS(Table1[FinalElo], Table1[Country], Table1[[#This Row],[Country]])</f>
        <v>1050.0176190476191</v>
      </c>
      <c r="AA622" cm="1">
        <f t="array" ref="AA622">IF(COUNTIFS(Table1[Country],Table1[[#This Row],[Country]])=1,0, _xlfn.STDEV.S(IF(Table1[Country]=Table1[[#This Row],[Country]],Table1[FinalElo])))</f>
        <v>127.00578096703971</v>
      </c>
      <c r="AB622">
        <f>IF(Table1[[#This Row],[CStd]]=0,0, (Table1[[#This Row],[FinalElo]]-Table1[[#This Row],[CAvg]]) / Table1[[#This Row],[CStd]])</f>
        <v>0.39354414083995332</v>
      </c>
      <c r="AC622" t="str">
        <f>IF(Table1[[#This Row],[CStd]]=0,"Normal", IF(ABS(Table1[[#This Row],[CZscore]])&gt;2,"Outlier","Normal"))</f>
        <v>Normal</v>
      </c>
    </row>
    <row r="623" spans="1:29" x14ac:dyDescent="0.35">
      <c r="A623" t="s">
        <v>1738</v>
      </c>
      <c r="B623">
        <v>60.6</v>
      </c>
      <c r="C623">
        <v>175</v>
      </c>
      <c r="D623" t="s">
        <v>89</v>
      </c>
      <c r="E623">
        <v>29</v>
      </c>
      <c r="F623" t="s">
        <v>535</v>
      </c>
      <c r="G623" t="s">
        <v>34</v>
      </c>
      <c r="H623" t="s">
        <v>29</v>
      </c>
      <c r="I623" t="s">
        <v>58</v>
      </c>
      <c r="J623">
        <v>0</v>
      </c>
      <c r="K623">
        <v>1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1</v>
      </c>
      <c r="W623">
        <v>1</v>
      </c>
      <c r="X623">
        <v>900</v>
      </c>
      <c r="Y623">
        <v>1000</v>
      </c>
      <c r="Z623">
        <f>AVERAGEIFS(Table1[FinalElo], Table1[Country], Table1[[#This Row],[Country]])</f>
        <v>1012.0629025423733</v>
      </c>
      <c r="AA623" cm="1">
        <f t="array" ref="AA623">IF(COUNTIFS(Table1[Country],Table1[[#This Row],[Country]])=1,0, _xlfn.STDEV.S(IF(Table1[Country]=Table1[[#This Row],[Country]],Table1[FinalElo])))</f>
        <v>148.42180446198614</v>
      </c>
      <c r="AB623">
        <f>IF(Table1[[#This Row],[CStd]]=0,0, (Table1[[#This Row],[FinalElo]]-Table1[[#This Row],[CAvg]]) / Table1[[#This Row],[CStd]])</f>
        <v>-0.75502991591154589</v>
      </c>
      <c r="AC623" t="str">
        <f>IF(Table1[[#This Row],[CStd]]=0,"Normal", IF(ABS(Table1[[#This Row],[CZscore]])&gt;2,"Outlier","Normal"))</f>
        <v>Normal</v>
      </c>
    </row>
    <row r="624" spans="1:29" x14ac:dyDescent="0.35">
      <c r="A624" t="s">
        <v>1736</v>
      </c>
      <c r="B624">
        <v>76.900000000000006</v>
      </c>
      <c r="C624">
        <v>168</v>
      </c>
      <c r="D624" t="s">
        <v>332</v>
      </c>
      <c r="E624">
        <v>35</v>
      </c>
      <c r="F624" t="s">
        <v>1737</v>
      </c>
      <c r="G624" t="s">
        <v>34</v>
      </c>
      <c r="H624" t="s">
        <v>29</v>
      </c>
      <c r="I624" t="s">
        <v>30</v>
      </c>
      <c r="J624">
        <v>1</v>
      </c>
      <c r="K624">
        <v>2</v>
      </c>
      <c r="L624">
        <v>0</v>
      </c>
      <c r="M624">
        <v>0</v>
      </c>
      <c r="N624">
        <v>0</v>
      </c>
      <c r="O624">
        <v>0</v>
      </c>
      <c r="P624">
        <v>1</v>
      </c>
      <c r="Q624">
        <v>0</v>
      </c>
      <c r="R624">
        <v>1</v>
      </c>
      <c r="S624">
        <v>0</v>
      </c>
      <c r="T624">
        <v>0</v>
      </c>
      <c r="U624">
        <v>1</v>
      </c>
      <c r="V624">
        <v>0</v>
      </c>
      <c r="W624">
        <v>3</v>
      </c>
      <c r="X624">
        <v>977.39</v>
      </c>
      <c r="Y624">
        <v>1103.08</v>
      </c>
      <c r="Z624">
        <f>AVERAGEIFS(Table1[FinalElo], Table1[Country], Table1[[#This Row],[Country]])</f>
        <v>975.5858333333332</v>
      </c>
      <c r="AA624" cm="1">
        <f t="array" ref="AA624">IF(COUNTIFS(Table1[Country],Table1[[#This Row],[Country]])=1,0, _xlfn.STDEV.S(IF(Table1[Country]=Table1[[#This Row],[Country]],Table1[FinalElo])))</f>
        <v>72.69168633948992</v>
      </c>
      <c r="AB624">
        <f>IF(Table1[[#This Row],[CStd]]=0,0, (Table1[[#This Row],[FinalElo]]-Table1[[#This Row],[CAvg]]) / Table1[[#This Row],[CStd]])</f>
        <v>2.4819436135252657E-2</v>
      </c>
      <c r="AC624" t="str">
        <f>IF(Table1[[#This Row],[CStd]]=0,"Normal", IF(ABS(Table1[[#This Row],[CZscore]])&gt;2,"Outlier","Normal"))</f>
        <v>Normal</v>
      </c>
    </row>
    <row r="625" spans="1:29" x14ac:dyDescent="0.35">
      <c r="A625" t="s">
        <v>1734</v>
      </c>
      <c r="B625">
        <v>52.16</v>
      </c>
      <c r="C625">
        <v>158</v>
      </c>
      <c r="D625" t="s">
        <v>82</v>
      </c>
      <c r="E625">
        <v>31</v>
      </c>
      <c r="F625" t="s">
        <v>1735</v>
      </c>
      <c r="G625" t="s">
        <v>54</v>
      </c>
      <c r="H625" t="s">
        <v>29</v>
      </c>
      <c r="I625" t="s">
        <v>36</v>
      </c>
      <c r="J625">
        <v>0</v>
      </c>
      <c r="K625">
        <v>1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1</v>
      </c>
      <c r="T625">
        <v>0</v>
      </c>
      <c r="U625">
        <v>0</v>
      </c>
      <c r="V625">
        <v>0</v>
      </c>
      <c r="W625">
        <v>1</v>
      </c>
      <c r="X625">
        <v>900</v>
      </c>
      <c r="Y625">
        <v>1000</v>
      </c>
      <c r="Z625">
        <f>AVERAGEIFS(Table1[FinalElo], Table1[Country], Table1[[#This Row],[Country]])</f>
        <v>1012.5275373134326</v>
      </c>
      <c r="AA625" cm="1">
        <f t="array" ref="AA625">IF(COUNTIFS(Table1[Country],Table1[[#This Row],[Country]])=1,0, _xlfn.STDEV.S(IF(Table1[Country]=Table1[[#This Row],[Country]],Table1[FinalElo])))</f>
        <v>135.61062237674741</v>
      </c>
      <c r="AB625">
        <f>IF(Table1[[#This Row],[CStd]]=0,0, (Table1[[#This Row],[FinalElo]]-Table1[[#This Row],[CAvg]]) / Table1[[#This Row],[CStd]])</f>
        <v>-0.82978409317238888</v>
      </c>
      <c r="AC625" t="str">
        <f>IF(Table1[[#This Row],[CStd]]=0,"Normal", IF(ABS(Table1[[#This Row],[CZscore]])&gt;2,"Outlier","Normal"))</f>
        <v>Normal</v>
      </c>
    </row>
    <row r="626" spans="1:29" x14ac:dyDescent="0.35">
      <c r="A626" t="s">
        <v>1732</v>
      </c>
      <c r="B626">
        <v>61.23</v>
      </c>
      <c r="C626">
        <v>171</v>
      </c>
      <c r="D626" t="s">
        <v>71</v>
      </c>
      <c r="E626">
        <v>32</v>
      </c>
      <c r="F626" t="s">
        <v>1733</v>
      </c>
      <c r="G626" t="s">
        <v>28</v>
      </c>
      <c r="H626" t="s">
        <v>29</v>
      </c>
      <c r="I626" t="s">
        <v>73</v>
      </c>
      <c r="J626">
        <v>0</v>
      </c>
      <c r="K626">
        <v>2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2</v>
      </c>
      <c r="V626">
        <v>0</v>
      </c>
      <c r="W626">
        <v>2</v>
      </c>
      <c r="X626">
        <v>921.85</v>
      </c>
      <c r="Y626">
        <v>1000</v>
      </c>
      <c r="Z626">
        <f>AVERAGEIFS(Table1[FinalElo], Table1[Country], Table1[[#This Row],[Country]])</f>
        <v>991.47826086956536</v>
      </c>
      <c r="AA626" cm="1">
        <f t="array" ref="AA626">IF(COUNTIFS(Table1[Country],Table1[[#This Row],[Country]])=1,0, _xlfn.STDEV.S(IF(Table1[Country]=Table1[[#This Row],[Country]],Table1[FinalElo])))</f>
        <v>164.61500422203164</v>
      </c>
      <c r="AB626">
        <f>IF(Table1[[#This Row],[CStd]]=0,0, (Table1[[#This Row],[FinalElo]]-Table1[[#This Row],[CAvg]]) / Table1[[#This Row],[CStd]])</f>
        <v>-0.42297639391152458</v>
      </c>
      <c r="AC626" t="str">
        <f>IF(Table1[[#This Row],[CStd]]=0,"Normal", IF(ABS(Table1[[#This Row],[CZscore]])&gt;2,"Outlier","Normal"))</f>
        <v>Normal</v>
      </c>
    </row>
    <row r="627" spans="1:29" x14ac:dyDescent="0.35">
      <c r="A627" t="s">
        <v>1727</v>
      </c>
      <c r="B627">
        <v>59.1</v>
      </c>
      <c r="C627">
        <v>164</v>
      </c>
      <c r="D627" t="s">
        <v>82</v>
      </c>
      <c r="E627">
        <v>37</v>
      </c>
      <c r="F627" t="s">
        <v>1728</v>
      </c>
      <c r="G627" t="s">
        <v>54</v>
      </c>
      <c r="H627" t="s">
        <v>29</v>
      </c>
      <c r="I627" t="s">
        <v>58</v>
      </c>
      <c r="J627">
        <v>0</v>
      </c>
      <c r="K627">
        <v>1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1</v>
      </c>
      <c r="T627">
        <v>0</v>
      </c>
      <c r="U627">
        <v>0</v>
      </c>
      <c r="V627">
        <v>0</v>
      </c>
      <c r="W627">
        <v>1</v>
      </c>
      <c r="X627">
        <v>891.96</v>
      </c>
      <c r="Y627">
        <v>1000</v>
      </c>
      <c r="Z627">
        <f>AVERAGEIFS(Table1[FinalElo], Table1[Country], Table1[[#This Row],[Country]])</f>
        <v>1012.5275373134326</v>
      </c>
      <c r="AA627" cm="1">
        <f t="array" ref="AA627">IF(COUNTIFS(Table1[Country],Table1[[#This Row],[Country]])=1,0, _xlfn.STDEV.S(IF(Table1[Country]=Table1[[#This Row],[Country]],Table1[FinalElo])))</f>
        <v>135.61062237674741</v>
      </c>
      <c r="AB627">
        <f>IF(Table1[[#This Row],[CStd]]=0,0, (Table1[[#This Row],[FinalElo]]-Table1[[#This Row],[CAvg]]) / Table1[[#This Row],[CStd]])</f>
        <v>-0.88907148422693028</v>
      </c>
      <c r="AC627" t="str">
        <f>IF(Table1[[#This Row],[CStd]]=0,"Normal", IF(ABS(Table1[[#This Row],[CZscore]])&gt;2,"Outlier","Normal"))</f>
        <v>Normal</v>
      </c>
    </row>
    <row r="628" spans="1:29" x14ac:dyDescent="0.35">
      <c r="A628" t="s">
        <v>1726</v>
      </c>
      <c r="B628">
        <v>59.874144000000001</v>
      </c>
      <c r="C628">
        <v>175</v>
      </c>
      <c r="D628" t="s">
        <v>89</v>
      </c>
      <c r="E628">
        <v>28</v>
      </c>
      <c r="F628" t="s">
        <v>535</v>
      </c>
      <c r="G628" t="s">
        <v>34</v>
      </c>
      <c r="H628" t="s">
        <v>29</v>
      </c>
      <c r="I628" t="s">
        <v>58</v>
      </c>
      <c r="J628">
        <v>2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2</v>
      </c>
      <c r="X628">
        <v>1171.99</v>
      </c>
      <c r="Y628">
        <v>1171.99</v>
      </c>
      <c r="Z628">
        <f>AVERAGEIFS(Table1[FinalElo], Table1[Country], Table1[[#This Row],[Country]])</f>
        <v>1012.0629025423733</v>
      </c>
      <c r="AA628" cm="1">
        <f t="array" ref="AA628">IF(COUNTIFS(Table1[Country],Table1[[#This Row],[Country]])=1,0, _xlfn.STDEV.S(IF(Table1[Country]=Table1[[#This Row],[Country]],Table1[FinalElo])))</f>
        <v>148.42180446198614</v>
      </c>
      <c r="AB628">
        <f>IF(Table1[[#This Row],[CStd]]=0,0, (Table1[[#This Row],[FinalElo]]-Table1[[#This Row],[CAvg]]) / Table1[[#This Row],[CStd]])</f>
        <v>1.0775175388639564</v>
      </c>
      <c r="AC628" t="str">
        <f>IF(Table1[[#This Row],[CStd]]=0,"Normal", IF(ABS(Table1[[#This Row],[CZscore]])&gt;2,"Outlier","Normal"))</f>
        <v>Normal</v>
      </c>
    </row>
    <row r="629" spans="1:29" x14ac:dyDescent="0.35">
      <c r="A629" t="s">
        <v>1724</v>
      </c>
      <c r="B629">
        <v>55.8</v>
      </c>
      <c r="C629">
        <v>170</v>
      </c>
      <c r="D629" t="s">
        <v>82</v>
      </c>
      <c r="E629">
        <v>36</v>
      </c>
      <c r="F629" t="s">
        <v>1725</v>
      </c>
      <c r="G629" t="s">
        <v>40</v>
      </c>
      <c r="H629" t="s">
        <v>29</v>
      </c>
      <c r="I629" t="s">
        <v>36</v>
      </c>
      <c r="J629">
        <v>0</v>
      </c>
      <c r="K629">
        <v>2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1</v>
      </c>
      <c r="V629">
        <v>0</v>
      </c>
      <c r="W629">
        <v>2</v>
      </c>
      <c r="X629">
        <v>876.28</v>
      </c>
      <c r="Y629">
        <v>1000</v>
      </c>
      <c r="Z629">
        <f>AVERAGEIFS(Table1[FinalElo], Table1[Country], Table1[[#This Row],[Country]])</f>
        <v>1012.5275373134326</v>
      </c>
      <c r="AA629" cm="1">
        <f t="array" ref="AA629">IF(COUNTIFS(Table1[Country],Table1[[#This Row],[Country]])=1,0, _xlfn.STDEV.S(IF(Table1[Country]=Table1[[#This Row],[Country]],Table1[FinalElo])))</f>
        <v>135.61062237674741</v>
      </c>
      <c r="AB629">
        <f>IF(Table1[[#This Row],[CStd]]=0,0, (Table1[[#This Row],[FinalElo]]-Table1[[#This Row],[CAvg]]) / Table1[[#This Row],[CStd]])</f>
        <v>-1.0046966448905144</v>
      </c>
      <c r="AC629" t="str">
        <f>IF(Table1[[#This Row],[CStd]]=0,"Normal", IF(ABS(Table1[[#This Row],[CZscore]])&gt;2,"Outlier","Normal"))</f>
        <v>Normal</v>
      </c>
    </row>
    <row r="630" spans="1:29" x14ac:dyDescent="0.35">
      <c r="A630" t="s">
        <v>1722</v>
      </c>
      <c r="B630">
        <v>52.2</v>
      </c>
      <c r="C630">
        <v>163</v>
      </c>
      <c r="D630" t="s">
        <v>513</v>
      </c>
      <c r="E630">
        <v>26</v>
      </c>
      <c r="F630" t="s">
        <v>1723</v>
      </c>
      <c r="G630" t="s">
        <v>40</v>
      </c>
      <c r="H630" t="s">
        <v>29</v>
      </c>
      <c r="I630" t="s">
        <v>36</v>
      </c>
      <c r="J630">
        <v>0</v>
      </c>
      <c r="K630">
        <v>1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1</v>
      </c>
      <c r="S630">
        <v>0</v>
      </c>
      <c r="T630">
        <v>0</v>
      </c>
      <c r="U630">
        <v>0</v>
      </c>
      <c r="V630">
        <v>0</v>
      </c>
      <c r="W630">
        <v>1</v>
      </c>
      <c r="X630">
        <v>900</v>
      </c>
      <c r="Y630">
        <v>1000</v>
      </c>
      <c r="Z630">
        <f>AVERAGEIFS(Table1[FinalElo], Table1[Country], Table1[[#This Row],[Country]])</f>
        <v>991.92857142857144</v>
      </c>
      <c r="AA630" cm="1">
        <f t="array" ref="AA630">IF(COUNTIFS(Table1[Country],Table1[[#This Row],[Country]])=1,0, _xlfn.STDEV.S(IF(Table1[Country]=Table1[[#This Row],[Country]],Table1[FinalElo])))</f>
        <v>154.84924955929111</v>
      </c>
      <c r="AB630">
        <f>IF(Table1[[#This Row],[CStd]]=0,0, (Table1[[#This Row],[FinalElo]]-Table1[[#This Row],[CAvg]]) / Table1[[#This Row],[CStd]])</f>
        <v>-0.59366494632815381</v>
      </c>
      <c r="AC630" t="str">
        <f>IF(Table1[[#This Row],[CStd]]=0,"Normal", IF(ABS(Table1[[#This Row],[CZscore]])&gt;2,"Outlier","Normal"))</f>
        <v>Normal</v>
      </c>
    </row>
    <row r="631" spans="1:29" x14ac:dyDescent="0.35">
      <c r="A631" t="s">
        <v>1721</v>
      </c>
      <c r="B631">
        <v>56.7</v>
      </c>
      <c r="C631">
        <v>175</v>
      </c>
      <c r="D631" t="s">
        <v>89</v>
      </c>
      <c r="E631">
        <v>26</v>
      </c>
      <c r="F631" t="s">
        <v>110</v>
      </c>
      <c r="G631" t="s">
        <v>34</v>
      </c>
      <c r="H631" t="s">
        <v>29</v>
      </c>
      <c r="I631" t="s">
        <v>58</v>
      </c>
      <c r="J631">
        <v>10</v>
      </c>
      <c r="K631">
        <v>3</v>
      </c>
      <c r="L631">
        <v>0</v>
      </c>
      <c r="M631">
        <v>2</v>
      </c>
      <c r="N631">
        <v>0</v>
      </c>
      <c r="O631">
        <v>0</v>
      </c>
      <c r="P631">
        <v>4</v>
      </c>
      <c r="Q631">
        <v>1</v>
      </c>
      <c r="R631">
        <v>0</v>
      </c>
      <c r="S631">
        <v>0</v>
      </c>
      <c r="T631">
        <v>0</v>
      </c>
      <c r="U631">
        <v>1</v>
      </c>
      <c r="V631">
        <v>0</v>
      </c>
      <c r="W631">
        <v>13</v>
      </c>
      <c r="X631">
        <v>1329.45</v>
      </c>
      <c r="Y631">
        <v>1505.1</v>
      </c>
      <c r="Z631">
        <f>AVERAGEIFS(Table1[FinalElo], Table1[Country], Table1[[#This Row],[Country]])</f>
        <v>1012.0629025423733</v>
      </c>
      <c r="AA631" cm="1">
        <f t="array" ref="AA631">IF(COUNTIFS(Table1[Country],Table1[[#This Row],[Country]])=1,0, _xlfn.STDEV.S(IF(Table1[Country]=Table1[[#This Row],[Country]],Table1[FinalElo])))</f>
        <v>148.42180446198614</v>
      </c>
      <c r="AB631">
        <f>IF(Table1[[#This Row],[CStd]]=0,0, (Table1[[#This Row],[FinalElo]]-Table1[[#This Row],[CAvg]]) / Table1[[#This Row],[CStd]])</f>
        <v>2.1384128740930115</v>
      </c>
      <c r="AC631" t="str">
        <f>IF(Table1[[#This Row],[CStd]]=0,"Normal", IF(ABS(Table1[[#This Row],[CZscore]])&gt;2,"Outlier","Normal"))</f>
        <v>Outlier</v>
      </c>
    </row>
    <row r="632" spans="1:29" x14ac:dyDescent="0.35">
      <c r="A632" t="s">
        <v>1720</v>
      </c>
      <c r="B632">
        <v>50.3</v>
      </c>
      <c r="C632">
        <v>172</v>
      </c>
      <c r="D632" t="s">
        <v>26</v>
      </c>
      <c r="E632">
        <v>16</v>
      </c>
      <c r="F632" t="s">
        <v>1058</v>
      </c>
      <c r="G632" t="s">
        <v>34</v>
      </c>
      <c r="H632" t="s">
        <v>29</v>
      </c>
      <c r="I632" t="s">
        <v>55</v>
      </c>
      <c r="J632">
        <v>2</v>
      </c>
      <c r="K632">
        <v>1</v>
      </c>
      <c r="L632">
        <v>0</v>
      </c>
      <c r="M632">
        <v>1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1</v>
      </c>
      <c r="W632">
        <v>3</v>
      </c>
      <c r="X632">
        <v>1114.0999999999999</v>
      </c>
      <c r="Y632">
        <v>1114.0999999999999</v>
      </c>
      <c r="Z632">
        <f>AVERAGEIFS(Table1[FinalElo], Table1[Country], Table1[[#This Row],[Country]])</f>
        <v>979.07416666666666</v>
      </c>
      <c r="AA632" cm="1">
        <f t="array" ref="AA632">IF(COUNTIFS(Table1[Country],Table1[[#This Row],[Country]])=1,0, _xlfn.STDEV.S(IF(Table1[Country]=Table1[[#This Row],[Country]],Table1[FinalElo])))</f>
        <v>130.18126931728986</v>
      </c>
      <c r="AB632">
        <f>IF(Table1[[#This Row],[CStd]]=0,0, (Table1[[#This Row],[FinalElo]]-Table1[[#This Row],[CAvg]]) / Table1[[#This Row],[CStd]])</f>
        <v>1.0372139866314851</v>
      </c>
      <c r="AC632" t="str">
        <f>IF(Table1[[#This Row],[CStd]]=0,"Normal", IF(ABS(Table1[[#This Row],[CZscore]])&gt;2,"Outlier","Normal"))</f>
        <v>Normal</v>
      </c>
    </row>
    <row r="633" spans="1:29" x14ac:dyDescent="0.35">
      <c r="A633" t="s">
        <v>1718</v>
      </c>
      <c r="B633">
        <v>69.8</v>
      </c>
      <c r="C633">
        <v>180</v>
      </c>
      <c r="D633" t="s">
        <v>38</v>
      </c>
      <c r="E633">
        <v>25</v>
      </c>
      <c r="F633" t="s">
        <v>1719</v>
      </c>
      <c r="G633" t="s">
        <v>40</v>
      </c>
      <c r="H633" t="s">
        <v>29</v>
      </c>
      <c r="I633" t="s">
        <v>48</v>
      </c>
      <c r="J633">
        <v>0</v>
      </c>
      <c r="K633">
        <v>1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1</v>
      </c>
      <c r="T633">
        <v>0</v>
      </c>
      <c r="U633">
        <v>0</v>
      </c>
      <c r="V633">
        <v>0</v>
      </c>
      <c r="W633">
        <v>1</v>
      </c>
      <c r="X633">
        <v>900</v>
      </c>
      <c r="Y633">
        <v>1000</v>
      </c>
      <c r="Z633">
        <f>AVERAGEIFS(Table1[FinalElo], Table1[Country], Table1[[#This Row],[Country]])</f>
        <v>1057.4495402298851</v>
      </c>
      <c r="AA633" cm="1">
        <f t="array" ref="AA633">IF(COUNTIFS(Table1[Country],Table1[[#This Row],[Country]])=1,0, _xlfn.STDEV.S(IF(Table1[Country]=Table1[[#This Row],[Country]],Table1[FinalElo])))</f>
        <v>156.98667602259493</v>
      </c>
      <c r="AB633">
        <f>IF(Table1[[#This Row],[CStd]]=0,0, (Table1[[#This Row],[FinalElo]]-Table1[[#This Row],[CAvg]]) / Table1[[#This Row],[CStd]])</f>
        <v>-1.0029484298860085</v>
      </c>
      <c r="AC633" t="str">
        <f>IF(Table1[[#This Row],[CStd]]=0,"Normal", IF(ABS(Table1[[#This Row],[CZscore]])&gt;2,"Outlier","Normal"))</f>
        <v>Normal</v>
      </c>
    </row>
    <row r="634" spans="1:29" x14ac:dyDescent="0.35">
      <c r="A634" t="s">
        <v>1717</v>
      </c>
      <c r="B634">
        <v>47.63</v>
      </c>
      <c r="C634">
        <v>165</v>
      </c>
      <c r="D634" t="s">
        <v>82</v>
      </c>
      <c r="E634">
        <v>24</v>
      </c>
      <c r="F634" t="s">
        <v>375</v>
      </c>
      <c r="G634" t="s">
        <v>34</v>
      </c>
      <c r="H634" t="s">
        <v>29</v>
      </c>
      <c r="I634" t="s">
        <v>55</v>
      </c>
      <c r="J634">
        <v>2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1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2</v>
      </c>
      <c r="X634">
        <v>1287.3699999999999</v>
      </c>
      <c r="Y634">
        <v>1287.3699999999999</v>
      </c>
      <c r="Z634">
        <f>AVERAGEIFS(Table1[FinalElo], Table1[Country], Table1[[#This Row],[Country]])</f>
        <v>1012.5275373134326</v>
      </c>
      <c r="AA634" cm="1">
        <f t="array" ref="AA634">IF(COUNTIFS(Table1[Country],Table1[[#This Row],[Country]])=1,0, _xlfn.STDEV.S(IF(Table1[Country]=Table1[[#This Row],[Country]],Table1[FinalElo])))</f>
        <v>135.61062237674741</v>
      </c>
      <c r="AB634">
        <f>IF(Table1[[#This Row],[CStd]]=0,0, (Table1[[#This Row],[FinalElo]]-Table1[[#This Row],[CAvg]]) / Table1[[#This Row],[CStd]])</f>
        <v>2.0267030551855454</v>
      </c>
      <c r="AC634" t="str">
        <f>IF(Table1[[#This Row],[CStd]]=0,"Normal", IF(ABS(Table1[[#This Row],[CZscore]])&gt;2,"Outlier","Normal"))</f>
        <v>Outlier</v>
      </c>
    </row>
    <row r="635" spans="1:29" x14ac:dyDescent="0.35">
      <c r="A635" t="s">
        <v>1716</v>
      </c>
      <c r="B635">
        <v>65.77</v>
      </c>
      <c r="C635">
        <v>177</v>
      </c>
      <c r="D635" t="s">
        <v>569</v>
      </c>
      <c r="E635">
        <v>27</v>
      </c>
      <c r="F635" t="s">
        <v>570</v>
      </c>
      <c r="G635" t="s">
        <v>40</v>
      </c>
      <c r="H635" t="s">
        <v>29</v>
      </c>
      <c r="I635" t="s">
        <v>48</v>
      </c>
      <c r="J635">
        <v>4</v>
      </c>
      <c r="K635">
        <v>1</v>
      </c>
      <c r="L635">
        <v>0</v>
      </c>
      <c r="M635">
        <v>2</v>
      </c>
      <c r="N635">
        <v>2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1</v>
      </c>
      <c r="V635">
        <v>0</v>
      </c>
      <c r="W635">
        <v>5</v>
      </c>
      <c r="X635">
        <v>1309.48</v>
      </c>
      <c r="Y635">
        <v>1309.48</v>
      </c>
      <c r="Z635">
        <f>AVERAGEIFS(Table1[FinalElo], Table1[Country], Table1[[#This Row],[Country]])</f>
        <v>1273.575</v>
      </c>
      <c r="AA635" cm="1">
        <f t="array" ref="AA635">IF(COUNTIFS(Table1[Country],Table1[[#This Row],[Country]])=1,0, _xlfn.STDEV.S(IF(Table1[Country]=Table1[[#This Row],[Country]],Table1[FinalElo])))</f>
        <v>50.77733795700594</v>
      </c>
      <c r="AB635">
        <f>IF(Table1[[#This Row],[CStd]]=0,0, (Table1[[#This Row],[FinalElo]]-Table1[[#This Row],[CAvg]]) / Table1[[#This Row],[CStd]])</f>
        <v>0.70710678118654746</v>
      </c>
      <c r="AC635" t="str">
        <f>IF(Table1[[#This Row],[CStd]]=0,"Normal", IF(ABS(Table1[[#This Row],[CZscore]])&gt;2,"Outlier","Normal"))</f>
        <v>Normal</v>
      </c>
    </row>
    <row r="636" spans="1:29" x14ac:dyDescent="0.35">
      <c r="A636" t="s">
        <v>85</v>
      </c>
      <c r="B636">
        <v>61.23</v>
      </c>
      <c r="C636">
        <v>195</v>
      </c>
      <c r="D636" t="s">
        <v>86</v>
      </c>
      <c r="E636">
        <v>21</v>
      </c>
      <c r="F636" t="s">
        <v>87</v>
      </c>
      <c r="G636" t="s">
        <v>34</v>
      </c>
      <c r="H636" t="s">
        <v>29</v>
      </c>
      <c r="I636" t="s">
        <v>73</v>
      </c>
      <c r="J636">
        <v>7</v>
      </c>
      <c r="K636">
        <v>1</v>
      </c>
      <c r="L636">
        <v>0</v>
      </c>
      <c r="M636">
        <v>1</v>
      </c>
      <c r="N636">
        <v>0</v>
      </c>
      <c r="O636">
        <v>0</v>
      </c>
      <c r="P636">
        <v>4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8</v>
      </c>
      <c r="X636">
        <v>1715.78</v>
      </c>
      <c r="Y636">
        <v>1715.78</v>
      </c>
      <c r="Z636">
        <f>AVERAGEIFS(Table1[FinalElo], Table1[Country], Table1[[#This Row],[Country]])</f>
        <v>1715.78</v>
      </c>
      <c r="AA636" cm="1">
        <f t="array" ref="AA636">IF(COUNTIFS(Table1[Country],Table1[[#This Row],[Country]])=1,0, _xlfn.STDEV.S(IF(Table1[Country]=Table1[[#This Row],[Country]],Table1[FinalElo])))</f>
        <v>0</v>
      </c>
      <c r="AB636">
        <f>IF(Table1[[#This Row],[CStd]]=0,0, (Table1[[#This Row],[FinalElo]]-Table1[[#This Row],[CAvg]]) / Table1[[#This Row],[CStd]])</f>
        <v>0</v>
      </c>
      <c r="AC636" t="str">
        <f>IF(Table1[[#This Row],[CStd]]=0,"Normal", IF(ABS(Table1[[#This Row],[CZscore]])&gt;2,"Outlier","Normal"))</f>
        <v>Normal</v>
      </c>
    </row>
    <row r="637" spans="1:29" x14ac:dyDescent="0.35">
      <c r="A637" t="s">
        <v>1713</v>
      </c>
      <c r="B637">
        <v>65.8</v>
      </c>
      <c r="C637">
        <v>176</v>
      </c>
      <c r="D637" t="s">
        <v>513</v>
      </c>
      <c r="E637">
        <v>36</v>
      </c>
      <c r="F637" t="s">
        <v>1714</v>
      </c>
      <c r="G637" t="s">
        <v>40</v>
      </c>
      <c r="H637" t="s">
        <v>29</v>
      </c>
      <c r="I637" t="s">
        <v>48</v>
      </c>
      <c r="J637">
        <v>0</v>
      </c>
      <c r="K637">
        <v>2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1</v>
      </c>
      <c r="S637">
        <v>0</v>
      </c>
      <c r="T637">
        <v>0</v>
      </c>
      <c r="U637">
        <v>1</v>
      </c>
      <c r="V637">
        <v>0</v>
      </c>
      <c r="W637">
        <v>2</v>
      </c>
      <c r="X637">
        <v>856.44</v>
      </c>
      <c r="Y637">
        <v>1000</v>
      </c>
      <c r="Z637">
        <f>AVERAGEIFS(Table1[FinalElo], Table1[Country], Table1[[#This Row],[Country]])</f>
        <v>991.92857142857144</v>
      </c>
      <c r="AA637" cm="1">
        <f t="array" ref="AA637">IF(COUNTIFS(Table1[Country],Table1[[#This Row],[Country]])=1,0, _xlfn.STDEV.S(IF(Table1[Country]=Table1[[#This Row],[Country]],Table1[FinalElo])))</f>
        <v>154.84924955929111</v>
      </c>
      <c r="AB637">
        <f>IF(Table1[[#This Row],[CStd]]=0,0, (Table1[[#This Row],[FinalElo]]-Table1[[#This Row],[CAvg]]) / Table1[[#This Row],[CStd]])</f>
        <v>-0.87497079781903242</v>
      </c>
      <c r="AC637" t="str">
        <f>IF(Table1[[#This Row],[CStd]]=0,"Normal", IF(ABS(Table1[[#This Row],[CZscore]])&gt;2,"Outlier","Normal"))</f>
        <v>Normal</v>
      </c>
    </row>
    <row r="638" spans="1:29" x14ac:dyDescent="0.35">
      <c r="A638" t="s">
        <v>1711</v>
      </c>
      <c r="B638">
        <v>77.099999999999994</v>
      </c>
      <c r="C638">
        <v>182</v>
      </c>
      <c r="D638" t="s">
        <v>226</v>
      </c>
      <c r="E638">
        <v>36</v>
      </c>
      <c r="F638" t="s">
        <v>1712</v>
      </c>
      <c r="G638" t="s">
        <v>28</v>
      </c>
      <c r="H638" t="s">
        <v>29</v>
      </c>
      <c r="I638" t="s">
        <v>30</v>
      </c>
      <c r="J638">
        <v>1</v>
      </c>
      <c r="K638">
        <v>3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3</v>
      </c>
      <c r="V638">
        <v>0</v>
      </c>
      <c r="W638">
        <v>4</v>
      </c>
      <c r="X638">
        <v>887.2</v>
      </c>
      <c r="Y638">
        <v>1100</v>
      </c>
      <c r="Z638">
        <f>AVERAGEIFS(Table1[FinalElo], Table1[Country], Table1[[#This Row],[Country]])</f>
        <v>961.00176470588235</v>
      </c>
      <c r="AA638" cm="1">
        <f t="array" ref="AA638">IF(COUNTIFS(Table1[Country],Table1[[#This Row],[Country]])=1,0, _xlfn.STDEV.S(IF(Table1[Country]=Table1[[#This Row],[Country]],Table1[FinalElo])))</f>
        <v>117.15877454523515</v>
      </c>
      <c r="AB638">
        <f>IF(Table1[[#This Row],[CStd]]=0,0, (Table1[[#This Row],[FinalElo]]-Table1[[#This Row],[CAvg]]) / Table1[[#This Row],[CStd]])</f>
        <v>-0.62992946957965457</v>
      </c>
      <c r="AC638" t="str">
        <f>IF(Table1[[#This Row],[CStd]]=0,"Normal", IF(ABS(Table1[[#This Row],[CZscore]])&gt;2,"Outlier","Normal"))</f>
        <v>Normal</v>
      </c>
    </row>
    <row r="639" spans="1:29" x14ac:dyDescent="0.35">
      <c r="A639" t="s">
        <v>1710</v>
      </c>
      <c r="B639">
        <v>70.31</v>
      </c>
      <c r="C639">
        <v>187</v>
      </c>
      <c r="D639" t="s">
        <v>407</v>
      </c>
      <c r="E639">
        <v>27</v>
      </c>
      <c r="F639" t="s">
        <v>408</v>
      </c>
      <c r="G639" t="s">
        <v>34</v>
      </c>
      <c r="H639" t="s">
        <v>29</v>
      </c>
      <c r="I639" t="s">
        <v>30</v>
      </c>
      <c r="J639">
        <v>2</v>
      </c>
      <c r="K639">
        <v>2</v>
      </c>
      <c r="L639">
        <v>0</v>
      </c>
      <c r="M639">
        <v>0</v>
      </c>
      <c r="N639">
        <v>0</v>
      </c>
      <c r="O639">
        <v>0</v>
      </c>
      <c r="P639">
        <v>1</v>
      </c>
      <c r="Q639">
        <v>0</v>
      </c>
      <c r="R639">
        <v>0</v>
      </c>
      <c r="S639">
        <v>0</v>
      </c>
      <c r="T639">
        <v>0</v>
      </c>
      <c r="U639">
        <v>1</v>
      </c>
      <c r="V639">
        <v>1</v>
      </c>
      <c r="W639">
        <v>4</v>
      </c>
      <c r="X639">
        <v>1081.75</v>
      </c>
      <c r="Y639">
        <v>1081.75</v>
      </c>
      <c r="Z639">
        <f>AVERAGEIFS(Table1[FinalElo], Table1[Country], Table1[[#This Row],[Country]])</f>
        <v>1015.375</v>
      </c>
      <c r="AA639" cm="1">
        <f t="array" ref="AA639">IF(COUNTIFS(Table1[Country],Table1[[#This Row],[Country]])=1,0, _xlfn.STDEV.S(IF(Table1[Country]=Table1[[#This Row],[Country]],Table1[FinalElo])))</f>
        <v>114.73350760203692</v>
      </c>
      <c r="AB639">
        <f>IF(Table1[[#This Row],[CStd]]=0,0, (Table1[[#This Row],[FinalElo]]-Table1[[#This Row],[CAvg]]) / Table1[[#This Row],[CStd]])</f>
        <v>0.57851451931747278</v>
      </c>
      <c r="AC639" t="str">
        <f>IF(Table1[[#This Row],[CStd]]=0,"Normal", IF(ABS(Table1[[#This Row],[CZscore]])&gt;2,"Outlier","Normal"))</f>
        <v>Normal</v>
      </c>
    </row>
    <row r="640" spans="1:29" x14ac:dyDescent="0.35">
      <c r="A640" t="s">
        <v>1709</v>
      </c>
      <c r="B640">
        <v>56.7</v>
      </c>
      <c r="C640">
        <v>162</v>
      </c>
      <c r="D640" t="s">
        <v>202</v>
      </c>
      <c r="E640">
        <v>30</v>
      </c>
      <c r="F640" t="s">
        <v>843</v>
      </c>
      <c r="G640" t="s">
        <v>40</v>
      </c>
      <c r="H640" t="s">
        <v>29</v>
      </c>
      <c r="I640" t="s">
        <v>58</v>
      </c>
      <c r="J640">
        <v>0</v>
      </c>
      <c r="K640">
        <v>1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1</v>
      </c>
      <c r="T640">
        <v>0</v>
      </c>
      <c r="U640">
        <v>0</v>
      </c>
      <c r="V640">
        <v>0</v>
      </c>
      <c r="W640">
        <v>1</v>
      </c>
      <c r="X640">
        <v>928.01</v>
      </c>
      <c r="Y640">
        <v>1000</v>
      </c>
      <c r="Z640">
        <f>AVERAGEIFS(Table1[FinalElo], Table1[Country], Table1[[#This Row],[Country]])</f>
        <v>984.11142857142863</v>
      </c>
      <c r="AA640" cm="1">
        <f t="array" ref="AA640">IF(COUNTIFS(Table1[Country],Table1[[#This Row],[Country]])=1,0, _xlfn.STDEV.S(IF(Table1[Country]=Table1[[#This Row],[Country]],Table1[FinalElo])))</f>
        <v>173.54746521039206</v>
      </c>
      <c r="AB640">
        <f>IF(Table1[[#This Row],[CStd]]=0,0, (Table1[[#This Row],[FinalElo]]-Table1[[#This Row],[CAvg]]) / Table1[[#This Row],[CStd]])</f>
        <v>-0.32326273681621753</v>
      </c>
      <c r="AC640" t="str">
        <f>IF(Table1[[#This Row],[CStd]]=0,"Normal", IF(ABS(Table1[[#This Row],[CZscore]])&gt;2,"Outlier","Normal"))</f>
        <v>Normal</v>
      </c>
    </row>
    <row r="641" spans="1:29" x14ac:dyDescent="0.35">
      <c r="A641" t="s">
        <v>1707</v>
      </c>
      <c r="B641">
        <v>63.5</v>
      </c>
      <c r="C641">
        <v>170</v>
      </c>
      <c r="D641" t="s">
        <v>358</v>
      </c>
      <c r="E641">
        <v>34</v>
      </c>
      <c r="F641" t="s">
        <v>1708</v>
      </c>
      <c r="G641" t="s">
        <v>40</v>
      </c>
      <c r="H641" t="s">
        <v>29</v>
      </c>
      <c r="I641" t="s">
        <v>73</v>
      </c>
      <c r="J641">
        <v>0</v>
      </c>
      <c r="K641">
        <v>1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1</v>
      </c>
      <c r="T641">
        <v>0</v>
      </c>
      <c r="U641">
        <v>0</v>
      </c>
      <c r="V641">
        <v>0</v>
      </c>
      <c r="W641">
        <v>1</v>
      </c>
      <c r="X641">
        <v>915.25</v>
      </c>
      <c r="Y641">
        <v>1000</v>
      </c>
      <c r="Z641">
        <f>AVERAGEIFS(Table1[FinalElo], Table1[Country], Table1[[#This Row],[Country]])</f>
        <v>974.61500000000012</v>
      </c>
      <c r="AA641" cm="1">
        <f t="array" ref="AA641">IF(COUNTIFS(Table1[Country],Table1[[#This Row],[Country]])=1,0, _xlfn.STDEV.S(IF(Table1[Country]=Table1[[#This Row],[Country]],Table1[FinalElo])))</f>
        <v>146.82246313768914</v>
      </c>
      <c r="AB641">
        <f>IF(Table1[[#This Row],[CStd]]=0,0, (Table1[[#This Row],[FinalElo]]-Table1[[#This Row],[CAvg]]) / Table1[[#This Row],[CStd]])</f>
        <v>-0.40433186265461313</v>
      </c>
      <c r="AC641" t="str">
        <f>IF(Table1[[#This Row],[CStd]]=0,"Normal", IF(ABS(Table1[[#This Row],[CZscore]])&gt;2,"Outlier","Normal"))</f>
        <v>Normal</v>
      </c>
    </row>
    <row r="642" spans="1:29" x14ac:dyDescent="0.35">
      <c r="A642" t="s">
        <v>1705</v>
      </c>
      <c r="B642">
        <v>70.31</v>
      </c>
      <c r="C642">
        <v>177</v>
      </c>
      <c r="D642" t="s">
        <v>38</v>
      </c>
      <c r="E642">
        <v>30</v>
      </c>
      <c r="F642" t="s">
        <v>1706</v>
      </c>
      <c r="G642" t="s">
        <v>40</v>
      </c>
      <c r="H642" t="s">
        <v>29</v>
      </c>
      <c r="I642" t="s">
        <v>30</v>
      </c>
      <c r="J642">
        <v>1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1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1</v>
      </c>
      <c r="X642">
        <v>1071.99</v>
      </c>
      <c r="Y642">
        <v>1071.99</v>
      </c>
      <c r="Z642">
        <f>AVERAGEIFS(Table1[FinalElo], Table1[Country], Table1[[#This Row],[Country]])</f>
        <v>1057.4495402298851</v>
      </c>
      <c r="AA642" cm="1">
        <f t="array" ref="AA642">IF(COUNTIFS(Table1[Country],Table1[[#This Row],[Country]])=1,0, _xlfn.STDEV.S(IF(Table1[Country]=Table1[[#This Row],[Country]],Table1[FinalElo])))</f>
        <v>156.98667602259493</v>
      </c>
      <c r="AB642">
        <f>IF(Table1[[#This Row],[CStd]]=0,0, (Table1[[#This Row],[FinalElo]]-Table1[[#This Row],[CAvg]]) / Table1[[#This Row],[CStd]])</f>
        <v>9.2622253929512635E-2</v>
      </c>
      <c r="AC642" t="str">
        <f>IF(Table1[[#This Row],[CStd]]=0,"Normal", IF(ABS(Table1[[#This Row],[CZscore]])&gt;2,"Outlier","Normal"))</f>
        <v>Normal</v>
      </c>
    </row>
    <row r="643" spans="1:29" x14ac:dyDescent="0.35">
      <c r="A643" t="s">
        <v>1704</v>
      </c>
      <c r="B643">
        <v>53.977448000000003</v>
      </c>
      <c r="C643">
        <v>159</v>
      </c>
      <c r="D643" t="s">
        <v>89</v>
      </c>
      <c r="E643">
        <v>24</v>
      </c>
      <c r="F643" t="s">
        <v>1311</v>
      </c>
      <c r="G643" t="s">
        <v>34</v>
      </c>
      <c r="H643" t="s">
        <v>29</v>
      </c>
      <c r="I643" t="s">
        <v>36</v>
      </c>
      <c r="J643">
        <v>2</v>
      </c>
      <c r="K643">
        <v>5</v>
      </c>
      <c r="L643">
        <v>0</v>
      </c>
      <c r="M643">
        <v>0</v>
      </c>
      <c r="N643">
        <v>0</v>
      </c>
      <c r="O643">
        <v>0</v>
      </c>
      <c r="P643">
        <v>1</v>
      </c>
      <c r="Q643">
        <v>0</v>
      </c>
      <c r="R643">
        <v>0</v>
      </c>
      <c r="S643">
        <v>0</v>
      </c>
      <c r="T643">
        <v>0</v>
      </c>
      <c r="U643">
        <v>1</v>
      </c>
      <c r="V643">
        <v>2</v>
      </c>
      <c r="W643">
        <v>7</v>
      </c>
      <c r="X643">
        <v>997.46</v>
      </c>
      <c r="Y643">
        <v>1116.18</v>
      </c>
      <c r="Z643">
        <f>AVERAGEIFS(Table1[FinalElo], Table1[Country], Table1[[#This Row],[Country]])</f>
        <v>1012.0629025423733</v>
      </c>
      <c r="AA643" cm="1">
        <f t="array" ref="AA643">IF(COUNTIFS(Table1[Country],Table1[[#This Row],[Country]])=1,0, _xlfn.STDEV.S(IF(Table1[Country]=Table1[[#This Row],[Country]],Table1[FinalElo])))</f>
        <v>148.42180446198614</v>
      </c>
      <c r="AB643">
        <f>IF(Table1[[#This Row],[CStd]]=0,0, (Table1[[#This Row],[FinalElo]]-Table1[[#This Row],[CAvg]]) / Table1[[#This Row],[CStd]])</f>
        <v>-9.8387852076770657E-2</v>
      </c>
      <c r="AC643" t="str">
        <f>IF(Table1[[#This Row],[CStd]]=0,"Normal", IF(ABS(Table1[[#This Row],[CZscore]])&gt;2,"Outlier","Normal"))</f>
        <v>Normal</v>
      </c>
    </row>
    <row r="644" spans="1:29" x14ac:dyDescent="0.35">
      <c r="A644" t="s">
        <v>1702</v>
      </c>
      <c r="B644">
        <v>61.9</v>
      </c>
      <c r="C644">
        <v>177</v>
      </c>
      <c r="D644" t="s">
        <v>82</v>
      </c>
      <c r="E644">
        <v>29</v>
      </c>
      <c r="F644" t="s">
        <v>1703</v>
      </c>
      <c r="G644" t="s">
        <v>34</v>
      </c>
      <c r="H644" t="s">
        <v>29</v>
      </c>
      <c r="I644" t="s">
        <v>73</v>
      </c>
      <c r="J644">
        <v>3</v>
      </c>
      <c r="K644">
        <v>1</v>
      </c>
      <c r="L644">
        <v>0</v>
      </c>
      <c r="M644">
        <v>0</v>
      </c>
      <c r="N644">
        <v>0</v>
      </c>
      <c r="O644">
        <v>0</v>
      </c>
      <c r="P644">
        <v>1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4</v>
      </c>
      <c r="X644">
        <v>1099.18</v>
      </c>
      <c r="Y644">
        <v>1171.1400000000001</v>
      </c>
      <c r="Z644">
        <f>AVERAGEIFS(Table1[FinalElo], Table1[Country], Table1[[#This Row],[Country]])</f>
        <v>1012.5275373134326</v>
      </c>
      <c r="AA644" cm="1">
        <f t="array" ref="AA644">IF(COUNTIFS(Table1[Country],Table1[[#This Row],[Country]])=1,0, _xlfn.STDEV.S(IF(Table1[Country]=Table1[[#This Row],[Country]],Table1[FinalElo])))</f>
        <v>135.61062237674741</v>
      </c>
      <c r="AB644">
        <f>IF(Table1[[#This Row],[CStd]]=0,0, (Table1[[#This Row],[FinalElo]]-Table1[[#This Row],[CAvg]]) / Table1[[#This Row],[CStd]])</f>
        <v>0.63897990561412965</v>
      </c>
      <c r="AC644" t="str">
        <f>IF(Table1[[#This Row],[CStd]]=0,"Normal", IF(ABS(Table1[[#This Row],[CZscore]])&gt;2,"Outlier","Normal"))</f>
        <v>Normal</v>
      </c>
    </row>
    <row r="645" spans="1:29" x14ac:dyDescent="0.35">
      <c r="A645" t="s">
        <v>1701</v>
      </c>
      <c r="B645">
        <v>65.8</v>
      </c>
      <c r="C645">
        <v>172</v>
      </c>
      <c r="D645" t="s">
        <v>89</v>
      </c>
      <c r="E645">
        <v>31</v>
      </c>
      <c r="F645" t="s">
        <v>99</v>
      </c>
      <c r="G645" t="s">
        <v>34</v>
      </c>
      <c r="H645" t="s">
        <v>29</v>
      </c>
      <c r="I645" t="s">
        <v>48</v>
      </c>
      <c r="J645">
        <v>10</v>
      </c>
      <c r="K645">
        <v>4</v>
      </c>
      <c r="L645">
        <v>0</v>
      </c>
      <c r="M645">
        <v>1</v>
      </c>
      <c r="N645">
        <v>0</v>
      </c>
      <c r="O645">
        <v>0</v>
      </c>
      <c r="P645">
        <v>5</v>
      </c>
      <c r="Q645">
        <v>2</v>
      </c>
      <c r="R645">
        <v>2</v>
      </c>
      <c r="S645">
        <v>0</v>
      </c>
      <c r="T645">
        <v>0</v>
      </c>
      <c r="U645">
        <v>1</v>
      </c>
      <c r="V645">
        <v>1</v>
      </c>
      <c r="W645">
        <v>14</v>
      </c>
      <c r="X645">
        <v>1400.98</v>
      </c>
      <c r="Y645">
        <v>1400.98</v>
      </c>
      <c r="Z645">
        <f>AVERAGEIFS(Table1[FinalElo], Table1[Country], Table1[[#This Row],[Country]])</f>
        <v>1012.0629025423733</v>
      </c>
      <c r="AA645" cm="1">
        <f t="array" ref="AA645">IF(COUNTIFS(Table1[Country],Table1[[#This Row],[Country]])=1,0, _xlfn.STDEV.S(IF(Table1[Country]=Table1[[#This Row],[Country]],Table1[FinalElo])))</f>
        <v>148.42180446198614</v>
      </c>
      <c r="AB645">
        <f>IF(Table1[[#This Row],[CStd]]=0,0, (Table1[[#This Row],[FinalElo]]-Table1[[#This Row],[CAvg]]) / Table1[[#This Row],[CStd]])</f>
        <v>2.6203501491402252</v>
      </c>
      <c r="AC645" t="str">
        <f>IF(Table1[[#This Row],[CStd]]=0,"Normal", IF(ABS(Table1[[#This Row],[CZscore]])&gt;2,"Outlier","Normal"))</f>
        <v>Outlier</v>
      </c>
    </row>
    <row r="646" spans="1:29" x14ac:dyDescent="0.35">
      <c r="A646" t="s">
        <v>1699</v>
      </c>
      <c r="B646">
        <v>62.142104000000003</v>
      </c>
      <c r="C646">
        <v>170</v>
      </c>
      <c r="D646" t="s">
        <v>89</v>
      </c>
      <c r="E646">
        <v>21</v>
      </c>
      <c r="F646" t="s">
        <v>1700</v>
      </c>
      <c r="G646" t="s">
        <v>34</v>
      </c>
      <c r="H646" t="s">
        <v>29</v>
      </c>
      <c r="I646" t="s">
        <v>73</v>
      </c>
      <c r="J646">
        <v>0</v>
      </c>
      <c r="K646">
        <v>2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1</v>
      </c>
      <c r="W646">
        <v>2</v>
      </c>
      <c r="X646">
        <v>851.95</v>
      </c>
      <c r="Y646">
        <v>1000</v>
      </c>
      <c r="Z646">
        <f>AVERAGEIFS(Table1[FinalElo], Table1[Country], Table1[[#This Row],[Country]])</f>
        <v>1012.0629025423733</v>
      </c>
      <c r="AA646" cm="1">
        <f t="array" ref="AA646">IF(COUNTIFS(Table1[Country],Table1[[#This Row],[Country]])=1,0, _xlfn.STDEV.S(IF(Table1[Country]=Table1[[#This Row],[Country]],Table1[FinalElo])))</f>
        <v>148.42180446198614</v>
      </c>
      <c r="AB646">
        <f>IF(Table1[[#This Row],[CStd]]=0,0, (Table1[[#This Row],[FinalElo]]-Table1[[#This Row],[CAvg]]) / Table1[[#This Row],[CStd]])</f>
        <v>-1.0787694107531314</v>
      </c>
      <c r="AC646" t="str">
        <f>IF(Table1[[#This Row],[CStd]]=0,"Normal", IF(ABS(Table1[[#This Row],[CZscore]])&gt;2,"Outlier","Normal"))</f>
        <v>Normal</v>
      </c>
    </row>
    <row r="647" spans="1:29" x14ac:dyDescent="0.35">
      <c r="A647" t="s">
        <v>1697</v>
      </c>
      <c r="B647">
        <v>58.1</v>
      </c>
      <c r="C647">
        <v>165</v>
      </c>
      <c r="D647" t="s">
        <v>1366</v>
      </c>
      <c r="E647">
        <v>29</v>
      </c>
      <c r="F647" t="s">
        <v>1698</v>
      </c>
      <c r="G647" t="s">
        <v>34</v>
      </c>
      <c r="H647" t="s">
        <v>29</v>
      </c>
      <c r="I647" t="s">
        <v>58</v>
      </c>
      <c r="J647">
        <v>1</v>
      </c>
      <c r="K647">
        <v>1</v>
      </c>
      <c r="L647">
        <v>0</v>
      </c>
      <c r="M647">
        <v>0</v>
      </c>
      <c r="N647">
        <v>0</v>
      </c>
      <c r="O647">
        <v>0</v>
      </c>
      <c r="P647">
        <v>1</v>
      </c>
      <c r="Q647">
        <v>0</v>
      </c>
      <c r="R647">
        <v>0</v>
      </c>
      <c r="S647">
        <v>0</v>
      </c>
      <c r="T647">
        <v>0</v>
      </c>
      <c r="U647">
        <v>1</v>
      </c>
      <c r="V647">
        <v>0</v>
      </c>
      <c r="W647">
        <v>2</v>
      </c>
      <c r="X647">
        <v>1115.94</v>
      </c>
      <c r="Y647">
        <v>1115.94</v>
      </c>
      <c r="Z647">
        <f>AVERAGEIFS(Table1[FinalElo], Table1[Country], Table1[[#This Row],[Country]])</f>
        <v>956.19333333333327</v>
      </c>
      <c r="AA647" cm="1">
        <f t="array" ref="AA647">IF(COUNTIFS(Table1[Country],Table1[[#This Row],[Country]])=1,0, _xlfn.STDEV.S(IF(Table1[Country]=Table1[[#This Row],[Country]],Table1[FinalElo])))</f>
        <v>95.923712266571499</v>
      </c>
      <c r="AB647">
        <f>IF(Table1[[#This Row],[CStd]]=0,0, (Table1[[#This Row],[FinalElo]]-Table1[[#This Row],[CAvg]]) / Table1[[#This Row],[CStd]])</f>
        <v>1.6653511722183105</v>
      </c>
      <c r="AC647" t="str">
        <f>IF(Table1[[#This Row],[CStd]]=0,"Normal", IF(ABS(Table1[[#This Row],[CZscore]])&gt;2,"Outlier","Normal"))</f>
        <v>Normal</v>
      </c>
    </row>
    <row r="648" spans="1:29" x14ac:dyDescent="0.35">
      <c r="A648" t="s">
        <v>1695</v>
      </c>
      <c r="B648">
        <v>57.6</v>
      </c>
      <c r="C648">
        <v>173</v>
      </c>
      <c r="D648" t="s">
        <v>89</v>
      </c>
      <c r="E648">
        <v>24</v>
      </c>
      <c r="F648" t="s">
        <v>1696</v>
      </c>
      <c r="G648" t="s">
        <v>34</v>
      </c>
      <c r="H648" t="s">
        <v>29</v>
      </c>
      <c r="I648" t="s">
        <v>58</v>
      </c>
      <c r="J648">
        <v>0</v>
      </c>
      <c r="K648">
        <v>2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2</v>
      </c>
      <c r="X648">
        <v>825.63</v>
      </c>
      <c r="Y648">
        <v>1000</v>
      </c>
      <c r="Z648">
        <f>AVERAGEIFS(Table1[FinalElo], Table1[Country], Table1[[#This Row],[Country]])</f>
        <v>1012.0629025423733</v>
      </c>
      <c r="AA648" cm="1">
        <f t="array" ref="AA648">IF(COUNTIFS(Table1[Country],Table1[[#This Row],[Country]])=1,0, _xlfn.STDEV.S(IF(Table1[Country]=Table1[[#This Row],[Country]],Table1[FinalElo])))</f>
        <v>148.42180446198614</v>
      </c>
      <c r="AB648">
        <f>IF(Table1[[#This Row],[CStd]]=0,0, (Table1[[#This Row],[FinalElo]]-Table1[[#This Row],[CAvg]]) / Table1[[#This Row],[CStd]])</f>
        <v>-1.2561018458047557</v>
      </c>
      <c r="AC648" t="str">
        <f>IF(Table1[[#This Row],[CStd]]=0,"Normal", IF(ABS(Table1[[#This Row],[CZscore]])&gt;2,"Outlier","Normal"))</f>
        <v>Normal</v>
      </c>
    </row>
    <row r="649" spans="1:29" x14ac:dyDescent="0.35">
      <c r="A649" t="s">
        <v>1693</v>
      </c>
      <c r="B649">
        <v>61.1</v>
      </c>
      <c r="C649">
        <v>165</v>
      </c>
      <c r="D649" t="s">
        <v>1549</v>
      </c>
      <c r="E649">
        <v>26</v>
      </c>
      <c r="F649" t="s">
        <v>1694</v>
      </c>
      <c r="G649" t="s">
        <v>40</v>
      </c>
      <c r="H649" t="s">
        <v>29</v>
      </c>
      <c r="I649" t="s">
        <v>58</v>
      </c>
      <c r="J649">
        <v>2</v>
      </c>
      <c r="K649">
        <v>0</v>
      </c>
      <c r="L649">
        <v>0</v>
      </c>
      <c r="M649">
        <v>0</v>
      </c>
      <c r="N649">
        <v>2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2</v>
      </c>
      <c r="X649">
        <v>1171.99</v>
      </c>
      <c r="Y649">
        <v>1171.99</v>
      </c>
      <c r="Z649">
        <f>AVERAGEIFS(Table1[FinalElo], Table1[Country], Table1[[#This Row],[Country]])</f>
        <v>1199.31</v>
      </c>
      <c r="AA649" cm="1">
        <f t="array" ref="AA649">IF(COUNTIFS(Table1[Country],Table1[[#This Row],[Country]])=1,0, _xlfn.STDEV.S(IF(Table1[Country]=Table1[[#This Row],[Country]],Table1[FinalElo])))</f>
        <v>38.636314524033025</v>
      </c>
      <c r="AB649">
        <f>IF(Table1[[#This Row],[CStd]]=0,0, (Table1[[#This Row],[FinalElo]]-Table1[[#This Row],[CAvg]]) / Table1[[#This Row],[CStd]])</f>
        <v>-0.70710678118654458</v>
      </c>
      <c r="AC649" t="str">
        <f>IF(Table1[[#This Row],[CStd]]=0,"Normal", IF(ABS(Table1[[#This Row],[CZscore]])&gt;2,"Outlier","Normal"))</f>
        <v>Normal</v>
      </c>
    </row>
    <row r="650" spans="1:29" x14ac:dyDescent="0.35">
      <c r="A650" t="s">
        <v>1691</v>
      </c>
      <c r="B650">
        <v>52.16</v>
      </c>
      <c r="C650">
        <v>161</v>
      </c>
      <c r="D650" t="s">
        <v>368</v>
      </c>
      <c r="E650">
        <v>24</v>
      </c>
      <c r="F650" t="s">
        <v>1692</v>
      </c>
      <c r="G650" t="s">
        <v>40</v>
      </c>
      <c r="H650" t="s">
        <v>29</v>
      </c>
      <c r="I650" t="s">
        <v>36</v>
      </c>
      <c r="J650">
        <v>1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1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1</v>
      </c>
      <c r="X650">
        <v>1100</v>
      </c>
      <c r="Y650">
        <v>1100</v>
      </c>
      <c r="Z650">
        <f>AVERAGEIFS(Table1[FinalElo], Table1[Country], Table1[[#This Row],[Country]])</f>
        <v>980.53583333333336</v>
      </c>
      <c r="AA650" cm="1">
        <f t="array" ref="AA650">IF(COUNTIFS(Table1[Country],Table1[[#This Row],[Country]])=1,0, _xlfn.STDEV.S(IF(Table1[Country]=Table1[[#This Row],[Country]],Table1[FinalElo])))</f>
        <v>85.643213227725752</v>
      </c>
      <c r="AB650">
        <f>IF(Table1[[#This Row],[CStd]]=0,0, (Table1[[#This Row],[FinalElo]]-Table1[[#This Row],[CAvg]]) / Table1[[#This Row],[CStd]])</f>
        <v>1.3949052372545947</v>
      </c>
      <c r="AC650" t="str">
        <f>IF(Table1[[#This Row],[CStd]]=0,"Normal", IF(ABS(Table1[[#This Row],[CZscore]])&gt;2,"Outlier","Normal"))</f>
        <v>Normal</v>
      </c>
    </row>
    <row r="651" spans="1:29" x14ac:dyDescent="0.35">
      <c r="A651" t="s">
        <v>1690</v>
      </c>
      <c r="B651">
        <v>61.2</v>
      </c>
      <c r="C651">
        <v>167</v>
      </c>
      <c r="D651" t="s">
        <v>89</v>
      </c>
      <c r="E651">
        <v>30</v>
      </c>
      <c r="F651" t="s">
        <v>519</v>
      </c>
      <c r="G651" t="s">
        <v>34</v>
      </c>
      <c r="H651" t="s">
        <v>29</v>
      </c>
      <c r="I651" t="s">
        <v>58</v>
      </c>
      <c r="J651">
        <v>4</v>
      </c>
      <c r="K651">
        <v>1</v>
      </c>
      <c r="L651">
        <v>0</v>
      </c>
      <c r="M651">
        <v>0</v>
      </c>
      <c r="N651">
        <v>0</v>
      </c>
      <c r="O651">
        <v>0</v>
      </c>
      <c r="P651">
        <v>2</v>
      </c>
      <c r="Q651">
        <v>0</v>
      </c>
      <c r="R651">
        <v>0</v>
      </c>
      <c r="S651">
        <v>0</v>
      </c>
      <c r="T651">
        <v>0</v>
      </c>
      <c r="U651">
        <v>1</v>
      </c>
      <c r="V651">
        <v>0</v>
      </c>
      <c r="W651">
        <v>5</v>
      </c>
      <c r="X651">
        <v>1163.03</v>
      </c>
      <c r="Y651">
        <v>1286.1400000000001</v>
      </c>
      <c r="Z651">
        <f>AVERAGEIFS(Table1[FinalElo], Table1[Country], Table1[[#This Row],[Country]])</f>
        <v>1012.0629025423733</v>
      </c>
      <c r="AA651" cm="1">
        <f t="array" ref="AA651">IF(COUNTIFS(Table1[Country],Table1[[#This Row],[Country]])=1,0, _xlfn.STDEV.S(IF(Table1[Country]=Table1[[#This Row],[Country]],Table1[FinalElo])))</f>
        <v>148.42180446198614</v>
      </c>
      <c r="AB651">
        <f>IF(Table1[[#This Row],[CStd]]=0,0, (Table1[[#This Row],[FinalElo]]-Table1[[#This Row],[CAvg]]) / Table1[[#This Row],[CStd]])</f>
        <v>1.0171490503357439</v>
      </c>
      <c r="AC651" t="str">
        <f>IF(Table1[[#This Row],[CStd]]=0,"Normal", IF(ABS(Table1[[#This Row],[CZscore]])&gt;2,"Outlier","Normal"))</f>
        <v>Normal</v>
      </c>
    </row>
    <row r="652" spans="1:29" x14ac:dyDescent="0.35">
      <c r="A652" t="s">
        <v>1689</v>
      </c>
      <c r="B652">
        <v>59.9</v>
      </c>
      <c r="C652">
        <v>170</v>
      </c>
      <c r="D652" t="s">
        <v>89</v>
      </c>
      <c r="E652">
        <v>31</v>
      </c>
      <c r="F652" t="s">
        <v>535</v>
      </c>
      <c r="G652" t="s">
        <v>34</v>
      </c>
      <c r="H652" t="s">
        <v>29</v>
      </c>
      <c r="I652" t="s">
        <v>58</v>
      </c>
      <c r="J652">
        <v>2</v>
      </c>
      <c r="K652">
        <v>4</v>
      </c>
      <c r="L652">
        <v>0</v>
      </c>
      <c r="M652">
        <v>0</v>
      </c>
      <c r="N652">
        <v>0</v>
      </c>
      <c r="O652">
        <v>0</v>
      </c>
      <c r="P652">
        <v>1</v>
      </c>
      <c r="Q652">
        <v>0</v>
      </c>
      <c r="R652">
        <v>0</v>
      </c>
      <c r="S652">
        <v>0</v>
      </c>
      <c r="T652">
        <v>0</v>
      </c>
      <c r="U652">
        <v>2</v>
      </c>
      <c r="V652">
        <v>0</v>
      </c>
      <c r="W652">
        <v>6</v>
      </c>
      <c r="X652">
        <v>857.55</v>
      </c>
      <c r="Y652">
        <v>1000</v>
      </c>
      <c r="Z652">
        <f>AVERAGEIFS(Table1[FinalElo], Table1[Country], Table1[[#This Row],[Country]])</f>
        <v>1012.0629025423733</v>
      </c>
      <c r="AA652" cm="1">
        <f t="array" ref="AA652">IF(COUNTIFS(Table1[Country],Table1[[#This Row],[Country]])=1,0, _xlfn.STDEV.S(IF(Table1[Country]=Table1[[#This Row],[Country]],Table1[FinalElo])))</f>
        <v>148.42180446198614</v>
      </c>
      <c r="AB652">
        <f>IF(Table1[[#This Row],[CStd]]=0,0, (Table1[[#This Row],[FinalElo]]-Table1[[#This Row],[CAvg]]) / Table1[[#This Row],[CStd]])</f>
        <v>-1.041039105422999</v>
      </c>
      <c r="AC652" t="str">
        <f>IF(Table1[[#This Row],[CStd]]=0,"Normal", IF(ABS(Table1[[#This Row],[CZscore]])&gt;2,"Outlier","Normal"))</f>
        <v>Normal</v>
      </c>
    </row>
    <row r="653" spans="1:29" x14ac:dyDescent="0.35">
      <c r="A653" t="s">
        <v>1687</v>
      </c>
      <c r="B653">
        <v>53.977448000000003</v>
      </c>
      <c r="C653">
        <v>162</v>
      </c>
      <c r="D653" t="s">
        <v>1366</v>
      </c>
      <c r="E653">
        <v>20</v>
      </c>
      <c r="F653" t="s">
        <v>1688</v>
      </c>
      <c r="G653" t="s">
        <v>28</v>
      </c>
      <c r="H653" t="s">
        <v>29</v>
      </c>
      <c r="I653" t="s">
        <v>36</v>
      </c>
      <c r="J653">
        <v>0</v>
      </c>
      <c r="K653">
        <v>1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1</v>
      </c>
      <c r="S653">
        <v>0</v>
      </c>
      <c r="T653">
        <v>0</v>
      </c>
      <c r="U653">
        <v>0</v>
      </c>
      <c r="V653">
        <v>0</v>
      </c>
      <c r="W653">
        <v>1</v>
      </c>
      <c r="X653">
        <v>928.01</v>
      </c>
      <c r="Y653">
        <v>1000</v>
      </c>
      <c r="Z653">
        <f>AVERAGEIFS(Table1[FinalElo], Table1[Country], Table1[[#This Row],[Country]])</f>
        <v>956.19333333333327</v>
      </c>
      <c r="AA653" cm="1">
        <f t="array" ref="AA653">IF(COUNTIFS(Table1[Country],Table1[[#This Row],[Country]])=1,0, _xlfn.STDEV.S(IF(Table1[Country]=Table1[[#This Row],[Country]],Table1[FinalElo])))</f>
        <v>95.923712266571499</v>
      </c>
      <c r="AB653">
        <f>IF(Table1[[#This Row],[CStd]]=0,0, (Table1[[#This Row],[FinalElo]]-Table1[[#This Row],[CAvg]]) / Table1[[#This Row],[CStd]])</f>
        <v>-0.29380986898225897</v>
      </c>
      <c r="AC653" t="str">
        <f>IF(Table1[[#This Row],[CStd]]=0,"Normal", IF(ABS(Table1[[#This Row],[CZscore]])&gt;2,"Outlier","Normal"))</f>
        <v>Normal</v>
      </c>
    </row>
    <row r="654" spans="1:29" x14ac:dyDescent="0.35">
      <c r="A654" t="s">
        <v>1685</v>
      </c>
      <c r="B654">
        <v>52.16</v>
      </c>
      <c r="C654">
        <v>165</v>
      </c>
      <c r="D654" t="s">
        <v>60</v>
      </c>
      <c r="E654">
        <v>25</v>
      </c>
      <c r="F654" t="s">
        <v>1686</v>
      </c>
      <c r="G654" t="s">
        <v>40</v>
      </c>
      <c r="H654" t="s">
        <v>29</v>
      </c>
      <c r="I654" t="s">
        <v>36</v>
      </c>
      <c r="J654">
        <v>1</v>
      </c>
      <c r="K654">
        <v>1</v>
      </c>
      <c r="L654">
        <v>0</v>
      </c>
      <c r="M654">
        <v>1</v>
      </c>
      <c r="N654">
        <v>0</v>
      </c>
      <c r="O654">
        <v>0</v>
      </c>
      <c r="P654">
        <v>0</v>
      </c>
      <c r="Q654">
        <v>0</v>
      </c>
      <c r="R654">
        <v>1</v>
      </c>
      <c r="S654">
        <v>0</v>
      </c>
      <c r="T654">
        <v>0</v>
      </c>
      <c r="U654">
        <v>0</v>
      </c>
      <c r="V654">
        <v>0</v>
      </c>
      <c r="W654">
        <v>2</v>
      </c>
      <c r="X654">
        <v>951.56</v>
      </c>
      <c r="Y654">
        <v>1071.99</v>
      </c>
      <c r="Z654">
        <f>AVERAGEIFS(Table1[FinalElo], Table1[Country], Table1[[#This Row],[Country]])</f>
        <v>1034.681315789474</v>
      </c>
      <c r="AA654" cm="1">
        <f t="array" ref="AA654">IF(COUNTIFS(Table1[Country],Table1[[#This Row],[Country]])=1,0, _xlfn.STDEV.S(IF(Table1[Country]=Table1[[#This Row],[Country]],Table1[FinalElo])))</f>
        <v>152.902810204692</v>
      </c>
      <c r="AB654">
        <f>IF(Table1[[#This Row],[CStd]]=0,0, (Table1[[#This Row],[FinalElo]]-Table1[[#This Row],[CAvg]]) / Table1[[#This Row],[CStd]])</f>
        <v>-0.54362189732287425</v>
      </c>
      <c r="AC654" t="str">
        <f>IF(Table1[[#This Row],[CStd]]=0,"Normal", IF(ABS(Table1[[#This Row],[CZscore]])&gt;2,"Outlier","Normal"))</f>
        <v>Normal</v>
      </c>
    </row>
    <row r="655" spans="1:29" x14ac:dyDescent="0.35">
      <c r="A655" t="s">
        <v>1683</v>
      </c>
      <c r="B655">
        <v>70.2</v>
      </c>
      <c r="C655">
        <v>183</v>
      </c>
      <c r="D655" t="s">
        <v>135</v>
      </c>
      <c r="E655">
        <v>26</v>
      </c>
      <c r="F655" t="s">
        <v>1684</v>
      </c>
      <c r="G655" t="s">
        <v>28</v>
      </c>
      <c r="H655" t="s">
        <v>29</v>
      </c>
      <c r="I655" t="s">
        <v>48</v>
      </c>
      <c r="J655">
        <v>3</v>
      </c>
      <c r="K655">
        <v>2</v>
      </c>
      <c r="L655">
        <v>0</v>
      </c>
      <c r="M655">
        <v>0</v>
      </c>
      <c r="N655">
        <v>0</v>
      </c>
      <c r="O655">
        <v>0</v>
      </c>
      <c r="P655">
        <v>2</v>
      </c>
      <c r="Q655">
        <v>1</v>
      </c>
      <c r="R655">
        <v>0</v>
      </c>
      <c r="S655">
        <v>0</v>
      </c>
      <c r="T655">
        <v>0</v>
      </c>
      <c r="U655">
        <v>2</v>
      </c>
      <c r="V655">
        <v>0</v>
      </c>
      <c r="W655">
        <v>5</v>
      </c>
      <c r="X655">
        <v>1132.83</v>
      </c>
      <c r="Y655">
        <v>1132.83</v>
      </c>
      <c r="Z655">
        <f>AVERAGEIFS(Table1[FinalElo], Table1[Country], Table1[[#This Row],[Country]])</f>
        <v>1008.644</v>
      </c>
      <c r="AA655" cm="1">
        <f t="array" ref="AA655">IF(COUNTIFS(Table1[Country],Table1[[#This Row],[Country]])=1,0, _xlfn.STDEV.S(IF(Table1[Country]=Table1[[#This Row],[Country]],Table1[FinalElo])))</f>
        <v>73.31330002121031</v>
      </c>
      <c r="AB655">
        <f>IF(Table1[[#This Row],[CStd]]=0,0, (Table1[[#This Row],[FinalElo]]-Table1[[#This Row],[CAvg]]) / Table1[[#This Row],[CStd]])</f>
        <v>1.6939081989771516</v>
      </c>
      <c r="AC655" t="str">
        <f>IF(Table1[[#This Row],[CStd]]=0,"Normal", IF(ABS(Table1[[#This Row],[CZscore]])&gt;2,"Outlier","Normal"))</f>
        <v>Normal</v>
      </c>
    </row>
    <row r="656" spans="1:29" x14ac:dyDescent="0.35">
      <c r="A656" t="s">
        <v>1681</v>
      </c>
      <c r="B656">
        <v>65.8</v>
      </c>
      <c r="C656">
        <v>175</v>
      </c>
      <c r="D656" t="s">
        <v>358</v>
      </c>
      <c r="E656">
        <v>29</v>
      </c>
      <c r="F656" t="s">
        <v>1682</v>
      </c>
      <c r="G656" t="s">
        <v>34</v>
      </c>
      <c r="H656" t="s">
        <v>29</v>
      </c>
      <c r="I656" t="s">
        <v>48</v>
      </c>
      <c r="J656">
        <v>2</v>
      </c>
      <c r="K656">
        <v>5</v>
      </c>
      <c r="L656">
        <v>0</v>
      </c>
      <c r="M656">
        <v>0</v>
      </c>
      <c r="N656">
        <v>0</v>
      </c>
      <c r="O656">
        <v>0</v>
      </c>
      <c r="P656">
        <v>1</v>
      </c>
      <c r="Q656">
        <v>0</v>
      </c>
      <c r="R656">
        <v>1</v>
      </c>
      <c r="S656">
        <v>0</v>
      </c>
      <c r="T656">
        <v>0</v>
      </c>
      <c r="U656">
        <v>2</v>
      </c>
      <c r="V656">
        <v>0</v>
      </c>
      <c r="W656">
        <v>7</v>
      </c>
      <c r="X656">
        <v>703.32</v>
      </c>
      <c r="Y656">
        <v>1064.74</v>
      </c>
      <c r="Z656">
        <f>AVERAGEIFS(Table1[FinalElo], Table1[Country], Table1[[#This Row],[Country]])</f>
        <v>974.61500000000012</v>
      </c>
      <c r="AA656" cm="1">
        <f t="array" ref="AA656">IF(COUNTIFS(Table1[Country],Table1[[#This Row],[Country]])=1,0, _xlfn.STDEV.S(IF(Table1[Country]=Table1[[#This Row],[Country]],Table1[FinalElo])))</f>
        <v>146.82246313768914</v>
      </c>
      <c r="AB656">
        <f>IF(Table1[[#This Row],[CStd]]=0,0, (Table1[[#This Row],[FinalElo]]-Table1[[#This Row],[CAvg]]) / Table1[[#This Row],[CStd]])</f>
        <v>-1.8477758389435368</v>
      </c>
      <c r="AC656" t="str">
        <f>IF(Table1[[#This Row],[CStd]]=0,"Normal", IF(ABS(Table1[[#This Row],[CZscore]])&gt;2,"Outlier","Normal"))</f>
        <v>Normal</v>
      </c>
    </row>
    <row r="657" spans="1:29" x14ac:dyDescent="0.35">
      <c r="A657" t="s">
        <v>1680</v>
      </c>
      <c r="B657">
        <v>65.77</v>
      </c>
      <c r="C657">
        <v>178</v>
      </c>
      <c r="D657" t="s">
        <v>146</v>
      </c>
      <c r="E657">
        <v>23</v>
      </c>
      <c r="F657" t="s">
        <v>87</v>
      </c>
      <c r="G657" t="s">
        <v>28</v>
      </c>
      <c r="H657" t="s">
        <v>29</v>
      </c>
      <c r="I657" t="s">
        <v>48</v>
      </c>
      <c r="J657">
        <v>6</v>
      </c>
      <c r="K657">
        <v>2</v>
      </c>
      <c r="L657">
        <v>0</v>
      </c>
      <c r="M657">
        <v>0</v>
      </c>
      <c r="N657">
        <v>0</v>
      </c>
      <c r="O657">
        <v>0</v>
      </c>
      <c r="P657">
        <v>3</v>
      </c>
      <c r="Q657">
        <v>1</v>
      </c>
      <c r="R657">
        <v>0</v>
      </c>
      <c r="S657">
        <v>0</v>
      </c>
      <c r="T657">
        <v>0</v>
      </c>
      <c r="U657">
        <v>2</v>
      </c>
      <c r="V657">
        <v>0</v>
      </c>
      <c r="W657">
        <v>8</v>
      </c>
      <c r="X657">
        <v>1203.5</v>
      </c>
      <c r="Y657">
        <v>1325.73</v>
      </c>
      <c r="Z657">
        <f>AVERAGEIFS(Table1[FinalElo], Table1[Country], Table1[[#This Row],[Country]])</f>
        <v>971.46103448275846</v>
      </c>
      <c r="AA657" cm="1">
        <f t="array" ref="AA657">IF(COUNTIFS(Table1[Country],Table1[[#This Row],[Country]])=1,0, _xlfn.STDEV.S(IF(Table1[Country]=Table1[[#This Row],[Country]],Table1[FinalElo])))</f>
        <v>107.62263899334665</v>
      </c>
      <c r="AB657">
        <f>IF(Table1[[#This Row],[CStd]]=0,0, (Table1[[#This Row],[FinalElo]]-Table1[[#This Row],[CAvg]]) / Table1[[#This Row],[CStd]])</f>
        <v>2.1560423316843811</v>
      </c>
      <c r="AC657" t="str">
        <f>IF(Table1[[#This Row],[CStd]]=0,"Normal", IF(ABS(Table1[[#This Row],[CZscore]])&gt;2,"Outlier","Normal"))</f>
        <v>Outlier</v>
      </c>
    </row>
    <row r="658" spans="1:29" x14ac:dyDescent="0.35">
      <c r="A658" t="s">
        <v>1679</v>
      </c>
      <c r="B658">
        <v>56.7</v>
      </c>
      <c r="C658">
        <v>172</v>
      </c>
      <c r="D658" t="s">
        <v>146</v>
      </c>
      <c r="E658">
        <v>23</v>
      </c>
      <c r="F658" t="s">
        <v>133</v>
      </c>
      <c r="G658" t="s">
        <v>34</v>
      </c>
      <c r="H658" t="s">
        <v>29</v>
      </c>
      <c r="I658" t="s">
        <v>58</v>
      </c>
      <c r="J658">
        <v>2</v>
      </c>
      <c r="K658">
        <v>2</v>
      </c>
      <c r="L658">
        <v>0</v>
      </c>
      <c r="M658">
        <v>0</v>
      </c>
      <c r="N658">
        <v>0</v>
      </c>
      <c r="O658">
        <v>0</v>
      </c>
      <c r="P658">
        <v>2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1</v>
      </c>
      <c r="W658">
        <v>4</v>
      </c>
      <c r="X658">
        <v>907.83</v>
      </c>
      <c r="Y658">
        <v>1200</v>
      </c>
      <c r="Z658">
        <f>AVERAGEIFS(Table1[FinalElo], Table1[Country], Table1[[#This Row],[Country]])</f>
        <v>971.46103448275846</v>
      </c>
      <c r="AA658" cm="1">
        <f t="array" ref="AA658">IF(COUNTIFS(Table1[Country],Table1[[#This Row],[Country]])=1,0, _xlfn.STDEV.S(IF(Table1[Country]=Table1[[#This Row],[Country]],Table1[FinalElo])))</f>
        <v>107.62263899334665</v>
      </c>
      <c r="AB658">
        <f>IF(Table1[[#This Row],[CStd]]=0,0, (Table1[[#This Row],[FinalElo]]-Table1[[#This Row],[CAvg]]) / Table1[[#This Row],[CStd]])</f>
        <v>-0.59124209439514075</v>
      </c>
      <c r="AC658" t="str">
        <f>IF(Table1[[#This Row],[CStd]]=0,"Normal", IF(ABS(Table1[[#This Row],[CZscore]])&gt;2,"Outlier","Normal"))</f>
        <v>Normal</v>
      </c>
    </row>
    <row r="659" spans="1:29" x14ac:dyDescent="0.35">
      <c r="A659" t="s">
        <v>1677</v>
      </c>
      <c r="B659">
        <v>70.31</v>
      </c>
      <c r="C659">
        <v>179</v>
      </c>
      <c r="D659" t="s">
        <v>146</v>
      </c>
      <c r="E659">
        <v>30</v>
      </c>
      <c r="F659" t="s">
        <v>1678</v>
      </c>
      <c r="G659" t="s">
        <v>40</v>
      </c>
      <c r="H659" t="s">
        <v>29</v>
      </c>
      <c r="I659" t="s">
        <v>30</v>
      </c>
      <c r="J659">
        <v>1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1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1</v>
      </c>
      <c r="X659">
        <v>1100</v>
      </c>
      <c r="Y659">
        <v>1100</v>
      </c>
      <c r="Z659">
        <f>AVERAGEIFS(Table1[FinalElo], Table1[Country], Table1[[#This Row],[Country]])</f>
        <v>971.46103448275846</v>
      </c>
      <c r="AA659" cm="1">
        <f t="array" ref="AA659">IF(COUNTIFS(Table1[Country],Table1[[#This Row],[Country]])=1,0, _xlfn.STDEV.S(IF(Table1[Country]=Table1[[#This Row],[Country]],Table1[FinalElo])))</f>
        <v>107.62263899334665</v>
      </c>
      <c r="AB659">
        <f>IF(Table1[[#This Row],[CStd]]=0,0, (Table1[[#This Row],[FinalElo]]-Table1[[#This Row],[CAvg]]) / Table1[[#This Row],[CStd]])</f>
        <v>1.1943487608140508</v>
      </c>
      <c r="AC659" t="str">
        <f>IF(Table1[[#This Row],[CStd]]=0,"Normal", IF(ABS(Table1[[#This Row],[CZscore]])&gt;2,"Outlier","Normal"))</f>
        <v>Normal</v>
      </c>
    </row>
    <row r="660" spans="1:29" x14ac:dyDescent="0.35">
      <c r="A660" t="s">
        <v>1675</v>
      </c>
      <c r="B660">
        <v>59.874144000000001</v>
      </c>
      <c r="C660">
        <v>174</v>
      </c>
      <c r="D660" t="s">
        <v>146</v>
      </c>
      <c r="E660">
        <v>24</v>
      </c>
      <c r="F660" t="s">
        <v>1676</v>
      </c>
      <c r="G660" t="s">
        <v>34</v>
      </c>
      <c r="H660" t="s">
        <v>29</v>
      </c>
      <c r="I660" t="s">
        <v>58</v>
      </c>
      <c r="J660">
        <v>1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1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1</v>
      </c>
      <c r="X660">
        <v>1137.53</v>
      </c>
      <c r="Y660">
        <v>1137.53</v>
      </c>
      <c r="Z660">
        <f>AVERAGEIFS(Table1[FinalElo], Table1[Country], Table1[[#This Row],[Country]])</f>
        <v>971.46103448275846</v>
      </c>
      <c r="AA660" cm="1">
        <f t="array" ref="AA660">IF(COUNTIFS(Table1[Country],Table1[[#This Row],[Country]])=1,0, _xlfn.STDEV.S(IF(Table1[Country]=Table1[[#This Row],[Country]],Table1[FinalElo])))</f>
        <v>107.62263899334665</v>
      </c>
      <c r="AB660">
        <f>IF(Table1[[#This Row],[CStd]]=0,0, (Table1[[#This Row],[FinalElo]]-Table1[[#This Row],[CAvg]]) / Table1[[#This Row],[CStd]])</f>
        <v>1.5430672121644227</v>
      </c>
      <c r="AC660" t="str">
        <f>IF(Table1[[#This Row],[CStd]]=0,"Normal", IF(ABS(Table1[[#This Row],[CZscore]])&gt;2,"Outlier","Normal"))</f>
        <v>Normal</v>
      </c>
    </row>
    <row r="661" spans="1:29" x14ac:dyDescent="0.35">
      <c r="A661" t="s">
        <v>1672</v>
      </c>
      <c r="B661">
        <v>-1</v>
      </c>
      <c r="C661">
        <v>185</v>
      </c>
      <c r="D661" t="s">
        <v>1673</v>
      </c>
      <c r="E661">
        <v>31</v>
      </c>
      <c r="F661" t="s">
        <v>1674</v>
      </c>
      <c r="G661" t="s">
        <v>54</v>
      </c>
      <c r="H661" t="s">
        <v>29</v>
      </c>
      <c r="I661" t="s">
        <v>1552</v>
      </c>
      <c r="J661">
        <v>0</v>
      </c>
      <c r="K661">
        <v>1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1</v>
      </c>
      <c r="T661">
        <v>0</v>
      </c>
      <c r="U661">
        <v>0</v>
      </c>
      <c r="V661">
        <v>0</v>
      </c>
      <c r="W661">
        <v>1</v>
      </c>
      <c r="X661">
        <v>900</v>
      </c>
      <c r="Y661">
        <v>1000</v>
      </c>
      <c r="Z661">
        <f>AVERAGEIFS(Table1[FinalElo], Table1[Country], Table1[[#This Row],[Country]])</f>
        <v>900</v>
      </c>
      <c r="AA661" cm="1">
        <f t="array" ref="AA661">IF(COUNTIFS(Table1[Country],Table1[[#This Row],[Country]])=1,0, _xlfn.STDEV.S(IF(Table1[Country]=Table1[[#This Row],[Country]],Table1[FinalElo])))</f>
        <v>0</v>
      </c>
      <c r="AB661">
        <f>IF(Table1[[#This Row],[CStd]]=0,0, (Table1[[#This Row],[FinalElo]]-Table1[[#This Row],[CAvg]]) / Table1[[#This Row],[CStd]])</f>
        <v>0</v>
      </c>
      <c r="AC661" t="str">
        <f>IF(Table1[[#This Row],[CStd]]=0,"Normal", IF(ABS(Table1[[#This Row],[CZscore]])&gt;2,"Outlier","Normal"))</f>
        <v>Normal</v>
      </c>
    </row>
    <row r="662" spans="1:29" x14ac:dyDescent="0.35">
      <c r="A662" t="s">
        <v>1671</v>
      </c>
      <c r="B662">
        <v>65.77</v>
      </c>
      <c r="C662">
        <v>188</v>
      </c>
      <c r="D662" t="s">
        <v>414</v>
      </c>
      <c r="E662">
        <v>28</v>
      </c>
      <c r="F662" t="s">
        <v>87</v>
      </c>
      <c r="G662" t="s">
        <v>34</v>
      </c>
      <c r="H662" t="s">
        <v>29</v>
      </c>
      <c r="I662" t="s">
        <v>48</v>
      </c>
      <c r="J662">
        <v>2</v>
      </c>
      <c r="K662">
        <v>1</v>
      </c>
      <c r="L662">
        <v>1</v>
      </c>
      <c r="M662">
        <v>0</v>
      </c>
      <c r="N662">
        <v>0</v>
      </c>
      <c r="O662">
        <v>0</v>
      </c>
      <c r="P662">
        <v>1</v>
      </c>
      <c r="Q662">
        <v>0</v>
      </c>
      <c r="R662">
        <v>1</v>
      </c>
      <c r="S662">
        <v>0</v>
      </c>
      <c r="T662">
        <v>0</v>
      </c>
      <c r="U662">
        <v>0</v>
      </c>
      <c r="V662">
        <v>0</v>
      </c>
      <c r="W662">
        <v>4</v>
      </c>
      <c r="X662">
        <v>1052.02</v>
      </c>
      <c r="Y662">
        <v>1135.99</v>
      </c>
      <c r="Z662">
        <f>AVERAGEIFS(Table1[FinalElo], Table1[Country], Table1[[#This Row],[Country]])</f>
        <v>1049.6228571428571</v>
      </c>
      <c r="AA662" cm="1">
        <f t="array" ref="AA662">IF(COUNTIFS(Table1[Country],Table1[[#This Row],[Country]])=1,0, _xlfn.STDEV.S(IF(Table1[Country]=Table1[[#This Row],[Country]],Table1[FinalElo])))</f>
        <v>104.38751437381221</v>
      </c>
      <c r="AB662">
        <f>IF(Table1[[#This Row],[CStd]]=0,0, (Table1[[#This Row],[FinalElo]]-Table1[[#This Row],[CAvg]]) / Table1[[#This Row],[CStd]])</f>
        <v>2.2963884823990279E-2</v>
      </c>
      <c r="AC662" t="str">
        <f>IF(Table1[[#This Row],[CStd]]=0,"Normal", IF(ABS(Table1[[#This Row],[CZscore]])&gt;2,"Outlier","Normal"))</f>
        <v>Normal</v>
      </c>
    </row>
    <row r="663" spans="1:29" x14ac:dyDescent="0.35">
      <c r="A663" t="s">
        <v>1669</v>
      </c>
      <c r="B663">
        <v>56.7</v>
      </c>
      <c r="C663">
        <v>184</v>
      </c>
      <c r="D663" t="s">
        <v>135</v>
      </c>
      <c r="E663">
        <v>20</v>
      </c>
      <c r="F663" t="s">
        <v>1670</v>
      </c>
      <c r="G663" t="s">
        <v>34</v>
      </c>
      <c r="H663" t="s">
        <v>29</v>
      </c>
      <c r="I663" t="s">
        <v>58</v>
      </c>
      <c r="J663">
        <v>1</v>
      </c>
      <c r="K663">
        <v>2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1</v>
      </c>
      <c r="S663">
        <v>0</v>
      </c>
      <c r="T663">
        <v>0</v>
      </c>
      <c r="U663">
        <v>1</v>
      </c>
      <c r="V663">
        <v>0</v>
      </c>
      <c r="W663">
        <v>3</v>
      </c>
      <c r="X663">
        <v>1000.46</v>
      </c>
      <c r="Y663">
        <v>1078.45</v>
      </c>
      <c r="Z663">
        <f>AVERAGEIFS(Table1[FinalElo], Table1[Country], Table1[[#This Row],[Country]])</f>
        <v>1008.644</v>
      </c>
      <c r="AA663" cm="1">
        <f t="array" ref="AA663">IF(COUNTIFS(Table1[Country],Table1[[#This Row],[Country]])=1,0, _xlfn.STDEV.S(IF(Table1[Country]=Table1[[#This Row],[Country]],Table1[FinalElo])))</f>
        <v>73.31330002121031</v>
      </c>
      <c r="AB663">
        <f>IF(Table1[[#This Row],[CStd]]=0,0, (Table1[[#This Row],[FinalElo]]-Table1[[#This Row],[CAvg]]) / Table1[[#This Row],[CStd]])</f>
        <v>-0.11163049538940754</v>
      </c>
      <c r="AC663" t="str">
        <f>IF(Table1[[#This Row],[CStd]]=0,"Normal", IF(ABS(Table1[[#This Row],[CZscore]])&gt;2,"Outlier","Normal"))</f>
        <v>Normal</v>
      </c>
    </row>
    <row r="664" spans="1:29" x14ac:dyDescent="0.35">
      <c r="A664" t="s">
        <v>1668</v>
      </c>
      <c r="B664">
        <v>70.31</v>
      </c>
      <c r="C664">
        <v>183</v>
      </c>
      <c r="D664" t="s">
        <v>135</v>
      </c>
      <c r="E664">
        <v>29</v>
      </c>
      <c r="F664" t="s">
        <v>87</v>
      </c>
      <c r="G664" t="s">
        <v>34</v>
      </c>
      <c r="H664" t="s">
        <v>29</v>
      </c>
      <c r="I664" t="s">
        <v>30</v>
      </c>
      <c r="J664">
        <v>0</v>
      </c>
      <c r="K664">
        <v>1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1</v>
      </c>
      <c r="X664">
        <v>928.01</v>
      </c>
      <c r="Y664">
        <v>1000</v>
      </c>
      <c r="Z664">
        <f>AVERAGEIFS(Table1[FinalElo], Table1[Country], Table1[[#This Row],[Country]])</f>
        <v>1008.644</v>
      </c>
      <c r="AA664" cm="1">
        <f t="array" ref="AA664">IF(COUNTIFS(Table1[Country],Table1[[#This Row],[Country]])=1,0, _xlfn.STDEV.S(IF(Table1[Country]=Table1[[#This Row],[Country]],Table1[FinalElo])))</f>
        <v>73.31330002121031</v>
      </c>
      <c r="AB664">
        <f>IF(Table1[[#This Row],[CStd]]=0,0, (Table1[[#This Row],[FinalElo]]-Table1[[#This Row],[CAvg]]) / Table1[[#This Row],[CStd]])</f>
        <v>-1.099855005526579</v>
      </c>
      <c r="AC664" t="str">
        <f>IF(Table1[[#This Row],[CStd]]=0,"Normal", IF(ABS(Table1[[#This Row],[CZscore]])&gt;2,"Outlier","Normal"))</f>
        <v>Normal</v>
      </c>
    </row>
    <row r="665" spans="1:29" x14ac:dyDescent="0.35">
      <c r="A665" t="s">
        <v>1665</v>
      </c>
      <c r="B665">
        <v>63</v>
      </c>
      <c r="C665">
        <v>168</v>
      </c>
      <c r="D665" t="s">
        <v>396</v>
      </c>
      <c r="E665">
        <v>26</v>
      </c>
      <c r="F665" t="s">
        <v>1666</v>
      </c>
      <c r="G665" t="s">
        <v>34</v>
      </c>
      <c r="H665" t="s">
        <v>29</v>
      </c>
      <c r="I665" t="s">
        <v>73</v>
      </c>
      <c r="J665">
        <v>2</v>
      </c>
      <c r="K665">
        <v>2</v>
      </c>
      <c r="L665">
        <v>0</v>
      </c>
      <c r="M665">
        <v>1</v>
      </c>
      <c r="N665">
        <v>0</v>
      </c>
      <c r="O665">
        <v>0</v>
      </c>
      <c r="P665">
        <v>0</v>
      </c>
      <c r="Q665">
        <v>1</v>
      </c>
      <c r="R665">
        <v>0</v>
      </c>
      <c r="S665">
        <v>0</v>
      </c>
      <c r="T665">
        <v>0</v>
      </c>
      <c r="U665">
        <v>2</v>
      </c>
      <c r="V665">
        <v>0</v>
      </c>
      <c r="W665">
        <v>4</v>
      </c>
      <c r="X665">
        <v>996.59</v>
      </c>
      <c r="Y665">
        <v>1171.99</v>
      </c>
      <c r="Z665">
        <f>AVERAGEIFS(Table1[FinalElo], Table1[Country], Table1[[#This Row],[Country]])</f>
        <v>998.29391304347814</v>
      </c>
      <c r="AA665" cm="1">
        <f t="array" ref="AA665">IF(COUNTIFS(Table1[Country],Table1[[#This Row],[Country]])=1,0, _xlfn.STDEV.S(IF(Table1[Country]=Table1[[#This Row],[Country]],Table1[FinalElo])))</f>
        <v>125.31531828802386</v>
      </c>
      <c r="AB665">
        <f>IF(Table1[[#This Row],[CStd]]=0,0, (Table1[[#This Row],[FinalElo]]-Table1[[#This Row],[CAvg]]) / Table1[[#This Row],[CStd]])</f>
        <v>-1.3597005272426856E-2</v>
      </c>
      <c r="AC665" t="str">
        <f>IF(Table1[[#This Row],[CStd]]=0,"Normal", IF(ABS(Table1[[#This Row],[CZscore]])&gt;2,"Outlier","Normal"))</f>
        <v>Normal</v>
      </c>
    </row>
    <row r="666" spans="1:29" x14ac:dyDescent="0.35">
      <c r="A666" t="s">
        <v>1663</v>
      </c>
      <c r="B666">
        <v>51.7</v>
      </c>
      <c r="C666">
        <v>162</v>
      </c>
      <c r="D666" t="s">
        <v>109</v>
      </c>
      <c r="E666">
        <v>22</v>
      </c>
      <c r="F666" t="s">
        <v>1664</v>
      </c>
      <c r="G666" t="s">
        <v>34</v>
      </c>
      <c r="H666" t="s">
        <v>29</v>
      </c>
      <c r="I666" t="s">
        <v>55</v>
      </c>
      <c r="J666">
        <v>2</v>
      </c>
      <c r="K666">
        <v>3</v>
      </c>
      <c r="L666">
        <v>0</v>
      </c>
      <c r="M666">
        <v>0</v>
      </c>
      <c r="N666">
        <v>0</v>
      </c>
      <c r="O666">
        <v>0</v>
      </c>
      <c r="P666">
        <v>2</v>
      </c>
      <c r="Q666">
        <v>0</v>
      </c>
      <c r="R666">
        <v>0</v>
      </c>
      <c r="S666">
        <v>0</v>
      </c>
      <c r="T666">
        <v>0</v>
      </c>
      <c r="U666">
        <v>3</v>
      </c>
      <c r="V666">
        <v>0</v>
      </c>
      <c r="W666">
        <v>5</v>
      </c>
      <c r="X666">
        <v>879.84</v>
      </c>
      <c r="Y666">
        <v>1169.24</v>
      </c>
      <c r="Z666">
        <f>AVERAGEIFS(Table1[FinalElo], Table1[Country], Table1[[#This Row],[Country]])</f>
        <v>1017.2428571428571</v>
      </c>
      <c r="AA666" cm="1">
        <f t="array" ref="AA666">IF(COUNTIFS(Table1[Country],Table1[[#This Row],[Country]])=1,0, _xlfn.STDEV.S(IF(Table1[Country]=Table1[[#This Row],[Country]],Table1[FinalElo])))</f>
        <v>205.21100910317449</v>
      </c>
      <c r="AB666">
        <f>IF(Table1[[#This Row],[CStd]]=0,0, (Table1[[#This Row],[FinalElo]]-Table1[[#This Row],[CAvg]]) / Table1[[#This Row],[CStd]])</f>
        <v>-0.66956864421330675</v>
      </c>
      <c r="AC666" t="str">
        <f>IF(Table1[[#This Row],[CStd]]=0,"Normal", IF(ABS(Table1[[#This Row],[CZscore]])&gt;2,"Outlier","Normal"))</f>
        <v>Normal</v>
      </c>
    </row>
    <row r="667" spans="1:29" x14ac:dyDescent="0.35">
      <c r="A667" t="s">
        <v>1661</v>
      </c>
      <c r="B667">
        <v>61.2</v>
      </c>
      <c r="C667">
        <v>175</v>
      </c>
      <c r="D667" t="s">
        <v>116</v>
      </c>
      <c r="E667">
        <v>26</v>
      </c>
      <c r="F667" t="s">
        <v>1662</v>
      </c>
      <c r="G667" t="s">
        <v>34</v>
      </c>
      <c r="H667" t="s">
        <v>29</v>
      </c>
      <c r="I667" t="s">
        <v>58</v>
      </c>
      <c r="J667">
        <v>1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1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1</v>
      </c>
      <c r="X667">
        <v>1128.01</v>
      </c>
      <c r="Y667">
        <v>1128.01</v>
      </c>
      <c r="Z667">
        <f>AVERAGEIFS(Table1[FinalElo], Table1[Country], Table1[[#This Row],[Country]])</f>
        <v>980.88090909090931</v>
      </c>
      <c r="AA667" cm="1">
        <f t="array" ref="AA667">IF(COUNTIFS(Table1[Country],Table1[[#This Row],[Country]])=1,0, _xlfn.STDEV.S(IF(Table1[Country]=Table1[[#This Row],[Country]],Table1[FinalElo])))</f>
        <v>133.41794796376408</v>
      </c>
      <c r="AB667">
        <f>IF(Table1[[#This Row],[CStd]]=0,0, (Table1[[#This Row],[FinalElo]]-Table1[[#This Row],[CAvg]]) / Table1[[#This Row],[CStd]])</f>
        <v>1.1027683542925613</v>
      </c>
      <c r="AC667" t="str">
        <f>IF(Table1[[#This Row],[CStd]]=0,"Normal", IF(ABS(Table1[[#This Row],[CZscore]])&gt;2,"Outlier","Normal"))</f>
        <v>Normal</v>
      </c>
    </row>
    <row r="668" spans="1:29" x14ac:dyDescent="0.35">
      <c r="A668" t="s">
        <v>1659</v>
      </c>
      <c r="B668">
        <v>56.7</v>
      </c>
      <c r="C668">
        <v>170</v>
      </c>
      <c r="D668" t="s">
        <v>116</v>
      </c>
      <c r="E668">
        <v>30</v>
      </c>
      <c r="F668" t="s">
        <v>1660</v>
      </c>
      <c r="G668" t="s">
        <v>40</v>
      </c>
      <c r="H668" t="s">
        <v>29</v>
      </c>
      <c r="I668" t="s">
        <v>58</v>
      </c>
      <c r="J668">
        <v>1</v>
      </c>
      <c r="K668">
        <v>1</v>
      </c>
      <c r="L668">
        <v>0</v>
      </c>
      <c r="M668">
        <v>0</v>
      </c>
      <c r="N668">
        <v>0</v>
      </c>
      <c r="O668">
        <v>0</v>
      </c>
      <c r="P668">
        <v>1</v>
      </c>
      <c r="Q668">
        <v>0</v>
      </c>
      <c r="R668">
        <v>0</v>
      </c>
      <c r="S668">
        <v>1</v>
      </c>
      <c r="T668">
        <v>0</v>
      </c>
      <c r="U668">
        <v>0</v>
      </c>
      <c r="V668">
        <v>0</v>
      </c>
      <c r="W668">
        <v>2</v>
      </c>
      <c r="X668">
        <v>999.27</v>
      </c>
      <c r="Y668">
        <v>1079.57</v>
      </c>
      <c r="Z668">
        <f>AVERAGEIFS(Table1[FinalElo], Table1[Country], Table1[[#This Row],[Country]])</f>
        <v>980.88090909090931</v>
      </c>
      <c r="AA668" cm="1">
        <f t="array" ref="AA668">IF(COUNTIFS(Table1[Country],Table1[[#This Row],[Country]])=1,0, _xlfn.STDEV.S(IF(Table1[Country]=Table1[[#This Row],[Country]],Table1[FinalElo])))</f>
        <v>133.41794796376408</v>
      </c>
      <c r="AB668">
        <f>IF(Table1[[#This Row],[CStd]]=0,0, (Table1[[#This Row],[FinalElo]]-Table1[[#This Row],[CAvg]]) / Table1[[#This Row],[CStd]])</f>
        <v>0.13783071310679348</v>
      </c>
      <c r="AC668" t="str">
        <f>IF(Table1[[#This Row],[CStd]]=0,"Normal", IF(ABS(Table1[[#This Row],[CZscore]])&gt;2,"Outlier","Normal"))</f>
        <v>Normal</v>
      </c>
    </row>
    <row r="669" spans="1:29" x14ac:dyDescent="0.35">
      <c r="A669" t="s">
        <v>1656</v>
      </c>
      <c r="B669">
        <v>65.8</v>
      </c>
      <c r="C669">
        <v>172</v>
      </c>
      <c r="D669" t="s">
        <v>1657</v>
      </c>
      <c r="E669">
        <v>40</v>
      </c>
      <c r="F669" t="s">
        <v>1658</v>
      </c>
      <c r="G669" t="s">
        <v>40</v>
      </c>
      <c r="H669" t="s">
        <v>29</v>
      </c>
      <c r="I669" t="s">
        <v>48</v>
      </c>
      <c r="J669">
        <v>0</v>
      </c>
      <c r="K669">
        <v>1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1</v>
      </c>
      <c r="T669">
        <v>0</v>
      </c>
      <c r="U669">
        <v>0</v>
      </c>
      <c r="V669">
        <v>0</v>
      </c>
      <c r="W669">
        <v>1</v>
      </c>
      <c r="X669">
        <v>974.45</v>
      </c>
      <c r="Y669">
        <v>1000</v>
      </c>
      <c r="Z669">
        <f>AVERAGEIFS(Table1[FinalElo], Table1[Country], Table1[[#This Row],[Country]])</f>
        <v>974.45</v>
      </c>
      <c r="AA669" cm="1">
        <f t="array" ref="AA669">IF(COUNTIFS(Table1[Country],Table1[[#This Row],[Country]])=1,0, _xlfn.STDEV.S(IF(Table1[Country]=Table1[[#This Row],[Country]],Table1[FinalElo])))</f>
        <v>0</v>
      </c>
      <c r="AB669">
        <f>IF(Table1[[#This Row],[CStd]]=0,0, (Table1[[#This Row],[FinalElo]]-Table1[[#This Row],[CAvg]]) / Table1[[#This Row],[CStd]])</f>
        <v>0</v>
      </c>
      <c r="AC669" t="str">
        <f>IF(Table1[[#This Row],[CStd]]=0,"Normal", IF(ABS(Table1[[#This Row],[CZscore]])&gt;2,"Outlier","Normal"))</f>
        <v>Normal</v>
      </c>
    </row>
    <row r="670" spans="1:29" x14ac:dyDescent="0.35">
      <c r="A670" t="s">
        <v>1655</v>
      </c>
      <c r="B670">
        <v>45.1</v>
      </c>
      <c r="C670">
        <v>155</v>
      </c>
      <c r="D670" t="s">
        <v>82</v>
      </c>
      <c r="E670">
        <v>29</v>
      </c>
      <c r="F670" t="s">
        <v>876</v>
      </c>
      <c r="G670" t="s">
        <v>28</v>
      </c>
      <c r="H670" t="s">
        <v>29</v>
      </c>
      <c r="I670" t="s">
        <v>55</v>
      </c>
      <c r="J670">
        <v>1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1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1</v>
      </c>
      <c r="X670">
        <v>1079.57</v>
      </c>
      <c r="Y670">
        <v>1079.57</v>
      </c>
      <c r="Z670">
        <f>AVERAGEIFS(Table1[FinalElo], Table1[Country], Table1[[#This Row],[Country]])</f>
        <v>1012.5275373134326</v>
      </c>
      <c r="AA670" cm="1">
        <f t="array" ref="AA670">IF(COUNTIFS(Table1[Country],Table1[[#This Row],[Country]])=1,0, _xlfn.STDEV.S(IF(Table1[Country]=Table1[[#This Row],[Country]],Table1[FinalElo])))</f>
        <v>135.61062237674741</v>
      </c>
      <c r="AB670">
        <f>IF(Table1[[#This Row],[CStd]]=0,0, (Table1[[#This Row],[FinalElo]]-Table1[[#This Row],[CAvg]]) / Table1[[#This Row],[CStd]])</f>
        <v>0.49437471424851159</v>
      </c>
      <c r="AC670" t="str">
        <f>IF(Table1[[#This Row],[CStd]]=0,"Normal", IF(ABS(Table1[[#This Row],[CZscore]])&gt;2,"Outlier","Normal"))</f>
        <v>Normal</v>
      </c>
    </row>
    <row r="671" spans="1:29" x14ac:dyDescent="0.35">
      <c r="A671" t="s">
        <v>1653</v>
      </c>
      <c r="B671">
        <v>65.77</v>
      </c>
      <c r="C671">
        <v>181</v>
      </c>
      <c r="D671" t="s">
        <v>247</v>
      </c>
      <c r="E671">
        <v>26</v>
      </c>
      <c r="F671" t="s">
        <v>1654</v>
      </c>
      <c r="G671" t="s">
        <v>40</v>
      </c>
      <c r="H671" t="s">
        <v>29</v>
      </c>
      <c r="I671" t="s">
        <v>48</v>
      </c>
      <c r="J671">
        <v>0</v>
      </c>
      <c r="K671">
        <v>1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1</v>
      </c>
      <c r="S671">
        <v>0</v>
      </c>
      <c r="T671">
        <v>0</v>
      </c>
      <c r="U671">
        <v>0</v>
      </c>
      <c r="V671">
        <v>0</v>
      </c>
      <c r="W671">
        <v>1</v>
      </c>
      <c r="X671">
        <v>919.59</v>
      </c>
      <c r="Y671">
        <v>1000</v>
      </c>
      <c r="Z671">
        <f>AVERAGEIFS(Table1[FinalElo], Table1[Country], Table1[[#This Row],[Country]])</f>
        <v>1050.0176190476191</v>
      </c>
      <c r="AA671" cm="1">
        <f t="array" ref="AA671">IF(COUNTIFS(Table1[Country],Table1[[#This Row],[Country]])=1,0, _xlfn.STDEV.S(IF(Table1[Country]=Table1[[#This Row],[Country]],Table1[FinalElo])))</f>
        <v>127.00578096703971</v>
      </c>
      <c r="AB671">
        <f>IF(Table1[[#This Row],[CStd]]=0,0, (Table1[[#This Row],[FinalElo]]-Table1[[#This Row],[CAvg]]) / Table1[[#This Row],[CStd]])</f>
        <v>-1.0269423805320117</v>
      </c>
      <c r="AC671" t="str">
        <f>IF(Table1[[#This Row],[CStd]]=0,"Normal", IF(ABS(Table1[[#This Row],[CZscore]])&gt;2,"Outlier","Normal"))</f>
        <v>Normal</v>
      </c>
    </row>
    <row r="672" spans="1:29" x14ac:dyDescent="0.35">
      <c r="A672" t="s">
        <v>1651</v>
      </c>
      <c r="B672">
        <v>64.3</v>
      </c>
      <c r="C672">
        <v>171</v>
      </c>
      <c r="D672" t="s">
        <v>396</v>
      </c>
      <c r="E672">
        <v>23</v>
      </c>
      <c r="F672" t="s">
        <v>1652</v>
      </c>
      <c r="G672" t="s">
        <v>34</v>
      </c>
      <c r="H672" t="s">
        <v>29</v>
      </c>
      <c r="I672" t="s">
        <v>73</v>
      </c>
      <c r="J672">
        <v>1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1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1</v>
      </c>
      <c r="X672">
        <v>1100</v>
      </c>
      <c r="Y672">
        <v>1100</v>
      </c>
      <c r="Z672">
        <f>AVERAGEIFS(Table1[FinalElo], Table1[Country], Table1[[#This Row],[Country]])</f>
        <v>998.29391304347814</v>
      </c>
      <c r="AA672" cm="1">
        <f t="array" ref="AA672">IF(COUNTIFS(Table1[Country],Table1[[#This Row],[Country]])=1,0, _xlfn.STDEV.S(IF(Table1[Country]=Table1[[#This Row],[Country]],Table1[FinalElo])))</f>
        <v>125.31531828802386</v>
      </c>
      <c r="AB672">
        <f>IF(Table1[[#This Row],[CStd]]=0,0, (Table1[[#This Row],[FinalElo]]-Table1[[#This Row],[CAvg]]) / Table1[[#This Row],[CStd]])</f>
        <v>0.81160139355638306</v>
      </c>
      <c r="AC672" t="str">
        <f>IF(Table1[[#This Row],[CStd]]=0,"Normal", IF(ABS(Table1[[#This Row],[CZscore]])&gt;2,"Outlier","Normal"))</f>
        <v>Normal</v>
      </c>
    </row>
    <row r="673" spans="1:29" x14ac:dyDescent="0.35">
      <c r="A673" t="s">
        <v>1648</v>
      </c>
      <c r="B673">
        <v>70.3</v>
      </c>
      <c r="C673">
        <v>173</v>
      </c>
      <c r="D673" t="s">
        <v>513</v>
      </c>
      <c r="E673">
        <v>27</v>
      </c>
      <c r="F673" t="s">
        <v>514</v>
      </c>
      <c r="G673" t="s">
        <v>40</v>
      </c>
      <c r="H673" t="s">
        <v>29</v>
      </c>
      <c r="I673" t="s">
        <v>48</v>
      </c>
      <c r="J673">
        <v>0</v>
      </c>
      <c r="K673">
        <v>1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1</v>
      </c>
      <c r="V673">
        <v>0</v>
      </c>
      <c r="W673">
        <v>1</v>
      </c>
      <c r="X673">
        <v>939.67</v>
      </c>
      <c r="Y673">
        <v>1000</v>
      </c>
      <c r="Z673">
        <f>AVERAGEIFS(Table1[FinalElo], Table1[Country], Table1[[#This Row],[Country]])</f>
        <v>991.92857142857144</v>
      </c>
      <c r="AA673" cm="1">
        <f t="array" ref="AA673">IF(COUNTIFS(Table1[Country],Table1[[#This Row],[Country]])=1,0, _xlfn.STDEV.S(IF(Table1[Country]=Table1[[#This Row],[Country]],Table1[FinalElo])))</f>
        <v>154.84924955929111</v>
      </c>
      <c r="AB673">
        <f>IF(Table1[[#This Row],[CStd]]=0,0, (Table1[[#This Row],[FinalElo]]-Table1[[#This Row],[CAvg]]) / Table1[[#This Row],[CStd]])</f>
        <v>-0.33748030150163499</v>
      </c>
      <c r="AC673" t="str">
        <f>IF(Table1[[#This Row],[CStd]]=0,"Normal", IF(ABS(Table1[[#This Row],[CZscore]])&gt;2,"Outlier","Normal"))</f>
        <v>Normal</v>
      </c>
    </row>
    <row r="674" spans="1:29" x14ac:dyDescent="0.35">
      <c r="A674" t="s">
        <v>1646</v>
      </c>
      <c r="B674">
        <v>52.16</v>
      </c>
      <c r="C674">
        <v>147</v>
      </c>
      <c r="D674" t="s">
        <v>825</v>
      </c>
      <c r="E674">
        <v>23</v>
      </c>
      <c r="F674" t="s">
        <v>1647</v>
      </c>
      <c r="G674" t="s">
        <v>54</v>
      </c>
      <c r="H674" t="s">
        <v>29</v>
      </c>
      <c r="I674" t="s">
        <v>36</v>
      </c>
      <c r="J674">
        <v>0</v>
      </c>
      <c r="K674">
        <v>1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1</v>
      </c>
      <c r="T674">
        <v>0</v>
      </c>
      <c r="U674">
        <v>0</v>
      </c>
      <c r="V674">
        <v>0</v>
      </c>
      <c r="W674">
        <v>1</v>
      </c>
      <c r="X674">
        <v>900</v>
      </c>
      <c r="Y674">
        <v>1000</v>
      </c>
      <c r="Z674">
        <f>AVERAGEIFS(Table1[FinalElo], Table1[Country], Table1[[#This Row],[Country]])</f>
        <v>900</v>
      </c>
      <c r="AA674" cm="1">
        <f t="array" ref="AA674">IF(COUNTIFS(Table1[Country],Table1[[#This Row],[Country]])=1,0, _xlfn.STDEV.S(IF(Table1[Country]=Table1[[#This Row],[Country]],Table1[FinalElo])))</f>
        <v>0</v>
      </c>
      <c r="AB674">
        <f>IF(Table1[[#This Row],[CStd]]=0,0, (Table1[[#This Row],[FinalElo]]-Table1[[#This Row],[CAvg]]) / Table1[[#This Row],[CStd]])</f>
        <v>0</v>
      </c>
      <c r="AC674" t="str">
        <f>IF(Table1[[#This Row],[CStd]]=0,"Normal", IF(ABS(Table1[[#This Row],[CZscore]])&gt;2,"Outlier","Normal"))</f>
        <v>Normal</v>
      </c>
    </row>
    <row r="675" spans="1:29" x14ac:dyDescent="0.35">
      <c r="A675" t="s">
        <v>1644</v>
      </c>
      <c r="B675">
        <v>58.059775999999999</v>
      </c>
      <c r="C675">
        <v>171</v>
      </c>
      <c r="D675" t="s">
        <v>1637</v>
      </c>
      <c r="E675">
        <v>29</v>
      </c>
      <c r="F675" t="s">
        <v>1645</v>
      </c>
      <c r="G675" t="s">
        <v>28</v>
      </c>
      <c r="H675" t="s">
        <v>29</v>
      </c>
      <c r="I675" t="s">
        <v>58</v>
      </c>
      <c r="J675">
        <v>0</v>
      </c>
      <c r="K675">
        <v>1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1</v>
      </c>
      <c r="V675">
        <v>0</v>
      </c>
      <c r="W675">
        <v>1</v>
      </c>
      <c r="X675">
        <v>959.22</v>
      </c>
      <c r="Y675">
        <v>1000</v>
      </c>
      <c r="Z675">
        <f>AVERAGEIFS(Table1[FinalElo], Table1[Country], Table1[[#This Row],[Country]])</f>
        <v>915.60500000000002</v>
      </c>
      <c r="AA675" cm="1">
        <f t="array" ref="AA675">IF(COUNTIFS(Table1[Country],Table1[[#This Row],[Country]])=1,0, _xlfn.STDEV.S(IF(Table1[Country]=Table1[[#This Row],[Country]],Table1[FinalElo])))</f>
        <v>61.680924522902551</v>
      </c>
      <c r="AB675">
        <f>IF(Table1[[#This Row],[CStd]]=0,0, (Table1[[#This Row],[FinalElo]]-Table1[[#This Row],[CAvg]]) / Table1[[#This Row],[CStd]])</f>
        <v>0.70710678118654757</v>
      </c>
      <c r="AC675" t="str">
        <f>IF(Table1[[#This Row],[CStd]]=0,"Normal", IF(ABS(Table1[[#This Row],[CZscore]])&gt;2,"Outlier","Normal"))</f>
        <v>Normal</v>
      </c>
    </row>
    <row r="676" spans="1:29" x14ac:dyDescent="0.35">
      <c r="A676" t="s">
        <v>1643</v>
      </c>
      <c r="B676">
        <v>56.7</v>
      </c>
      <c r="C676">
        <v>170</v>
      </c>
      <c r="D676" t="s">
        <v>146</v>
      </c>
      <c r="E676">
        <v>27</v>
      </c>
      <c r="F676" t="s">
        <v>33</v>
      </c>
      <c r="G676" t="s">
        <v>40</v>
      </c>
      <c r="H676" t="s">
        <v>29</v>
      </c>
      <c r="I676" t="s">
        <v>58</v>
      </c>
      <c r="J676">
        <v>0</v>
      </c>
      <c r="K676">
        <v>1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1</v>
      </c>
      <c r="S676">
        <v>0</v>
      </c>
      <c r="T676">
        <v>0</v>
      </c>
      <c r="U676">
        <v>0</v>
      </c>
      <c r="V676">
        <v>0</v>
      </c>
      <c r="W676">
        <v>1</v>
      </c>
      <c r="X676">
        <v>900</v>
      </c>
      <c r="Y676">
        <v>1000</v>
      </c>
      <c r="Z676">
        <f>AVERAGEIFS(Table1[FinalElo], Table1[Country], Table1[[#This Row],[Country]])</f>
        <v>971.46103448275846</v>
      </c>
      <c r="AA676" cm="1">
        <f t="array" ref="AA676">IF(COUNTIFS(Table1[Country],Table1[[#This Row],[Country]])=1,0, _xlfn.STDEV.S(IF(Table1[Country]=Table1[[#This Row],[Country]],Table1[FinalElo])))</f>
        <v>107.62263899334665</v>
      </c>
      <c r="AB676">
        <f>IF(Table1[[#This Row],[CStd]]=0,0, (Table1[[#This Row],[FinalElo]]-Table1[[#This Row],[CAvg]]) / Table1[[#This Row],[CStd]])</f>
        <v>-0.66399630366967921</v>
      </c>
      <c r="AC676" t="str">
        <f>IF(Table1[[#This Row],[CStd]]=0,"Normal", IF(ABS(Table1[[#This Row],[CZscore]])&gt;2,"Outlier","Normal"))</f>
        <v>Normal</v>
      </c>
    </row>
    <row r="677" spans="1:29" x14ac:dyDescent="0.35">
      <c r="A677" t="s">
        <v>1642</v>
      </c>
      <c r="B677">
        <v>73.2</v>
      </c>
      <c r="C677">
        <v>180</v>
      </c>
      <c r="D677" t="s">
        <v>38</v>
      </c>
      <c r="E677">
        <v>29</v>
      </c>
      <c r="F677" t="s">
        <v>1448</v>
      </c>
      <c r="G677" t="s">
        <v>40</v>
      </c>
      <c r="H677" t="s">
        <v>29</v>
      </c>
      <c r="I677" t="s">
        <v>30</v>
      </c>
      <c r="J677">
        <v>0</v>
      </c>
      <c r="K677">
        <v>1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1</v>
      </c>
      <c r="W677">
        <v>1</v>
      </c>
      <c r="X677">
        <v>900</v>
      </c>
      <c r="Y677">
        <v>1000</v>
      </c>
      <c r="Z677">
        <f>AVERAGEIFS(Table1[FinalElo], Table1[Country], Table1[[#This Row],[Country]])</f>
        <v>1057.4495402298851</v>
      </c>
      <c r="AA677" cm="1">
        <f t="array" ref="AA677">IF(COUNTIFS(Table1[Country],Table1[[#This Row],[Country]])=1,0, _xlfn.STDEV.S(IF(Table1[Country]=Table1[[#This Row],[Country]],Table1[FinalElo])))</f>
        <v>156.98667602259493</v>
      </c>
      <c r="AB677">
        <f>IF(Table1[[#This Row],[CStd]]=0,0, (Table1[[#This Row],[FinalElo]]-Table1[[#This Row],[CAvg]]) / Table1[[#This Row],[CStd]])</f>
        <v>-1.0029484298860085</v>
      </c>
      <c r="AC677" t="str">
        <f>IF(Table1[[#This Row],[CStd]]=0,"Normal", IF(ABS(Table1[[#This Row],[CZscore]])&gt;2,"Outlier","Normal"))</f>
        <v>Normal</v>
      </c>
    </row>
    <row r="678" spans="1:29" x14ac:dyDescent="0.35">
      <c r="A678" t="s">
        <v>1641</v>
      </c>
      <c r="B678">
        <v>52.16</v>
      </c>
      <c r="C678">
        <v>175</v>
      </c>
      <c r="D678" t="s">
        <v>332</v>
      </c>
      <c r="E678">
        <v>33</v>
      </c>
      <c r="F678">
        <v>1</v>
      </c>
      <c r="G678" t="s">
        <v>34</v>
      </c>
      <c r="H678" t="s">
        <v>29</v>
      </c>
      <c r="I678" t="s">
        <v>36</v>
      </c>
      <c r="J678">
        <v>1</v>
      </c>
      <c r="K678">
        <v>0</v>
      </c>
      <c r="L678">
        <v>0</v>
      </c>
      <c r="M678">
        <v>0</v>
      </c>
      <c r="N678">
        <v>0</v>
      </c>
      <c r="O678">
        <v>1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1</v>
      </c>
      <c r="X678">
        <v>1100</v>
      </c>
      <c r="Y678">
        <v>1100</v>
      </c>
      <c r="Z678">
        <f>AVERAGEIFS(Table1[FinalElo], Table1[Country], Table1[[#This Row],[Country]])</f>
        <v>975.5858333333332</v>
      </c>
      <c r="AA678" cm="1">
        <f t="array" ref="AA678">IF(COUNTIFS(Table1[Country],Table1[[#This Row],[Country]])=1,0, _xlfn.STDEV.S(IF(Table1[Country]=Table1[[#This Row],[Country]],Table1[FinalElo])))</f>
        <v>72.69168633948992</v>
      </c>
      <c r="AB678">
        <f>IF(Table1[[#This Row],[CStd]]=0,0, (Table1[[#This Row],[FinalElo]]-Table1[[#This Row],[CAvg]]) / Table1[[#This Row],[CStd]])</f>
        <v>1.7115322663670072</v>
      </c>
      <c r="AC678" t="str">
        <f>IF(Table1[[#This Row],[CStd]]=0,"Normal", IF(ABS(Table1[[#This Row],[CZscore]])&gt;2,"Outlier","Normal"))</f>
        <v>Normal</v>
      </c>
    </row>
    <row r="679" spans="1:29" x14ac:dyDescent="0.35">
      <c r="A679" t="s">
        <v>1639</v>
      </c>
      <c r="B679">
        <v>77.11</v>
      </c>
      <c r="C679">
        <v>178</v>
      </c>
      <c r="D679" t="s">
        <v>38</v>
      </c>
      <c r="E679">
        <v>28</v>
      </c>
      <c r="F679" t="s">
        <v>1640</v>
      </c>
      <c r="G679" t="s">
        <v>40</v>
      </c>
      <c r="H679" t="s">
        <v>29</v>
      </c>
      <c r="I679" t="s">
        <v>50</v>
      </c>
      <c r="J679">
        <v>1</v>
      </c>
      <c r="K679">
        <v>0</v>
      </c>
      <c r="L679">
        <v>0</v>
      </c>
      <c r="M679">
        <v>1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1</v>
      </c>
      <c r="X679">
        <v>1135.26</v>
      </c>
      <c r="Y679">
        <v>1135.26</v>
      </c>
      <c r="Z679">
        <f>AVERAGEIFS(Table1[FinalElo], Table1[Country], Table1[[#This Row],[Country]])</f>
        <v>1057.4495402298851</v>
      </c>
      <c r="AA679" cm="1">
        <f t="array" ref="AA679">IF(COUNTIFS(Table1[Country],Table1[[#This Row],[Country]])=1,0, _xlfn.STDEV.S(IF(Table1[Country]=Table1[[#This Row],[Country]],Table1[FinalElo])))</f>
        <v>156.98667602259493</v>
      </c>
      <c r="AB679">
        <f>IF(Table1[[#This Row],[CStd]]=0,0, (Table1[[#This Row],[FinalElo]]-Table1[[#This Row],[CAvg]]) / Table1[[#This Row],[CStd]])</f>
        <v>0.49565008790246456</v>
      </c>
      <c r="AC679" t="str">
        <f>IF(Table1[[#This Row],[CStd]]=0,"Normal", IF(ABS(Table1[[#This Row],[CZscore]])&gt;2,"Outlier","Normal"))</f>
        <v>Normal</v>
      </c>
    </row>
    <row r="680" spans="1:29" x14ac:dyDescent="0.35">
      <c r="A680" t="s">
        <v>1636</v>
      </c>
      <c r="B680">
        <v>102.1</v>
      </c>
      <c r="C680">
        <v>198</v>
      </c>
      <c r="D680" t="s">
        <v>1637</v>
      </c>
      <c r="E680">
        <v>30</v>
      </c>
      <c r="F680" t="s">
        <v>1638</v>
      </c>
      <c r="G680" t="s">
        <v>28</v>
      </c>
      <c r="H680" t="s">
        <v>29</v>
      </c>
      <c r="I680" t="s">
        <v>94</v>
      </c>
      <c r="J680">
        <v>0</v>
      </c>
      <c r="K680">
        <v>1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1</v>
      </c>
      <c r="X680">
        <v>871.99</v>
      </c>
      <c r="Y680">
        <v>1000</v>
      </c>
      <c r="Z680">
        <f>AVERAGEIFS(Table1[FinalElo], Table1[Country], Table1[[#This Row],[Country]])</f>
        <v>915.60500000000002</v>
      </c>
      <c r="AA680" cm="1">
        <f t="array" ref="AA680">IF(COUNTIFS(Table1[Country],Table1[[#This Row],[Country]])=1,0, _xlfn.STDEV.S(IF(Table1[Country]=Table1[[#This Row],[Country]],Table1[FinalElo])))</f>
        <v>61.680924522902551</v>
      </c>
      <c r="AB680">
        <f>IF(Table1[[#This Row],[CStd]]=0,0, (Table1[[#This Row],[FinalElo]]-Table1[[#This Row],[CAvg]]) / Table1[[#This Row],[CStd]])</f>
        <v>-0.70710678118654757</v>
      </c>
      <c r="AC680" t="str">
        <f>IF(Table1[[#This Row],[CStd]]=0,"Normal", IF(ABS(Table1[[#This Row],[CZscore]])&gt;2,"Outlier","Normal"))</f>
        <v>Normal</v>
      </c>
    </row>
    <row r="681" spans="1:29" x14ac:dyDescent="0.35">
      <c r="A681" t="s">
        <v>1635</v>
      </c>
      <c r="B681">
        <v>66.678023999999994</v>
      </c>
      <c r="C681">
        <v>178</v>
      </c>
      <c r="D681" t="s">
        <v>723</v>
      </c>
      <c r="E681">
        <v>24</v>
      </c>
      <c r="F681" t="s">
        <v>1408</v>
      </c>
      <c r="G681" t="s">
        <v>34</v>
      </c>
      <c r="H681" t="s">
        <v>29</v>
      </c>
      <c r="I681" t="s">
        <v>48</v>
      </c>
      <c r="J681">
        <v>1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1</v>
      </c>
      <c r="X681">
        <v>1100</v>
      </c>
      <c r="Y681">
        <v>1100</v>
      </c>
      <c r="Z681">
        <f>AVERAGEIFS(Table1[FinalElo], Table1[Country], Table1[[#This Row],[Country]])</f>
        <v>969.45666666666659</v>
      </c>
      <c r="AA681" cm="1">
        <f t="array" ref="AA681">IF(COUNTIFS(Table1[Country],Table1[[#This Row],[Country]])=1,0, _xlfn.STDEV.S(IF(Table1[Country]=Table1[[#This Row],[Country]],Table1[FinalElo])))</f>
        <v>71.282681674209385</v>
      </c>
      <c r="AB681">
        <f>IF(Table1[[#This Row],[CStd]]=0,0, (Table1[[#This Row],[FinalElo]]-Table1[[#This Row],[CAvg]]) / Table1[[#This Row],[CStd]])</f>
        <v>1.8313471135944226</v>
      </c>
      <c r="AC681" t="str">
        <f>IF(Table1[[#This Row],[CStd]]=0,"Normal", IF(ABS(Table1[[#This Row],[CZscore]])&gt;2,"Outlier","Normal"))</f>
        <v>Normal</v>
      </c>
    </row>
    <row r="682" spans="1:29" x14ac:dyDescent="0.35">
      <c r="A682" t="s">
        <v>1633</v>
      </c>
      <c r="B682">
        <v>56.7</v>
      </c>
      <c r="C682">
        <v>160</v>
      </c>
      <c r="D682" t="s">
        <v>32</v>
      </c>
      <c r="E682">
        <v>43</v>
      </c>
      <c r="F682" t="s">
        <v>1634</v>
      </c>
      <c r="G682" t="s">
        <v>40</v>
      </c>
      <c r="H682" t="s">
        <v>29</v>
      </c>
      <c r="I682" t="s">
        <v>58</v>
      </c>
      <c r="J682">
        <v>4</v>
      </c>
      <c r="K682">
        <v>2</v>
      </c>
      <c r="L682">
        <v>0</v>
      </c>
      <c r="M682">
        <v>0</v>
      </c>
      <c r="N682">
        <v>3</v>
      </c>
      <c r="O682">
        <v>0</v>
      </c>
      <c r="P682">
        <v>1</v>
      </c>
      <c r="Q682">
        <v>0</v>
      </c>
      <c r="R682">
        <v>0</v>
      </c>
      <c r="S682">
        <v>0</v>
      </c>
      <c r="T682">
        <v>0</v>
      </c>
      <c r="U682">
        <v>2</v>
      </c>
      <c r="V682">
        <v>0</v>
      </c>
      <c r="W682">
        <v>6</v>
      </c>
      <c r="X682">
        <v>1183.1400000000001</v>
      </c>
      <c r="Y682">
        <v>1241.93</v>
      </c>
      <c r="Z682">
        <f>AVERAGEIFS(Table1[FinalElo], Table1[Country], Table1[[#This Row],[Country]])</f>
        <v>1025.3786885245902</v>
      </c>
      <c r="AA682" cm="1">
        <f t="array" ref="AA682">IF(COUNTIFS(Table1[Country],Table1[[#This Row],[Country]])=1,0, _xlfn.STDEV.S(IF(Table1[Country]=Table1[[#This Row],[Country]],Table1[FinalElo])))</f>
        <v>144.71595558743479</v>
      </c>
      <c r="AB682">
        <f>IF(Table1[[#This Row],[CStd]]=0,0, (Table1[[#This Row],[FinalElo]]-Table1[[#This Row],[CAvg]]) / Table1[[#This Row],[CStd]])</f>
        <v>1.0901445582487506</v>
      </c>
      <c r="AC682" t="str">
        <f>IF(Table1[[#This Row],[CStd]]=0,"Normal", IF(ABS(Table1[[#This Row],[CZscore]])&gt;2,"Outlier","Normal"))</f>
        <v>Normal</v>
      </c>
    </row>
    <row r="683" spans="1:29" x14ac:dyDescent="0.35">
      <c r="A683" t="s">
        <v>1631</v>
      </c>
      <c r="B683">
        <v>65.8</v>
      </c>
      <c r="C683">
        <v>168</v>
      </c>
      <c r="D683" t="s">
        <v>52</v>
      </c>
      <c r="E683">
        <v>27</v>
      </c>
      <c r="F683" t="s">
        <v>1632</v>
      </c>
      <c r="G683" t="s">
        <v>28</v>
      </c>
      <c r="H683" t="s">
        <v>29</v>
      </c>
      <c r="I683" t="s">
        <v>48</v>
      </c>
      <c r="J683">
        <v>1</v>
      </c>
      <c r="K683">
        <v>2</v>
      </c>
      <c r="L683">
        <v>0</v>
      </c>
      <c r="M683">
        <v>0</v>
      </c>
      <c r="N683">
        <v>0</v>
      </c>
      <c r="O683">
        <v>0</v>
      </c>
      <c r="P683">
        <v>1</v>
      </c>
      <c r="Q683">
        <v>0</v>
      </c>
      <c r="R683">
        <v>0</v>
      </c>
      <c r="S683">
        <v>0</v>
      </c>
      <c r="T683">
        <v>0</v>
      </c>
      <c r="U683">
        <v>2</v>
      </c>
      <c r="V683">
        <v>0</v>
      </c>
      <c r="W683">
        <v>3</v>
      </c>
      <c r="X683">
        <v>948.44</v>
      </c>
      <c r="Y683">
        <v>1028.01</v>
      </c>
      <c r="Z683">
        <f>AVERAGEIFS(Table1[FinalElo], Table1[Country], Table1[[#This Row],[Country]])</f>
        <v>1039.8985714285714</v>
      </c>
      <c r="AA683" cm="1">
        <f t="array" ref="AA683">IF(COUNTIFS(Table1[Country],Table1[[#This Row],[Country]])=1,0, _xlfn.STDEV.S(IF(Table1[Country]=Table1[[#This Row],[Country]],Table1[FinalElo])))</f>
        <v>194.01778111336392</v>
      </c>
      <c r="AB683">
        <f>IF(Table1[[#This Row],[CStd]]=0,0, (Table1[[#This Row],[FinalElo]]-Table1[[#This Row],[CAvg]]) / Table1[[#This Row],[CStd]])</f>
        <v>-0.47139272959282208</v>
      </c>
      <c r="AC683" t="str">
        <f>IF(Table1[[#This Row],[CStd]]=0,"Normal", IF(ABS(Table1[[#This Row],[CZscore]])&gt;2,"Outlier","Normal"))</f>
        <v>Normal</v>
      </c>
    </row>
    <row r="684" spans="1:29" x14ac:dyDescent="0.35">
      <c r="A684" t="s">
        <v>1630</v>
      </c>
      <c r="B684">
        <v>69.900000000000006</v>
      </c>
      <c r="C684">
        <v>183</v>
      </c>
      <c r="D684" t="s">
        <v>38</v>
      </c>
      <c r="E684">
        <v>22</v>
      </c>
      <c r="F684" t="s">
        <v>133</v>
      </c>
      <c r="G684" t="s">
        <v>34</v>
      </c>
      <c r="H684" t="s">
        <v>29</v>
      </c>
      <c r="I684" t="s">
        <v>48</v>
      </c>
      <c r="J684">
        <v>1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1</v>
      </c>
      <c r="X684">
        <v>1128.01</v>
      </c>
      <c r="Y684">
        <v>1128.01</v>
      </c>
      <c r="Z684">
        <f>AVERAGEIFS(Table1[FinalElo], Table1[Country], Table1[[#This Row],[Country]])</f>
        <v>1057.4495402298851</v>
      </c>
      <c r="AA684" cm="1">
        <f t="array" ref="AA684">IF(COUNTIFS(Table1[Country],Table1[[#This Row],[Country]])=1,0, _xlfn.STDEV.S(IF(Table1[Country]=Table1[[#This Row],[Country]],Table1[FinalElo])))</f>
        <v>156.98667602259493</v>
      </c>
      <c r="AB684">
        <f>IF(Table1[[#This Row],[CStd]]=0,0, (Table1[[#This Row],[FinalElo]]-Table1[[#This Row],[CAvg]]) / Table1[[#This Row],[CStd]])</f>
        <v>0.4494678246449349</v>
      </c>
      <c r="AC684" t="str">
        <f>IF(Table1[[#This Row],[CStd]]=0,"Normal", IF(ABS(Table1[[#This Row],[CZscore]])&gt;2,"Outlier","Normal"))</f>
        <v>Normal</v>
      </c>
    </row>
    <row r="685" spans="1:29" x14ac:dyDescent="0.35">
      <c r="A685" t="s">
        <v>1629</v>
      </c>
      <c r="B685">
        <v>56.7</v>
      </c>
      <c r="C685">
        <v>165</v>
      </c>
      <c r="D685" t="s">
        <v>116</v>
      </c>
      <c r="E685">
        <v>32</v>
      </c>
      <c r="F685" t="s">
        <v>117</v>
      </c>
      <c r="G685" t="s">
        <v>40</v>
      </c>
      <c r="H685" t="s">
        <v>29</v>
      </c>
      <c r="I685" t="s">
        <v>58</v>
      </c>
      <c r="J685">
        <v>4</v>
      </c>
      <c r="K685">
        <v>4</v>
      </c>
      <c r="L685">
        <v>0</v>
      </c>
      <c r="M685">
        <v>1</v>
      </c>
      <c r="N685">
        <v>0</v>
      </c>
      <c r="O685">
        <v>0</v>
      </c>
      <c r="P685">
        <v>2</v>
      </c>
      <c r="Q685">
        <v>0</v>
      </c>
      <c r="R685">
        <v>1</v>
      </c>
      <c r="S685">
        <v>0</v>
      </c>
      <c r="T685">
        <v>0</v>
      </c>
      <c r="U685">
        <v>2</v>
      </c>
      <c r="V685">
        <v>0</v>
      </c>
      <c r="W685">
        <v>8</v>
      </c>
      <c r="X685">
        <v>910.51</v>
      </c>
      <c r="Y685">
        <v>1272.29</v>
      </c>
      <c r="Z685">
        <f>AVERAGEIFS(Table1[FinalElo], Table1[Country], Table1[[#This Row],[Country]])</f>
        <v>980.88090909090931</v>
      </c>
      <c r="AA685" cm="1">
        <f t="array" ref="AA685">IF(COUNTIFS(Table1[Country],Table1[[#This Row],[Country]])=1,0, _xlfn.STDEV.S(IF(Table1[Country]=Table1[[#This Row],[Country]],Table1[FinalElo])))</f>
        <v>133.41794796376408</v>
      </c>
      <c r="AB685">
        <f>IF(Table1[[#This Row],[CStd]]=0,0, (Table1[[#This Row],[FinalElo]]-Table1[[#This Row],[CAvg]]) / Table1[[#This Row],[CStd]])</f>
        <v>-0.52744709512412713</v>
      </c>
      <c r="AC685" t="str">
        <f>IF(Table1[[#This Row],[CStd]]=0,"Normal", IF(ABS(Table1[[#This Row],[CZscore]])&gt;2,"Outlier","Normal"))</f>
        <v>Normal</v>
      </c>
    </row>
    <row r="686" spans="1:29" x14ac:dyDescent="0.35">
      <c r="A686" t="s">
        <v>1627</v>
      </c>
      <c r="B686">
        <v>65.599999999999994</v>
      </c>
      <c r="C686">
        <v>178</v>
      </c>
      <c r="D686" t="s">
        <v>116</v>
      </c>
      <c r="E686">
        <v>24</v>
      </c>
      <c r="F686" t="s">
        <v>1628</v>
      </c>
      <c r="G686" t="s">
        <v>34</v>
      </c>
      <c r="H686" t="s">
        <v>29</v>
      </c>
      <c r="I686" t="s">
        <v>73</v>
      </c>
      <c r="J686">
        <v>1</v>
      </c>
      <c r="K686">
        <v>2</v>
      </c>
      <c r="L686">
        <v>0</v>
      </c>
      <c r="M686">
        <v>1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2</v>
      </c>
      <c r="V686">
        <v>0</v>
      </c>
      <c r="W686">
        <v>3</v>
      </c>
      <c r="X686">
        <v>942.55</v>
      </c>
      <c r="Y686">
        <v>1077.3599999999999</v>
      </c>
      <c r="Z686">
        <f>AVERAGEIFS(Table1[FinalElo], Table1[Country], Table1[[#This Row],[Country]])</f>
        <v>980.88090909090931</v>
      </c>
      <c r="AA686" cm="1">
        <f t="array" ref="AA686">IF(COUNTIFS(Table1[Country],Table1[[#This Row],[Country]])=1,0, _xlfn.STDEV.S(IF(Table1[Country]=Table1[[#This Row],[Country]],Table1[FinalElo])))</f>
        <v>133.41794796376408</v>
      </c>
      <c r="AB686">
        <f>IF(Table1[[#This Row],[CStd]]=0,0, (Table1[[#This Row],[FinalElo]]-Table1[[#This Row],[CAvg]]) / Table1[[#This Row],[CStd]])</f>
        <v>-0.28729949512729669</v>
      </c>
      <c r="AC686" t="str">
        <f>IF(Table1[[#This Row],[CStd]]=0,"Normal", IF(ABS(Table1[[#This Row],[CZscore]])&gt;2,"Outlier","Normal"))</f>
        <v>Normal</v>
      </c>
    </row>
    <row r="687" spans="1:29" x14ac:dyDescent="0.35">
      <c r="A687" t="s">
        <v>1625</v>
      </c>
      <c r="B687">
        <v>57.152591999999999</v>
      </c>
      <c r="C687">
        <v>173</v>
      </c>
      <c r="D687" t="s">
        <v>146</v>
      </c>
      <c r="E687">
        <v>21</v>
      </c>
      <c r="F687" t="s">
        <v>1626</v>
      </c>
      <c r="G687" t="s">
        <v>34</v>
      </c>
      <c r="H687" t="s">
        <v>29</v>
      </c>
      <c r="I687" t="s">
        <v>58</v>
      </c>
      <c r="J687">
        <v>0</v>
      </c>
      <c r="K687">
        <v>1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1</v>
      </c>
      <c r="S687">
        <v>0</v>
      </c>
      <c r="T687">
        <v>0</v>
      </c>
      <c r="U687">
        <v>0</v>
      </c>
      <c r="V687">
        <v>0</v>
      </c>
      <c r="W687">
        <v>1</v>
      </c>
      <c r="X687">
        <v>854.18</v>
      </c>
      <c r="Y687">
        <v>1000</v>
      </c>
      <c r="Z687">
        <f>AVERAGEIFS(Table1[FinalElo], Table1[Country], Table1[[#This Row],[Country]])</f>
        <v>971.46103448275846</v>
      </c>
      <c r="AA687" cm="1">
        <f t="array" ref="AA687">IF(COUNTIFS(Table1[Country],Table1[[#This Row],[Country]])=1,0, _xlfn.STDEV.S(IF(Table1[Country]=Table1[[#This Row],[Country]],Table1[FinalElo])))</f>
        <v>107.62263899334665</v>
      </c>
      <c r="AB687">
        <f>IF(Table1[[#This Row],[CStd]]=0,0, (Table1[[#This Row],[FinalElo]]-Table1[[#This Row],[CAvg]]) / Table1[[#This Row],[CStd]])</f>
        <v>-1.0897431579429022</v>
      </c>
      <c r="AC687" t="str">
        <f>IF(Table1[[#This Row],[CStd]]=0,"Normal", IF(ABS(Table1[[#This Row],[CZscore]])&gt;2,"Outlier","Normal"))</f>
        <v>Normal</v>
      </c>
    </row>
    <row r="688" spans="1:29" x14ac:dyDescent="0.35">
      <c r="A688" t="s">
        <v>1624</v>
      </c>
      <c r="B688">
        <v>67</v>
      </c>
      <c r="C688">
        <v>174</v>
      </c>
      <c r="D688" t="s">
        <v>247</v>
      </c>
      <c r="E688">
        <v>20</v>
      </c>
      <c r="F688" t="s">
        <v>87</v>
      </c>
      <c r="G688" t="s">
        <v>34</v>
      </c>
      <c r="H688" t="s">
        <v>29</v>
      </c>
      <c r="I688" t="s">
        <v>48</v>
      </c>
      <c r="J688">
        <v>0</v>
      </c>
      <c r="K688">
        <v>1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1</v>
      </c>
      <c r="S688">
        <v>0</v>
      </c>
      <c r="T688">
        <v>0</v>
      </c>
      <c r="U688">
        <v>0</v>
      </c>
      <c r="V688">
        <v>0</v>
      </c>
      <c r="W688">
        <v>1</v>
      </c>
      <c r="X688">
        <v>876.01</v>
      </c>
      <c r="Y688">
        <v>1000</v>
      </c>
      <c r="Z688">
        <f>AVERAGEIFS(Table1[FinalElo], Table1[Country], Table1[[#This Row],[Country]])</f>
        <v>1050.0176190476191</v>
      </c>
      <c r="AA688" cm="1">
        <f t="array" ref="AA688">IF(COUNTIFS(Table1[Country],Table1[[#This Row],[Country]])=1,0, _xlfn.STDEV.S(IF(Table1[Country]=Table1[[#This Row],[Country]],Table1[FinalElo])))</f>
        <v>127.00578096703971</v>
      </c>
      <c r="AB688">
        <f>IF(Table1[[#This Row],[CStd]]=0,0, (Table1[[#This Row],[FinalElo]]-Table1[[#This Row],[CAvg]]) / Table1[[#This Row],[CStd]])</f>
        <v>-1.370076367569262</v>
      </c>
      <c r="AC688" t="str">
        <f>IF(Table1[[#This Row],[CStd]]=0,"Normal", IF(ABS(Table1[[#This Row],[CZscore]])&gt;2,"Outlier","Normal"))</f>
        <v>Normal</v>
      </c>
    </row>
    <row r="689" spans="1:29" x14ac:dyDescent="0.35">
      <c r="A689" t="s">
        <v>1623</v>
      </c>
      <c r="B689">
        <v>61.2</v>
      </c>
      <c r="C689">
        <v>170</v>
      </c>
      <c r="D689" t="s">
        <v>116</v>
      </c>
      <c r="E689">
        <v>31</v>
      </c>
      <c r="F689" t="s">
        <v>117</v>
      </c>
      <c r="G689" t="s">
        <v>40</v>
      </c>
      <c r="H689" t="s">
        <v>29</v>
      </c>
      <c r="I689" t="s">
        <v>58</v>
      </c>
      <c r="J689">
        <v>3</v>
      </c>
      <c r="K689">
        <v>2</v>
      </c>
      <c r="L689">
        <v>0</v>
      </c>
      <c r="M689">
        <v>1</v>
      </c>
      <c r="N689">
        <v>0</v>
      </c>
      <c r="O689">
        <v>0</v>
      </c>
      <c r="P689">
        <v>2</v>
      </c>
      <c r="Q689">
        <v>0</v>
      </c>
      <c r="R689">
        <v>1</v>
      </c>
      <c r="S689">
        <v>0</v>
      </c>
      <c r="T689">
        <v>0</v>
      </c>
      <c r="U689">
        <v>1</v>
      </c>
      <c r="V689">
        <v>0</v>
      </c>
      <c r="W689">
        <v>5</v>
      </c>
      <c r="X689">
        <v>1052.1500000000001</v>
      </c>
      <c r="Y689">
        <v>1114.23</v>
      </c>
      <c r="Z689">
        <f>AVERAGEIFS(Table1[FinalElo], Table1[Country], Table1[[#This Row],[Country]])</f>
        <v>980.88090909090931</v>
      </c>
      <c r="AA689" cm="1">
        <f t="array" ref="AA689">IF(COUNTIFS(Table1[Country],Table1[[#This Row],[Country]])=1,0, _xlfn.STDEV.S(IF(Table1[Country]=Table1[[#This Row],[Country]],Table1[FinalElo])))</f>
        <v>133.41794796376408</v>
      </c>
      <c r="AB689">
        <f>IF(Table1[[#This Row],[CStd]]=0,0, (Table1[[#This Row],[FinalElo]]-Table1[[#This Row],[CAvg]]) / Table1[[#This Row],[CStd]])</f>
        <v>0.53417918650980345</v>
      </c>
      <c r="AC689" t="str">
        <f>IF(Table1[[#This Row],[CStd]]=0,"Normal", IF(ABS(Table1[[#This Row],[CZscore]])&gt;2,"Outlier","Normal"))</f>
        <v>Normal</v>
      </c>
    </row>
    <row r="690" spans="1:29" x14ac:dyDescent="0.35">
      <c r="A690" t="s">
        <v>1621</v>
      </c>
      <c r="B690">
        <v>56.4</v>
      </c>
      <c r="C690">
        <v>164</v>
      </c>
      <c r="D690" t="s">
        <v>116</v>
      </c>
      <c r="E690">
        <v>29</v>
      </c>
      <c r="F690" t="s">
        <v>1622</v>
      </c>
      <c r="G690" t="s">
        <v>40</v>
      </c>
      <c r="H690" t="s">
        <v>29</v>
      </c>
      <c r="I690" t="s">
        <v>36</v>
      </c>
      <c r="J690">
        <v>6</v>
      </c>
      <c r="K690">
        <v>4</v>
      </c>
      <c r="L690">
        <v>0</v>
      </c>
      <c r="M690">
        <v>1</v>
      </c>
      <c r="N690">
        <v>0</v>
      </c>
      <c r="O690">
        <v>0</v>
      </c>
      <c r="P690">
        <v>3</v>
      </c>
      <c r="Q690">
        <v>0</v>
      </c>
      <c r="R690">
        <v>0</v>
      </c>
      <c r="S690">
        <v>2</v>
      </c>
      <c r="T690">
        <v>0</v>
      </c>
      <c r="U690">
        <v>2</v>
      </c>
      <c r="V690">
        <v>0</v>
      </c>
      <c r="W690">
        <v>10</v>
      </c>
      <c r="X690">
        <v>1224.8900000000001</v>
      </c>
      <c r="Y690">
        <v>1268.02</v>
      </c>
      <c r="Z690">
        <f>AVERAGEIFS(Table1[FinalElo], Table1[Country], Table1[[#This Row],[Country]])</f>
        <v>980.88090909090931</v>
      </c>
      <c r="AA690" cm="1">
        <f t="array" ref="AA690">IF(COUNTIFS(Table1[Country],Table1[[#This Row],[Country]])=1,0, _xlfn.STDEV.S(IF(Table1[Country]=Table1[[#This Row],[Country]],Table1[FinalElo])))</f>
        <v>133.41794796376408</v>
      </c>
      <c r="AB690">
        <f>IF(Table1[[#This Row],[CStd]]=0,0, (Table1[[#This Row],[FinalElo]]-Table1[[#This Row],[CAvg]]) / Table1[[#This Row],[CStd]])</f>
        <v>1.8289075393017058</v>
      </c>
      <c r="AC690" t="str">
        <f>IF(Table1[[#This Row],[CStd]]=0,"Normal", IF(ABS(Table1[[#This Row],[CZscore]])&gt;2,"Outlier","Normal"))</f>
        <v>Normal</v>
      </c>
    </row>
    <row r="691" spans="1:29" x14ac:dyDescent="0.35">
      <c r="A691" t="s">
        <v>1619</v>
      </c>
      <c r="B691">
        <v>51.8</v>
      </c>
      <c r="C691">
        <v>153</v>
      </c>
      <c r="D691" t="s">
        <v>82</v>
      </c>
      <c r="E691">
        <v>42</v>
      </c>
      <c r="F691" t="s">
        <v>1620</v>
      </c>
      <c r="G691" t="s">
        <v>54</v>
      </c>
      <c r="H691" t="s">
        <v>29</v>
      </c>
      <c r="I691" t="s">
        <v>55</v>
      </c>
      <c r="J691">
        <v>6</v>
      </c>
      <c r="K691">
        <v>6</v>
      </c>
      <c r="L691">
        <v>1</v>
      </c>
      <c r="M691">
        <v>0</v>
      </c>
      <c r="N691">
        <v>3</v>
      </c>
      <c r="O691">
        <v>0</v>
      </c>
      <c r="P691">
        <v>3</v>
      </c>
      <c r="Q691">
        <v>0</v>
      </c>
      <c r="R691">
        <v>0</v>
      </c>
      <c r="S691">
        <v>0</v>
      </c>
      <c r="T691">
        <v>0</v>
      </c>
      <c r="U691">
        <v>5</v>
      </c>
      <c r="V691">
        <v>1</v>
      </c>
      <c r="W691">
        <v>13</v>
      </c>
      <c r="X691">
        <v>913.36</v>
      </c>
      <c r="Y691">
        <v>1248.17</v>
      </c>
      <c r="Z691">
        <f>AVERAGEIFS(Table1[FinalElo], Table1[Country], Table1[[#This Row],[Country]])</f>
        <v>1012.5275373134326</v>
      </c>
      <c r="AA691" cm="1">
        <f t="array" ref="AA691">IF(COUNTIFS(Table1[Country],Table1[[#This Row],[Country]])=1,0, _xlfn.STDEV.S(IF(Table1[Country]=Table1[[#This Row],[Country]],Table1[FinalElo])))</f>
        <v>135.61062237674741</v>
      </c>
      <c r="AB691">
        <f>IF(Table1[[#This Row],[CStd]]=0,0, (Table1[[#This Row],[FinalElo]]-Table1[[#This Row],[CAvg]]) / Table1[[#This Row],[CStd]])</f>
        <v>-0.73126673689270261</v>
      </c>
      <c r="AC691" t="str">
        <f>IF(Table1[[#This Row],[CStd]]=0,"Normal", IF(ABS(Table1[[#This Row],[CZscore]])&gt;2,"Outlier","Normal"))</f>
        <v>Normal</v>
      </c>
    </row>
    <row r="692" spans="1:29" x14ac:dyDescent="0.35">
      <c r="A692" t="s">
        <v>1617</v>
      </c>
      <c r="B692">
        <v>55.2</v>
      </c>
      <c r="C692">
        <v>170</v>
      </c>
      <c r="D692" t="s">
        <v>146</v>
      </c>
      <c r="E692">
        <v>24</v>
      </c>
      <c r="F692" t="s">
        <v>1618</v>
      </c>
      <c r="G692" t="s">
        <v>34</v>
      </c>
      <c r="H692" t="s">
        <v>29</v>
      </c>
      <c r="I692" t="s">
        <v>36</v>
      </c>
      <c r="J692">
        <v>1</v>
      </c>
      <c r="K692">
        <v>1</v>
      </c>
      <c r="L692">
        <v>0</v>
      </c>
      <c r="M692">
        <v>0</v>
      </c>
      <c r="N692">
        <v>0</v>
      </c>
      <c r="O692">
        <v>0</v>
      </c>
      <c r="P692">
        <v>1</v>
      </c>
      <c r="Q692">
        <v>0</v>
      </c>
      <c r="R692">
        <v>0</v>
      </c>
      <c r="S692">
        <v>0</v>
      </c>
      <c r="T692">
        <v>0</v>
      </c>
      <c r="U692">
        <v>1</v>
      </c>
      <c r="V692">
        <v>0</v>
      </c>
      <c r="W692">
        <v>2</v>
      </c>
      <c r="X692">
        <v>951.36</v>
      </c>
      <c r="Y692">
        <v>1071.71</v>
      </c>
      <c r="Z692">
        <f>AVERAGEIFS(Table1[FinalElo], Table1[Country], Table1[[#This Row],[Country]])</f>
        <v>971.46103448275846</v>
      </c>
      <c r="AA692" cm="1">
        <f t="array" ref="AA692">IF(COUNTIFS(Table1[Country],Table1[[#This Row],[Country]])=1,0, _xlfn.STDEV.S(IF(Table1[Country]=Table1[[#This Row],[Country]],Table1[FinalElo])))</f>
        <v>107.62263899334665</v>
      </c>
      <c r="AB692">
        <f>IF(Table1[[#This Row],[CStd]]=0,0, (Table1[[#This Row],[FinalElo]]-Table1[[#This Row],[CAvg]]) / Table1[[#This Row],[CStd]])</f>
        <v>-0.18677329111025717</v>
      </c>
      <c r="AC692" t="str">
        <f>IF(Table1[[#This Row],[CStd]]=0,"Normal", IF(ABS(Table1[[#This Row],[CZscore]])&gt;2,"Outlier","Normal"))</f>
        <v>Normal</v>
      </c>
    </row>
    <row r="693" spans="1:29" x14ac:dyDescent="0.35">
      <c r="A693" t="s">
        <v>1614</v>
      </c>
      <c r="B693">
        <v>65.3</v>
      </c>
      <c r="C693">
        <v>173</v>
      </c>
      <c r="D693" t="s">
        <v>414</v>
      </c>
      <c r="E693">
        <v>41</v>
      </c>
      <c r="F693" t="s">
        <v>1615</v>
      </c>
      <c r="G693" t="s">
        <v>1616</v>
      </c>
      <c r="H693" t="s">
        <v>29</v>
      </c>
      <c r="I693" t="s">
        <v>73</v>
      </c>
      <c r="J693">
        <v>4</v>
      </c>
      <c r="K693">
        <v>3</v>
      </c>
      <c r="L693">
        <v>0</v>
      </c>
      <c r="M693">
        <v>1</v>
      </c>
      <c r="N693">
        <v>0</v>
      </c>
      <c r="O693">
        <v>0</v>
      </c>
      <c r="P693">
        <v>2</v>
      </c>
      <c r="Q693">
        <v>1</v>
      </c>
      <c r="R693">
        <v>0</v>
      </c>
      <c r="S693">
        <v>0</v>
      </c>
      <c r="T693">
        <v>0</v>
      </c>
      <c r="U693">
        <v>3</v>
      </c>
      <c r="V693">
        <v>0</v>
      </c>
      <c r="W693">
        <v>7</v>
      </c>
      <c r="X693">
        <v>1177.94</v>
      </c>
      <c r="Y693">
        <v>1177.94</v>
      </c>
      <c r="Z693">
        <f>AVERAGEIFS(Table1[FinalElo], Table1[Country], Table1[[#This Row],[Country]])</f>
        <v>1049.6228571428571</v>
      </c>
      <c r="AA693" cm="1">
        <f t="array" ref="AA693">IF(COUNTIFS(Table1[Country],Table1[[#This Row],[Country]])=1,0, _xlfn.STDEV.S(IF(Table1[Country]=Table1[[#This Row],[Country]],Table1[FinalElo])))</f>
        <v>104.38751437381221</v>
      </c>
      <c r="AB693">
        <f>IF(Table1[[#This Row],[CStd]]=0,0, (Table1[[#This Row],[FinalElo]]-Table1[[#This Row],[CAvg]]) / Table1[[#This Row],[CStd]])</f>
        <v>1.2292384163649936</v>
      </c>
      <c r="AC693" t="str">
        <f>IF(Table1[[#This Row],[CStd]]=0,"Normal", IF(ABS(Table1[[#This Row],[CZscore]])&gt;2,"Outlier","Normal"))</f>
        <v>Normal</v>
      </c>
    </row>
    <row r="694" spans="1:29" x14ac:dyDescent="0.35">
      <c r="A694" t="s">
        <v>1612</v>
      </c>
      <c r="B694">
        <v>115.1</v>
      </c>
      <c r="C694">
        <v>183</v>
      </c>
      <c r="D694" t="s">
        <v>146</v>
      </c>
      <c r="E694">
        <v>39</v>
      </c>
      <c r="F694" t="s">
        <v>1613</v>
      </c>
      <c r="G694" t="s">
        <v>40</v>
      </c>
      <c r="H694" t="s">
        <v>29</v>
      </c>
      <c r="I694" t="s">
        <v>94</v>
      </c>
      <c r="J694">
        <v>0</v>
      </c>
      <c r="K694">
        <v>2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1</v>
      </c>
      <c r="S694">
        <v>1</v>
      </c>
      <c r="T694">
        <v>0</v>
      </c>
      <c r="U694">
        <v>0</v>
      </c>
      <c r="V694">
        <v>0</v>
      </c>
      <c r="W694">
        <v>2</v>
      </c>
      <c r="X694">
        <v>828.01</v>
      </c>
      <c r="Y694">
        <v>1000</v>
      </c>
      <c r="Z694">
        <f>AVERAGEIFS(Table1[FinalElo], Table1[Country], Table1[[#This Row],[Country]])</f>
        <v>971.46103448275846</v>
      </c>
      <c r="AA694" cm="1">
        <f t="array" ref="AA694">IF(COUNTIFS(Table1[Country],Table1[[#This Row],[Country]])=1,0, _xlfn.STDEV.S(IF(Table1[Country]=Table1[[#This Row],[Country]],Table1[FinalElo])))</f>
        <v>107.62263899334665</v>
      </c>
      <c r="AB694">
        <f>IF(Table1[[#This Row],[CStd]]=0,0, (Table1[[#This Row],[FinalElo]]-Table1[[#This Row],[CAvg]]) / Table1[[#This Row],[CStd]])</f>
        <v>-1.3329076096305981</v>
      </c>
      <c r="AC694" t="str">
        <f>IF(Table1[[#This Row],[CStd]]=0,"Normal", IF(ABS(Table1[[#This Row],[CZscore]])&gt;2,"Outlier","Normal"))</f>
        <v>Normal</v>
      </c>
    </row>
    <row r="695" spans="1:29" x14ac:dyDescent="0.35">
      <c r="A695" t="s">
        <v>1610</v>
      </c>
      <c r="B695">
        <v>70.31</v>
      </c>
      <c r="C695">
        <v>186</v>
      </c>
      <c r="D695" t="s">
        <v>174</v>
      </c>
      <c r="E695">
        <v>29</v>
      </c>
      <c r="F695" t="s">
        <v>1611</v>
      </c>
      <c r="G695" t="s">
        <v>34</v>
      </c>
      <c r="H695" t="s">
        <v>29</v>
      </c>
      <c r="I695" t="s">
        <v>30</v>
      </c>
      <c r="J695">
        <v>0</v>
      </c>
      <c r="K695">
        <v>1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1</v>
      </c>
      <c r="V695">
        <v>0</v>
      </c>
      <c r="W695">
        <v>1</v>
      </c>
      <c r="X695">
        <v>900</v>
      </c>
      <c r="Y695">
        <v>1000</v>
      </c>
      <c r="Z695">
        <f>AVERAGEIFS(Table1[FinalElo], Table1[Country], Table1[[#This Row],[Country]])</f>
        <v>980.52444444444427</v>
      </c>
      <c r="AA695" cm="1">
        <f t="array" ref="AA695">IF(COUNTIFS(Table1[Country],Table1[[#This Row],[Country]])=1,0, _xlfn.STDEV.S(IF(Table1[Country]=Table1[[#This Row],[Country]],Table1[FinalElo])))</f>
        <v>143.66034832022171</v>
      </c>
      <c r="AB695">
        <f>IF(Table1[[#This Row],[CStd]]=0,0, (Table1[[#This Row],[FinalElo]]-Table1[[#This Row],[CAvg]]) / Table1[[#This Row],[CStd]])</f>
        <v>-0.56051962414119805</v>
      </c>
      <c r="AC695" t="str">
        <f>IF(Table1[[#This Row],[CStd]]=0,"Normal", IF(ABS(Table1[[#This Row],[CZscore]])&gt;2,"Outlier","Normal"))</f>
        <v>Normal</v>
      </c>
    </row>
    <row r="696" spans="1:29" x14ac:dyDescent="0.35">
      <c r="A696" t="s">
        <v>1607</v>
      </c>
      <c r="B696">
        <v>119.6</v>
      </c>
      <c r="C696">
        <v>194</v>
      </c>
      <c r="D696" t="s">
        <v>1608</v>
      </c>
      <c r="E696">
        <v>34</v>
      </c>
      <c r="F696" t="s">
        <v>1609</v>
      </c>
      <c r="G696" t="s">
        <v>40</v>
      </c>
      <c r="H696" t="s">
        <v>29</v>
      </c>
      <c r="I696" t="s">
        <v>94</v>
      </c>
      <c r="J696">
        <v>1</v>
      </c>
      <c r="K696">
        <v>0</v>
      </c>
      <c r="L696">
        <v>0</v>
      </c>
      <c r="M696">
        <v>1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1</v>
      </c>
      <c r="X696">
        <v>1100</v>
      </c>
      <c r="Y696">
        <v>1100</v>
      </c>
      <c r="Z696">
        <f>AVERAGEIFS(Table1[FinalElo], Table1[Country], Table1[[#This Row],[Country]])</f>
        <v>1100</v>
      </c>
      <c r="AA696" cm="1">
        <f t="array" ref="AA696">IF(COUNTIFS(Table1[Country],Table1[[#This Row],[Country]])=1,0, _xlfn.STDEV.S(IF(Table1[Country]=Table1[[#This Row],[Country]],Table1[FinalElo])))</f>
        <v>0</v>
      </c>
      <c r="AB696">
        <f>IF(Table1[[#This Row],[CStd]]=0,0, (Table1[[#This Row],[FinalElo]]-Table1[[#This Row],[CAvg]]) / Table1[[#This Row],[CStd]])</f>
        <v>0</v>
      </c>
      <c r="AC696" t="str">
        <f>IF(Table1[[#This Row],[CStd]]=0,"Normal", IF(ABS(Table1[[#This Row],[CZscore]])&gt;2,"Outlier","Normal"))</f>
        <v>Normal</v>
      </c>
    </row>
    <row r="697" spans="1:29" x14ac:dyDescent="0.35">
      <c r="A697" t="s">
        <v>1604</v>
      </c>
      <c r="B697">
        <v>57.5</v>
      </c>
      <c r="C697">
        <v>177</v>
      </c>
      <c r="D697" t="s">
        <v>1605</v>
      </c>
      <c r="E697">
        <v>24</v>
      </c>
      <c r="F697" t="s">
        <v>1606</v>
      </c>
      <c r="G697" t="s">
        <v>34</v>
      </c>
      <c r="H697" t="s">
        <v>29</v>
      </c>
      <c r="I697" t="s">
        <v>58</v>
      </c>
      <c r="J697">
        <v>1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1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1</v>
      </c>
      <c r="X697">
        <v>1100</v>
      </c>
      <c r="Y697">
        <v>1100</v>
      </c>
      <c r="Z697">
        <f>AVERAGEIFS(Table1[FinalElo], Table1[Country], Table1[[#This Row],[Country]])</f>
        <v>1100</v>
      </c>
      <c r="AA697" cm="1">
        <f t="array" ref="AA697">IF(COUNTIFS(Table1[Country],Table1[[#This Row],[Country]])=1,0, _xlfn.STDEV.S(IF(Table1[Country]=Table1[[#This Row],[Country]],Table1[FinalElo])))</f>
        <v>0</v>
      </c>
      <c r="AB697">
        <f>IF(Table1[[#This Row],[CStd]]=0,0, (Table1[[#This Row],[FinalElo]]-Table1[[#This Row],[CAvg]]) / Table1[[#This Row],[CStd]])</f>
        <v>0</v>
      </c>
      <c r="AC697" t="str">
        <f>IF(Table1[[#This Row],[CStd]]=0,"Normal", IF(ABS(Table1[[#This Row],[CZscore]])&gt;2,"Outlier","Normal"))</f>
        <v>Normal</v>
      </c>
    </row>
    <row r="698" spans="1:29" x14ac:dyDescent="0.35">
      <c r="A698" t="s">
        <v>1602</v>
      </c>
      <c r="B698">
        <v>58</v>
      </c>
      <c r="C698">
        <v>168</v>
      </c>
      <c r="D698" t="s">
        <v>89</v>
      </c>
      <c r="E698">
        <v>27</v>
      </c>
      <c r="F698" t="s">
        <v>1603</v>
      </c>
      <c r="G698" t="s">
        <v>34</v>
      </c>
      <c r="H698" t="s">
        <v>29</v>
      </c>
      <c r="I698" t="s">
        <v>58</v>
      </c>
      <c r="J698">
        <v>0</v>
      </c>
      <c r="K698">
        <v>1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1</v>
      </c>
      <c r="V698">
        <v>0</v>
      </c>
      <c r="W698">
        <v>1</v>
      </c>
      <c r="X698">
        <v>900</v>
      </c>
      <c r="Y698">
        <v>1000</v>
      </c>
      <c r="Z698">
        <f>AVERAGEIFS(Table1[FinalElo], Table1[Country], Table1[[#This Row],[Country]])</f>
        <v>1012.0629025423733</v>
      </c>
      <c r="AA698" cm="1">
        <f t="array" ref="AA698">IF(COUNTIFS(Table1[Country],Table1[[#This Row],[Country]])=1,0, _xlfn.STDEV.S(IF(Table1[Country]=Table1[[#This Row],[Country]],Table1[FinalElo])))</f>
        <v>148.42180446198614</v>
      </c>
      <c r="AB698">
        <f>IF(Table1[[#This Row],[CStd]]=0,0, (Table1[[#This Row],[FinalElo]]-Table1[[#This Row],[CAvg]]) / Table1[[#This Row],[CStd]])</f>
        <v>-0.75502991591154589</v>
      </c>
      <c r="AC698" t="str">
        <f>IF(Table1[[#This Row],[CStd]]=0,"Normal", IF(ABS(Table1[[#This Row],[CZscore]])&gt;2,"Outlier","Normal"))</f>
        <v>Normal</v>
      </c>
    </row>
    <row r="699" spans="1:29" x14ac:dyDescent="0.35">
      <c r="A699" t="s">
        <v>1601</v>
      </c>
      <c r="B699">
        <v>67.585207999999994</v>
      </c>
      <c r="C699">
        <v>175</v>
      </c>
      <c r="D699" t="s">
        <v>384</v>
      </c>
      <c r="E699">
        <v>35</v>
      </c>
      <c r="F699" t="s">
        <v>133</v>
      </c>
      <c r="G699" t="s">
        <v>34</v>
      </c>
      <c r="H699" t="s">
        <v>29</v>
      </c>
      <c r="I699" t="s">
        <v>48</v>
      </c>
      <c r="J699">
        <v>3</v>
      </c>
      <c r="K699">
        <v>4</v>
      </c>
      <c r="L699">
        <v>0</v>
      </c>
      <c r="M699">
        <v>0</v>
      </c>
      <c r="N699">
        <v>0</v>
      </c>
      <c r="O699">
        <v>0</v>
      </c>
      <c r="P699">
        <v>2</v>
      </c>
      <c r="Q699">
        <v>0</v>
      </c>
      <c r="R699">
        <v>0</v>
      </c>
      <c r="S699">
        <v>0</v>
      </c>
      <c r="T699">
        <v>0</v>
      </c>
      <c r="U699">
        <v>3</v>
      </c>
      <c r="V699">
        <v>0</v>
      </c>
      <c r="W699">
        <v>7</v>
      </c>
      <c r="X699">
        <v>1030.67</v>
      </c>
      <c r="Y699">
        <v>1179.75</v>
      </c>
      <c r="Z699">
        <f>AVERAGEIFS(Table1[FinalElo], Table1[Country], Table1[[#This Row],[Country]])</f>
        <v>1054.6869565217391</v>
      </c>
      <c r="AA699" cm="1">
        <f t="array" ref="AA699">IF(COUNTIFS(Table1[Country],Table1[[#This Row],[Country]])=1,0, _xlfn.STDEV.S(IF(Table1[Country]=Table1[[#This Row],[Country]],Table1[FinalElo])))</f>
        <v>191.2923801275472</v>
      </c>
      <c r="AB699">
        <f>IF(Table1[[#This Row],[CStd]]=0,0, (Table1[[#This Row],[FinalElo]]-Table1[[#This Row],[CAvg]]) / Table1[[#This Row],[CStd]])</f>
        <v>-0.12555103609315432</v>
      </c>
      <c r="AC699" t="str">
        <f>IF(Table1[[#This Row],[CStd]]=0,"Normal", IF(ABS(Table1[[#This Row],[CZscore]])&gt;2,"Outlier","Normal"))</f>
        <v>Normal</v>
      </c>
    </row>
    <row r="700" spans="1:29" x14ac:dyDescent="0.35">
      <c r="A700" t="s">
        <v>1599</v>
      </c>
      <c r="B700">
        <v>65.77</v>
      </c>
      <c r="C700">
        <v>178</v>
      </c>
      <c r="D700" t="s">
        <v>384</v>
      </c>
      <c r="E700">
        <v>38</v>
      </c>
      <c r="F700" t="s">
        <v>1600</v>
      </c>
      <c r="G700" t="s">
        <v>34</v>
      </c>
      <c r="H700" t="s">
        <v>29</v>
      </c>
      <c r="I700" t="s">
        <v>48</v>
      </c>
      <c r="J700">
        <v>1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1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1</v>
      </c>
      <c r="X700">
        <v>1071.99</v>
      </c>
      <c r="Y700">
        <v>1071.99</v>
      </c>
      <c r="Z700">
        <f>AVERAGEIFS(Table1[FinalElo], Table1[Country], Table1[[#This Row],[Country]])</f>
        <v>1054.6869565217391</v>
      </c>
      <c r="AA700" cm="1">
        <f t="array" ref="AA700">IF(COUNTIFS(Table1[Country],Table1[[#This Row],[Country]])=1,0, _xlfn.STDEV.S(IF(Table1[Country]=Table1[[#This Row],[Country]],Table1[FinalElo])))</f>
        <v>191.2923801275472</v>
      </c>
      <c r="AB700">
        <f>IF(Table1[[#This Row],[CStd]]=0,0, (Table1[[#This Row],[FinalElo]]-Table1[[#This Row],[CAvg]]) / Table1[[#This Row],[CStd]])</f>
        <v>9.045338589401096E-2</v>
      </c>
      <c r="AC700" t="str">
        <f>IF(Table1[[#This Row],[CStd]]=0,"Normal", IF(ABS(Table1[[#This Row],[CZscore]])&gt;2,"Outlier","Normal"))</f>
        <v>Normal</v>
      </c>
    </row>
    <row r="701" spans="1:29" x14ac:dyDescent="0.35">
      <c r="A701" t="s">
        <v>1597</v>
      </c>
      <c r="B701">
        <v>61.23</v>
      </c>
      <c r="C701">
        <v>173</v>
      </c>
      <c r="D701" t="s">
        <v>218</v>
      </c>
      <c r="E701">
        <v>27</v>
      </c>
      <c r="F701" t="s">
        <v>1598</v>
      </c>
      <c r="G701" t="s">
        <v>40</v>
      </c>
      <c r="H701" t="s">
        <v>29</v>
      </c>
      <c r="I701" t="s">
        <v>73</v>
      </c>
      <c r="J701">
        <v>0</v>
      </c>
      <c r="K701">
        <v>1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1</v>
      </c>
      <c r="S701">
        <v>0</v>
      </c>
      <c r="T701">
        <v>0</v>
      </c>
      <c r="U701">
        <v>0</v>
      </c>
      <c r="V701">
        <v>0</v>
      </c>
      <c r="W701">
        <v>1</v>
      </c>
      <c r="X701">
        <v>972.24</v>
      </c>
      <c r="Y701">
        <v>1000</v>
      </c>
      <c r="Z701">
        <f>AVERAGEIFS(Table1[FinalElo], Table1[Country], Table1[[#This Row],[Country]])</f>
        <v>953.02272727272725</v>
      </c>
      <c r="AA701" cm="1">
        <f t="array" ref="AA701">IF(COUNTIFS(Table1[Country],Table1[[#This Row],[Country]])=1,0, _xlfn.STDEV.S(IF(Table1[Country]=Table1[[#This Row],[Country]],Table1[FinalElo])))</f>
        <v>75.051454894746612</v>
      </c>
      <c r="AB701">
        <f>IF(Table1[[#This Row],[CStd]]=0,0, (Table1[[#This Row],[FinalElo]]-Table1[[#This Row],[CAvg]]) / Table1[[#This Row],[CStd]])</f>
        <v>0.25605463284120705</v>
      </c>
      <c r="AC701" t="str">
        <f>IF(Table1[[#This Row],[CStd]]=0,"Normal", IF(ABS(Table1[[#This Row],[CZscore]])&gt;2,"Outlier","Normal"))</f>
        <v>Normal</v>
      </c>
    </row>
    <row r="702" spans="1:29" x14ac:dyDescent="0.35">
      <c r="A702" t="s">
        <v>1595</v>
      </c>
      <c r="B702">
        <v>115.1</v>
      </c>
      <c r="C702">
        <v>190</v>
      </c>
      <c r="D702" t="s">
        <v>226</v>
      </c>
      <c r="E702">
        <v>42</v>
      </c>
      <c r="F702" t="s">
        <v>1596</v>
      </c>
      <c r="G702" t="s">
        <v>40</v>
      </c>
      <c r="H702" t="s">
        <v>29</v>
      </c>
      <c r="I702" t="s">
        <v>94</v>
      </c>
      <c r="J702">
        <v>3</v>
      </c>
      <c r="K702">
        <v>4</v>
      </c>
      <c r="L702">
        <v>0</v>
      </c>
      <c r="M702">
        <v>3</v>
      </c>
      <c r="N702">
        <v>0</v>
      </c>
      <c r="O702">
        <v>0</v>
      </c>
      <c r="P702">
        <v>0</v>
      </c>
      <c r="Q702">
        <v>0</v>
      </c>
      <c r="R702">
        <v>2</v>
      </c>
      <c r="S702">
        <v>0</v>
      </c>
      <c r="T702">
        <v>0</v>
      </c>
      <c r="U702">
        <v>1</v>
      </c>
      <c r="V702">
        <v>0</v>
      </c>
      <c r="W702">
        <v>7</v>
      </c>
      <c r="X702">
        <v>949.71</v>
      </c>
      <c r="Y702">
        <v>1060.74</v>
      </c>
      <c r="Z702">
        <f>AVERAGEIFS(Table1[FinalElo], Table1[Country], Table1[[#This Row],[Country]])</f>
        <v>961.00176470588235</v>
      </c>
      <c r="AA702" cm="1">
        <f t="array" ref="AA702">IF(COUNTIFS(Table1[Country],Table1[[#This Row],[Country]])=1,0, _xlfn.STDEV.S(IF(Table1[Country]=Table1[[#This Row],[Country]],Table1[FinalElo])))</f>
        <v>117.15877454523515</v>
      </c>
      <c r="AB702">
        <f>IF(Table1[[#This Row],[CStd]]=0,0, (Table1[[#This Row],[FinalElo]]-Table1[[#This Row],[CAvg]]) / Table1[[#This Row],[CStd]])</f>
        <v>-9.6380017200696735E-2</v>
      </c>
      <c r="AC702" t="str">
        <f>IF(Table1[[#This Row],[CStd]]=0,"Normal", IF(ABS(Table1[[#This Row],[CZscore]])&gt;2,"Outlier","Normal"))</f>
        <v>Normal</v>
      </c>
    </row>
    <row r="703" spans="1:29" x14ac:dyDescent="0.35">
      <c r="A703" t="s">
        <v>1592</v>
      </c>
      <c r="B703">
        <v>78.900000000000006</v>
      </c>
      <c r="C703">
        <v>184</v>
      </c>
      <c r="D703" t="s">
        <v>1593</v>
      </c>
      <c r="E703">
        <v>25</v>
      </c>
      <c r="F703" t="s">
        <v>1594</v>
      </c>
      <c r="G703" t="s">
        <v>40</v>
      </c>
      <c r="H703" t="s">
        <v>29</v>
      </c>
      <c r="I703" t="s">
        <v>50</v>
      </c>
      <c r="J703">
        <v>3</v>
      </c>
      <c r="K703">
        <v>1</v>
      </c>
      <c r="L703">
        <v>0</v>
      </c>
      <c r="M703">
        <v>2</v>
      </c>
      <c r="N703">
        <v>0</v>
      </c>
      <c r="O703">
        <v>0</v>
      </c>
      <c r="P703">
        <v>1</v>
      </c>
      <c r="Q703">
        <v>0</v>
      </c>
      <c r="R703">
        <v>0</v>
      </c>
      <c r="S703">
        <v>0</v>
      </c>
      <c r="T703">
        <v>0</v>
      </c>
      <c r="U703">
        <v>1</v>
      </c>
      <c r="V703">
        <v>0</v>
      </c>
      <c r="W703">
        <v>4</v>
      </c>
      <c r="X703">
        <v>1251.18</v>
      </c>
      <c r="Y703">
        <v>1251.18</v>
      </c>
      <c r="Z703">
        <f>AVERAGEIFS(Table1[FinalElo], Table1[Country], Table1[[#This Row],[Country]])</f>
        <v>1251.18</v>
      </c>
      <c r="AA703" cm="1">
        <f t="array" ref="AA703">IF(COUNTIFS(Table1[Country],Table1[[#This Row],[Country]])=1,0, _xlfn.STDEV.S(IF(Table1[Country]=Table1[[#This Row],[Country]],Table1[FinalElo])))</f>
        <v>0</v>
      </c>
      <c r="AB703">
        <f>IF(Table1[[#This Row],[CStd]]=0,0, (Table1[[#This Row],[FinalElo]]-Table1[[#This Row],[CAvg]]) / Table1[[#This Row],[CStd]])</f>
        <v>0</v>
      </c>
      <c r="AC703" t="str">
        <f>IF(Table1[[#This Row],[CStd]]=0,"Normal", IF(ABS(Table1[[#This Row],[CZscore]])&gt;2,"Outlier","Normal"))</f>
        <v>Normal</v>
      </c>
    </row>
    <row r="704" spans="1:29" x14ac:dyDescent="0.35">
      <c r="A704" t="s">
        <v>1590</v>
      </c>
      <c r="B704">
        <v>61.2</v>
      </c>
      <c r="C704">
        <v>173</v>
      </c>
      <c r="D704" t="s">
        <v>358</v>
      </c>
      <c r="E704">
        <v>39</v>
      </c>
      <c r="F704" t="s">
        <v>1591</v>
      </c>
      <c r="G704" t="s">
        <v>40</v>
      </c>
      <c r="H704" t="s">
        <v>29</v>
      </c>
      <c r="I704" t="s">
        <v>58</v>
      </c>
      <c r="J704">
        <v>0</v>
      </c>
      <c r="K704">
        <v>1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1</v>
      </c>
      <c r="T704">
        <v>0</v>
      </c>
      <c r="U704">
        <v>0</v>
      </c>
      <c r="V704">
        <v>0</v>
      </c>
      <c r="W704">
        <v>1</v>
      </c>
      <c r="X704">
        <v>928.01</v>
      </c>
      <c r="Y704">
        <v>1000</v>
      </c>
      <c r="Z704">
        <f>AVERAGEIFS(Table1[FinalElo], Table1[Country], Table1[[#This Row],[Country]])</f>
        <v>974.61500000000012</v>
      </c>
      <c r="AA704" cm="1">
        <f t="array" ref="AA704">IF(COUNTIFS(Table1[Country],Table1[[#This Row],[Country]])=1,0, _xlfn.STDEV.S(IF(Table1[Country]=Table1[[#This Row],[Country]],Table1[FinalElo])))</f>
        <v>146.82246313768914</v>
      </c>
      <c r="AB704">
        <f>IF(Table1[[#This Row],[CStd]]=0,0, (Table1[[#This Row],[FinalElo]]-Table1[[#This Row],[CAvg]]) / Table1[[#This Row],[CStd]])</f>
        <v>-0.31742418022434532</v>
      </c>
      <c r="AC704" t="str">
        <f>IF(Table1[[#This Row],[CStd]]=0,"Normal", IF(ABS(Table1[[#This Row],[CZscore]])&gt;2,"Outlier","Normal"))</f>
        <v>Normal</v>
      </c>
    </row>
    <row r="705" spans="1:29" x14ac:dyDescent="0.35">
      <c r="A705" t="s">
        <v>1588</v>
      </c>
      <c r="B705">
        <v>67.900000000000006</v>
      </c>
      <c r="C705">
        <v>170</v>
      </c>
      <c r="D705" t="s">
        <v>218</v>
      </c>
      <c r="E705">
        <v>40</v>
      </c>
      <c r="F705" t="s">
        <v>1589</v>
      </c>
      <c r="G705" t="s">
        <v>40</v>
      </c>
      <c r="H705" t="s">
        <v>29</v>
      </c>
      <c r="I705" t="s">
        <v>48</v>
      </c>
      <c r="J705">
        <v>0</v>
      </c>
      <c r="K705">
        <v>1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1</v>
      </c>
      <c r="T705">
        <v>0</v>
      </c>
      <c r="U705">
        <v>0</v>
      </c>
      <c r="V705">
        <v>0</v>
      </c>
      <c r="W705">
        <v>1</v>
      </c>
      <c r="X705">
        <v>939.67</v>
      </c>
      <c r="Y705">
        <v>1000</v>
      </c>
      <c r="Z705">
        <f>AVERAGEIFS(Table1[FinalElo], Table1[Country], Table1[[#This Row],[Country]])</f>
        <v>953.02272727272725</v>
      </c>
      <c r="AA705" cm="1">
        <f t="array" ref="AA705">IF(COUNTIFS(Table1[Country],Table1[[#This Row],[Country]])=1,0, _xlfn.STDEV.S(IF(Table1[Country]=Table1[[#This Row],[Country]],Table1[FinalElo])))</f>
        <v>75.051454894746612</v>
      </c>
      <c r="AB705">
        <f>IF(Table1[[#This Row],[CStd]]=0,0, (Table1[[#This Row],[FinalElo]]-Table1[[#This Row],[CAvg]]) / Table1[[#This Row],[CStd]])</f>
        <v>-0.17791430281336151</v>
      </c>
      <c r="AC705" t="str">
        <f>IF(Table1[[#This Row],[CStd]]=0,"Normal", IF(ABS(Table1[[#This Row],[CZscore]])&gt;2,"Outlier","Normal"))</f>
        <v>Normal</v>
      </c>
    </row>
    <row r="706" spans="1:29" x14ac:dyDescent="0.35">
      <c r="A706" t="s">
        <v>1587</v>
      </c>
      <c r="B706">
        <v>70.31</v>
      </c>
      <c r="C706">
        <v>183</v>
      </c>
      <c r="D706" t="s">
        <v>32</v>
      </c>
      <c r="E706">
        <v>29</v>
      </c>
      <c r="F706" t="s">
        <v>33</v>
      </c>
      <c r="G706" t="s">
        <v>40</v>
      </c>
      <c r="H706" t="s">
        <v>29</v>
      </c>
      <c r="I706" t="s">
        <v>30</v>
      </c>
      <c r="J706">
        <v>3</v>
      </c>
      <c r="K706">
        <v>1</v>
      </c>
      <c r="L706">
        <v>0</v>
      </c>
      <c r="M706">
        <v>2</v>
      </c>
      <c r="N706">
        <v>1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1</v>
      </c>
      <c r="V706">
        <v>0</v>
      </c>
      <c r="W706">
        <v>4</v>
      </c>
      <c r="X706">
        <v>1110.7</v>
      </c>
      <c r="Y706">
        <v>1226.17</v>
      </c>
      <c r="Z706">
        <f>AVERAGEIFS(Table1[FinalElo], Table1[Country], Table1[[#This Row],[Country]])</f>
        <v>1025.3786885245902</v>
      </c>
      <c r="AA706" cm="1">
        <f t="array" ref="AA706">IF(COUNTIFS(Table1[Country],Table1[[#This Row],[Country]])=1,0, _xlfn.STDEV.S(IF(Table1[Country]=Table1[[#This Row],[Country]],Table1[FinalElo])))</f>
        <v>144.71595558743479</v>
      </c>
      <c r="AB706">
        <f>IF(Table1[[#This Row],[CStd]]=0,0, (Table1[[#This Row],[FinalElo]]-Table1[[#This Row],[CAvg]]) / Table1[[#This Row],[CStd]])</f>
        <v>0.58957777757864605</v>
      </c>
      <c r="AC706" t="str">
        <f>IF(Table1[[#This Row],[CStd]]=0,"Normal", IF(ABS(Table1[[#This Row],[CZscore]])&gt;2,"Outlier","Normal"))</f>
        <v>Normal</v>
      </c>
    </row>
    <row r="707" spans="1:29" x14ac:dyDescent="0.35">
      <c r="A707" t="s">
        <v>1586</v>
      </c>
      <c r="B707">
        <v>76.2</v>
      </c>
      <c r="C707">
        <v>170</v>
      </c>
      <c r="D707" t="s">
        <v>32</v>
      </c>
      <c r="E707">
        <v>28</v>
      </c>
      <c r="F707" t="s">
        <v>148</v>
      </c>
      <c r="G707" t="s">
        <v>54</v>
      </c>
      <c r="H707" t="s">
        <v>29</v>
      </c>
      <c r="I707" t="s">
        <v>30</v>
      </c>
      <c r="J707">
        <v>0</v>
      </c>
      <c r="K707">
        <v>1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1</v>
      </c>
      <c r="V707">
        <v>0</v>
      </c>
      <c r="W707">
        <v>1</v>
      </c>
      <c r="X707">
        <v>955.45</v>
      </c>
      <c r="Y707">
        <v>1000</v>
      </c>
      <c r="Z707">
        <f>AVERAGEIFS(Table1[FinalElo], Table1[Country], Table1[[#This Row],[Country]])</f>
        <v>1025.3786885245902</v>
      </c>
      <c r="AA707" cm="1">
        <f t="array" ref="AA707">IF(COUNTIFS(Table1[Country],Table1[[#This Row],[Country]])=1,0, _xlfn.STDEV.S(IF(Table1[Country]=Table1[[#This Row],[Country]],Table1[FinalElo])))</f>
        <v>144.71595558743479</v>
      </c>
      <c r="AB707">
        <f>IF(Table1[[#This Row],[CStd]]=0,0, (Table1[[#This Row],[FinalElo]]-Table1[[#This Row],[CAvg]]) / Table1[[#This Row],[CStd]])</f>
        <v>-0.48321339717333711</v>
      </c>
      <c r="AC707" t="str">
        <f>IF(Table1[[#This Row],[CStd]]=0,"Normal", IF(ABS(Table1[[#This Row],[CZscore]])&gt;2,"Outlier","Normal"))</f>
        <v>Normal</v>
      </c>
    </row>
    <row r="708" spans="1:29" x14ac:dyDescent="0.35">
      <c r="A708" t="s">
        <v>1584</v>
      </c>
      <c r="B708">
        <v>65.599999999999994</v>
      </c>
      <c r="C708">
        <v>179</v>
      </c>
      <c r="D708" t="s">
        <v>82</v>
      </c>
      <c r="E708">
        <v>32</v>
      </c>
      <c r="F708" t="s">
        <v>1585</v>
      </c>
      <c r="G708" t="s">
        <v>34</v>
      </c>
      <c r="H708" t="s">
        <v>29</v>
      </c>
      <c r="I708" t="s">
        <v>73</v>
      </c>
      <c r="J708">
        <v>0</v>
      </c>
      <c r="K708">
        <v>1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1</v>
      </c>
      <c r="S708">
        <v>0</v>
      </c>
      <c r="T708">
        <v>0</v>
      </c>
      <c r="U708">
        <v>0</v>
      </c>
      <c r="V708">
        <v>0</v>
      </c>
      <c r="W708">
        <v>1</v>
      </c>
      <c r="X708">
        <v>900</v>
      </c>
      <c r="Y708">
        <v>1000</v>
      </c>
      <c r="Z708">
        <f>AVERAGEIFS(Table1[FinalElo], Table1[Country], Table1[[#This Row],[Country]])</f>
        <v>1012.5275373134326</v>
      </c>
      <c r="AA708" cm="1">
        <f t="array" ref="AA708">IF(COUNTIFS(Table1[Country],Table1[[#This Row],[Country]])=1,0, _xlfn.STDEV.S(IF(Table1[Country]=Table1[[#This Row],[Country]],Table1[FinalElo])))</f>
        <v>135.61062237674741</v>
      </c>
      <c r="AB708">
        <f>IF(Table1[[#This Row],[CStd]]=0,0, (Table1[[#This Row],[FinalElo]]-Table1[[#This Row],[CAvg]]) / Table1[[#This Row],[CStd]])</f>
        <v>-0.82978409317238888</v>
      </c>
      <c r="AC708" t="str">
        <f>IF(Table1[[#This Row],[CStd]]=0,"Normal", IF(ABS(Table1[[#This Row],[CZscore]])&gt;2,"Outlier","Normal"))</f>
        <v>Normal</v>
      </c>
    </row>
    <row r="709" spans="1:29" x14ac:dyDescent="0.35">
      <c r="A709" t="s">
        <v>1583</v>
      </c>
      <c r="B709">
        <v>60.6</v>
      </c>
      <c r="C709">
        <v>173</v>
      </c>
      <c r="D709" t="s">
        <v>82</v>
      </c>
      <c r="E709">
        <v>31</v>
      </c>
      <c r="F709" t="s">
        <v>1351</v>
      </c>
      <c r="G709" t="s">
        <v>34</v>
      </c>
      <c r="H709" t="s">
        <v>29</v>
      </c>
      <c r="I709" t="s">
        <v>58</v>
      </c>
      <c r="J709">
        <v>0</v>
      </c>
      <c r="K709">
        <v>1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1</v>
      </c>
      <c r="X709">
        <v>842.6</v>
      </c>
      <c r="Y709">
        <v>1000</v>
      </c>
      <c r="Z709">
        <f>AVERAGEIFS(Table1[FinalElo], Table1[Country], Table1[[#This Row],[Country]])</f>
        <v>1012.5275373134326</v>
      </c>
      <c r="AA709" cm="1">
        <f t="array" ref="AA709">IF(COUNTIFS(Table1[Country],Table1[[#This Row],[Country]])=1,0, _xlfn.STDEV.S(IF(Table1[Country]=Table1[[#This Row],[Country]],Table1[FinalElo])))</f>
        <v>135.61062237674741</v>
      </c>
      <c r="AB709">
        <f>IF(Table1[[#This Row],[CStd]]=0,0, (Table1[[#This Row],[FinalElo]]-Table1[[#This Row],[CAvg]]) / Table1[[#This Row],[CStd]])</f>
        <v>-1.2530547706015791</v>
      </c>
      <c r="AC709" t="str">
        <f>IF(Table1[[#This Row],[CStd]]=0,"Normal", IF(ABS(Table1[[#This Row],[CZscore]])&gt;2,"Outlier","Normal"))</f>
        <v>Normal</v>
      </c>
    </row>
    <row r="710" spans="1:29" x14ac:dyDescent="0.35">
      <c r="A710" t="s">
        <v>1581</v>
      </c>
      <c r="B710">
        <v>55.2</v>
      </c>
      <c r="C710">
        <v>168</v>
      </c>
      <c r="D710" t="s">
        <v>82</v>
      </c>
      <c r="E710">
        <v>33</v>
      </c>
      <c r="F710" t="s">
        <v>1582</v>
      </c>
      <c r="G710" t="s">
        <v>34</v>
      </c>
      <c r="H710" t="s">
        <v>29</v>
      </c>
      <c r="I710" t="s">
        <v>36</v>
      </c>
      <c r="J710">
        <v>1</v>
      </c>
      <c r="K710">
        <v>1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1</v>
      </c>
      <c r="V710">
        <v>0</v>
      </c>
      <c r="W710">
        <v>2</v>
      </c>
      <c r="X710">
        <v>1007.25</v>
      </c>
      <c r="Y710">
        <v>1007.25</v>
      </c>
      <c r="Z710">
        <f>AVERAGEIFS(Table1[FinalElo], Table1[Country], Table1[[#This Row],[Country]])</f>
        <v>1012.5275373134326</v>
      </c>
      <c r="AA710" cm="1">
        <f t="array" ref="AA710">IF(COUNTIFS(Table1[Country],Table1[[#This Row],[Country]])=1,0, _xlfn.STDEV.S(IF(Table1[Country]=Table1[[#This Row],[Country]],Table1[FinalElo])))</f>
        <v>135.61062237674741</v>
      </c>
      <c r="AB710">
        <f>IF(Table1[[#This Row],[CStd]]=0,0, (Table1[[#This Row],[FinalElo]]-Table1[[#This Row],[CAvg]]) / Table1[[#This Row],[CStd]])</f>
        <v>-3.8916843097812778E-2</v>
      </c>
      <c r="AC710" t="str">
        <f>IF(Table1[[#This Row],[CStd]]=0,"Normal", IF(ABS(Table1[[#This Row],[CZscore]])&gt;2,"Outlier","Normal"))</f>
        <v>Normal</v>
      </c>
    </row>
    <row r="711" spans="1:29" x14ac:dyDescent="0.35">
      <c r="A711" t="s">
        <v>1579</v>
      </c>
      <c r="B711">
        <v>64.400000000000006</v>
      </c>
      <c r="C711">
        <v>165</v>
      </c>
      <c r="D711" t="s">
        <v>82</v>
      </c>
      <c r="E711">
        <v>49</v>
      </c>
      <c r="F711" t="s">
        <v>1580</v>
      </c>
      <c r="G711" t="s">
        <v>54</v>
      </c>
      <c r="H711" t="s">
        <v>29</v>
      </c>
      <c r="I711" t="s">
        <v>73</v>
      </c>
      <c r="J711">
        <v>3</v>
      </c>
      <c r="K711">
        <v>5</v>
      </c>
      <c r="L711">
        <v>0</v>
      </c>
      <c r="M711">
        <v>0</v>
      </c>
      <c r="N711">
        <v>3</v>
      </c>
      <c r="O711">
        <v>0</v>
      </c>
      <c r="P711">
        <v>0</v>
      </c>
      <c r="Q711">
        <v>0</v>
      </c>
      <c r="R711">
        <v>0</v>
      </c>
      <c r="S711">
        <v>2</v>
      </c>
      <c r="T711">
        <v>0</v>
      </c>
      <c r="U711">
        <v>3</v>
      </c>
      <c r="V711">
        <v>0</v>
      </c>
      <c r="W711">
        <v>8</v>
      </c>
      <c r="X711">
        <v>876.22</v>
      </c>
      <c r="Y711">
        <v>1100</v>
      </c>
      <c r="Z711">
        <f>AVERAGEIFS(Table1[FinalElo], Table1[Country], Table1[[#This Row],[Country]])</f>
        <v>1012.5275373134326</v>
      </c>
      <c r="AA711" cm="1">
        <f t="array" ref="AA711">IF(COUNTIFS(Table1[Country],Table1[[#This Row],[Country]])=1,0, _xlfn.STDEV.S(IF(Table1[Country]=Table1[[#This Row],[Country]],Table1[FinalElo])))</f>
        <v>135.61062237674741</v>
      </c>
      <c r="AB711">
        <f>IF(Table1[[#This Row],[CStd]]=0,0, (Table1[[#This Row],[FinalElo]]-Table1[[#This Row],[CAvg]]) / Table1[[#This Row],[CStd]])</f>
        <v>-1.005139088107339</v>
      </c>
      <c r="AC711" t="str">
        <f>IF(Table1[[#This Row],[CStd]]=0,"Normal", IF(ABS(Table1[[#This Row],[CZscore]])&gt;2,"Outlier","Normal"))</f>
        <v>Normal</v>
      </c>
    </row>
    <row r="712" spans="1:29" x14ac:dyDescent="0.35">
      <c r="A712" t="s">
        <v>1578</v>
      </c>
      <c r="B712">
        <v>61.23</v>
      </c>
      <c r="C712">
        <v>175</v>
      </c>
      <c r="D712" t="s">
        <v>82</v>
      </c>
      <c r="E712">
        <v>21</v>
      </c>
      <c r="F712" t="s">
        <v>206</v>
      </c>
      <c r="G712" t="s">
        <v>28</v>
      </c>
      <c r="H712" t="s">
        <v>29</v>
      </c>
      <c r="I712" t="s">
        <v>73</v>
      </c>
      <c r="J712">
        <v>1</v>
      </c>
      <c r="K712">
        <v>1</v>
      </c>
      <c r="L712">
        <v>0</v>
      </c>
      <c r="M712">
        <v>1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1</v>
      </c>
      <c r="V712">
        <v>0</v>
      </c>
      <c r="W712">
        <v>2</v>
      </c>
      <c r="X712">
        <v>1024.05</v>
      </c>
      <c r="Y712">
        <v>1024.05</v>
      </c>
      <c r="Z712">
        <f>AVERAGEIFS(Table1[FinalElo], Table1[Country], Table1[[#This Row],[Country]])</f>
        <v>1012.5275373134326</v>
      </c>
      <c r="AA712" cm="1">
        <f t="array" ref="AA712">IF(COUNTIFS(Table1[Country],Table1[[#This Row],[Country]])=1,0, _xlfn.STDEV.S(IF(Table1[Country]=Table1[[#This Row],[Country]],Table1[FinalElo])))</f>
        <v>135.61062237674741</v>
      </c>
      <c r="AB712">
        <f>IF(Table1[[#This Row],[CStd]]=0,0, (Table1[[#This Row],[FinalElo]]-Table1[[#This Row],[CAvg]]) / Table1[[#This Row],[CStd]])</f>
        <v>8.4967257613169436E-2</v>
      </c>
      <c r="AC712" t="str">
        <f>IF(Table1[[#This Row],[CStd]]=0,"Normal", IF(ABS(Table1[[#This Row],[CZscore]])&gt;2,"Outlier","Normal"))</f>
        <v>Normal</v>
      </c>
    </row>
    <row r="713" spans="1:29" x14ac:dyDescent="0.35">
      <c r="A713" t="s">
        <v>81</v>
      </c>
      <c r="B713">
        <v>70</v>
      </c>
      <c r="C713">
        <v>175</v>
      </c>
      <c r="D713" t="s">
        <v>82</v>
      </c>
      <c r="E713">
        <v>32</v>
      </c>
      <c r="F713">
        <v>1</v>
      </c>
      <c r="G713" t="s">
        <v>28</v>
      </c>
      <c r="H713" t="s">
        <v>29</v>
      </c>
      <c r="I713" t="s">
        <v>48</v>
      </c>
      <c r="J713">
        <v>2</v>
      </c>
      <c r="K713">
        <v>2</v>
      </c>
      <c r="L713">
        <v>0</v>
      </c>
      <c r="M713">
        <v>1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2</v>
      </c>
      <c r="V713">
        <v>0</v>
      </c>
      <c r="W713">
        <v>4</v>
      </c>
      <c r="X713">
        <v>1171.58</v>
      </c>
      <c r="Y713">
        <v>1171.58</v>
      </c>
      <c r="Z713">
        <f>AVERAGEIFS(Table1[FinalElo], Table1[Country], Table1[[#This Row],[Country]])</f>
        <v>1012.5275373134326</v>
      </c>
      <c r="AA713" cm="1">
        <f t="array" ref="AA713">IF(COUNTIFS(Table1[Country],Table1[[#This Row],[Country]])=1,0, _xlfn.STDEV.S(IF(Table1[Country]=Table1[[#This Row],[Country]],Table1[FinalElo])))</f>
        <v>135.61062237674741</v>
      </c>
      <c r="AB713">
        <f>IF(Table1[[#This Row],[CStd]]=0,0, (Table1[[#This Row],[FinalElo]]-Table1[[#This Row],[CAvg]]) / Table1[[#This Row],[CStd]])</f>
        <v>1.1728613872495535</v>
      </c>
      <c r="AC713" t="str">
        <f>IF(Table1[[#This Row],[CStd]]=0,"Normal", IF(ABS(Table1[[#This Row],[CZscore]])&gt;2,"Outlier","Normal"))</f>
        <v>Normal</v>
      </c>
    </row>
    <row r="714" spans="1:29" x14ac:dyDescent="0.35">
      <c r="A714" t="s">
        <v>1576</v>
      </c>
      <c r="B714">
        <v>52.16</v>
      </c>
      <c r="C714">
        <v>165</v>
      </c>
      <c r="D714" t="s">
        <v>60</v>
      </c>
      <c r="E714">
        <v>22</v>
      </c>
      <c r="F714" t="s">
        <v>1577</v>
      </c>
      <c r="G714" t="s">
        <v>40</v>
      </c>
      <c r="H714" t="s">
        <v>29</v>
      </c>
      <c r="I714" t="s">
        <v>36</v>
      </c>
      <c r="J714">
        <v>2</v>
      </c>
      <c r="K714">
        <v>1</v>
      </c>
      <c r="L714">
        <v>0</v>
      </c>
      <c r="M714">
        <v>1</v>
      </c>
      <c r="N714">
        <v>1</v>
      </c>
      <c r="O714">
        <v>0</v>
      </c>
      <c r="P714">
        <v>0</v>
      </c>
      <c r="Q714">
        <v>0</v>
      </c>
      <c r="R714">
        <v>1</v>
      </c>
      <c r="S714">
        <v>0</v>
      </c>
      <c r="T714">
        <v>0</v>
      </c>
      <c r="U714">
        <v>0</v>
      </c>
      <c r="V714">
        <v>0</v>
      </c>
      <c r="W714">
        <v>3</v>
      </c>
      <c r="X714">
        <v>1072.21</v>
      </c>
      <c r="Y714">
        <v>1171.99</v>
      </c>
      <c r="Z714">
        <f>AVERAGEIFS(Table1[FinalElo], Table1[Country], Table1[[#This Row],[Country]])</f>
        <v>1034.681315789474</v>
      </c>
      <c r="AA714" cm="1">
        <f t="array" ref="AA714">IF(COUNTIFS(Table1[Country],Table1[[#This Row],[Country]])=1,0, _xlfn.STDEV.S(IF(Table1[Country]=Table1[[#This Row],[Country]],Table1[FinalElo])))</f>
        <v>152.902810204692</v>
      </c>
      <c r="AB714">
        <f>IF(Table1[[#This Row],[CStd]]=0,0, (Table1[[#This Row],[FinalElo]]-Table1[[#This Row],[CAvg]]) / Table1[[#This Row],[CStd]])</f>
        <v>0.24544142884153786</v>
      </c>
      <c r="AC714" t="str">
        <f>IF(Table1[[#This Row],[CStd]]=0,"Normal", IF(ABS(Table1[[#This Row],[CZscore]])&gt;2,"Outlier","Normal"))</f>
        <v>Normal</v>
      </c>
    </row>
    <row r="715" spans="1:29" x14ac:dyDescent="0.35">
      <c r="A715" t="s">
        <v>1574</v>
      </c>
      <c r="B715">
        <v>51.8</v>
      </c>
      <c r="C715">
        <v>163</v>
      </c>
      <c r="D715" t="s">
        <v>799</v>
      </c>
      <c r="E715">
        <v>27</v>
      </c>
      <c r="F715" t="s">
        <v>1575</v>
      </c>
      <c r="G715" t="s">
        <v>34</v>
      </c>
      <c r="H715" t="s">
        <v>29</v>
      </c>
      <c r="I715" t="s">
        <v>55</v>
      </c>
      <c r="J715">
        <v>1</v>
      </c>
      <c r="K715">
        <v>1</v>
      </c>
      <c r="L715">
        <v>0</v>
      </c>
      <c r="M715">
        <v>1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2</v>
      </c>
      <c r="X715">
        <v>971.99</v>
      </c>
      <c r="Y715">
        <v>1100</v>
      </c>
      <c r="Z715">
        <f>AVERAGEIFS(Table1[FinalElo], Table1[Country], Table1[[#This Row],[Country]])</f>
        <v>908.56333333333316</v>
      </c>
      <c r="AA715" cm="1">
        <f t="array" ref="AA715">IF(COUNTIFS(Table1[Country],Table1[[#This Row],[Country]])=1,0, _xlfn.STDEV.S(IF(Table1[Country]=Table1[[#This Row],[Country]],Table1[FinalElo])))</f>
        <v>55.482960747722679</v>
      </c>
      <c r="AB715">
        <f>IF(Table1[[#This Row],[CStd]]=0,0, (Table1[[#This Row],[FinalElo]]-Table1[[#This Row],[CAvg]]) / Table1[[#This Row],[CStd]])</f>
        <v>1.1431737926723786</v>
      </c>
      <c r="AC715" t="str">
        <f>IF(Table1[[#This Row],[CStd]]=0,"Normal", IF(ABS(Table1[[#This Row],[CZscore]])&gt;2,"Outlier","Normal"))</f>
        <v>Normal</v>
      </c>
    </row>
    <row r="716" spans="1:29" x14ac:dyDescent="0.35">
      <c r="A716" t="s">
        <v>1572</v>
      </c>
      <c r="B716">
        <v>47.63</v>
      </c>
      <c r="C716">
        <v>164</v>
      </c>
      <c r="D716" t="s">
        <v>436</v>
      </c>
      <c r="E716">
        <v>23</v>
      </c>
      <c r="F716" t="s">
        <v>1573</v>
      </c>
      <c r="G716" t="s">
        <v>34</v>
      </c>
      <c r="H716" t="s">
        <v>29</v>
      </c>
      <c r="I716" t="s">
        <v>55</v>
      </c>
      <c r="J716">
        <v>3</v>
      </c>
      <c r="K716">
        <v>1</v>
      </c>
      <c r="L716">
        <v>0</v>
      </c>
      <c r="M716">
        <v>1</v>
      </c>
      <c r="N716">
        <v>0</v>
      </c>
      <c r="O716">
        <v>0</v>
      </c>
      <c r="P716">
        <v>1</v>
      </c>
      <c r="Q716">
        <v>1</v>
      </c>
      <c r="R716">
        <v>0</v>
      </c>
      <c r="S716">
        <v>0</v>
      </c>
      <c r="T716">
        <v>0</v>
      </c>
      <c r="U716">
        <v>1</v>
      </c>
      <c r="V716">
        <v>0</v>
      </c>
      <c r="W716">
        <v>4</v>
      </c>
      <c r="X716">
        <v>1147.21</v>
      </c>
      <c r="Y716">
        <v>1147.21</v>
      </c>
      <c r="Z716">
        <f>AVERAGEIFS(Table1[FinalElo], Table1[Country], Table1[[#This Row],[Country]])</f>
        <v>1053.6925000000001</v>
      </c>
      <c r="AA716" cm="1">
        <f t="array" ref="AA716">IF(COUNTIFS(Table1[Country],Table1[[#This Row],[Country]])=1,0, _xlfn.STDEV.S(IF(Table1[Country]=Table1[[#This Row],[Country]],Table1[FinalElo])))</f>
        <v>84.046811311712901</v>
      </c>
      <c r="AB716">
        <f>IF(Table1[[#This Row],[CStd]]=0,0, (Table1[[#This Row],[FinalElo]]-Table1[[#This Row],[CAvg]]) / Table1[[#This Row],[CStd]])</f>
        <v>1.1126834979278646</v>
      </c>
      <c r="AC716" t="str">
        <f>IF(Table1[[#This Row],[CStd]]=0,"Normal", IF(ABS(Table1[[#This Row],[CZscore]])&gt;2,"Outlier","Normal"))</f>
        <v>Normal</v>
      </c>
    </row>
    <row r="717" spans="1:29" x14ac:dyDescent="0.35">
      <c r="A717" t="s">
        <v>1568</v>
      </c>
      <c r="B717">
        <v>52.1</v>
      </c>
      <c r="C717">
        <v>164</v>
      </c>
      <c r="D717" t="s">
        <v>129</v>
      </c>
      <c r="E717">
        <v>19</v>
      </c>
      <c r="F717" t="s">
        <v>1569</v>
      </c>
      <c r="G717" t="s">
        <v>34</v>
      </c>
      <c r="H717" t="s">
        <v>29</v>
      </c>
      <c r="I717" t="s">
        <v>55</v>
      </c>
      <c r="J717">
        <v>1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1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1</v>
      </c>
      <c r="X717">
        <v>1071.99</v>
      </c>
      <c r="Y717">
        <v>1071.99</v>
      </c>
      <c r="Z717">
        <f>AVERAGEIFS(Table1[FinalElo], Table1[Country], Table1[[#This Row],[Country]])</f>
        <v>968.67499999999995</v>
      </c>
      <c r="AA717" cm="1">
        <f t="array" ref="AA717">IF(COUNTIFS(Table1[Country],Table1[[#This Row],[Country]])=1,0, _xlfn.STDEV.S(IF(Table1[Country]=Table1[[#This Row],[Country]],Table1[FinalElo])))</f>
        <v>146.10947419657808</v>
      </c>
      <c r="AB717">
        <f>IF(Table1[[#This Row],[CStd]]=0,0, (Table1[[#This Row],[FinalElo]]-Table1[[#This Row],[CAvg]]) / Table1[[#This Row],[CStd]])</f>
        <v>0.70710678118653936</v>
      </c>
      <c r="AC717" t="str">
        <f>IF(Table1[[#This Row],[CStd]]=0,"Normal", IF(ABS(Table1[[#This Row],[CZscore]])&gt;2,"Outlier","Normal"))</f>
        <v>Normal</v>
      </c>
    </row>
    <row r="718" spans="1:29" x14ac:dyDescent="0.35">
      <c r="A718" t="s">
        <v>1566</v>
      </c>
      <c r="B718">
        <v>70.3</v>
      </c>
      <c r="C718">
        <v>173</v>
      </c>
      <c r="D718" t="s">
        <v>1567</v>
      </c>
      <c r="E718">
        <v>36</v>
      </c>
      <c r="F718" t="s">
        <v>328</v>
      </c>
      <c r="G718" t="s">
        <v>40</v>
      </c>
      <c r="H718" t="s">
        <v>29</v>
      </c>
      <c r="I718" t="s">
        <v>48</v>
      </c>
      <c r="J718">
        <v>12</v>
      </c>
      <c r="K718">
        <v>8</v>
      </c>
      <c r="L718">
        <v>0</v>
      </c>
      <c r="M718">
        <v>4</v>
      </c>
      <c r="N718">
        <v>2</v>
      </c>
      <c r="O718">
        <v>0</v>
      </c>
      <c r="P718">
        <v>1</v>
      </c>
      <c r="Q718">
        <v>1</v>
      </c>
      <c r="R718">
        <v>1</v>
      </c>
      <c r="S718">
        <v>2</v>
      </c>
      <c r="T718">
        <v>0</v>
      </c>
      <c r="U718">
        <v>2</v>
      </c>
      <c r="V718">
        <v>1</v>
      </c>
      <c r="W718">
        <v>20</v>
      </c>
      <c r="X718">
        <v>1028.01</v>
      </c>
      <c r="Y718">
        <v>1542.05</v>
      </c>
      <c r="Z718">
        <f>AVERAGEIFS(Table1[FinalElo], Table1[Country], Table1[[#This Row],[Country]])</f>
        <v>1028.01</v>
      </c>
      <c r="AA718" cm="1">
        <f t="array" ref="AA718">IF(COUNTIFS(Table1[Country],Table1[[#This Row],[Country]])=1,0, _xlfn.STDEV.S(IF(Table1[Country]=Table1[[#This Row],[Country]],Table1[FinalElo])))</f>
        <v>0</v>
      </c>
      <c r="AB718">
        <f>IF(Table1[[#This Row],[CStd]]=0,0, (Table1[[#This Row],[FinalElo]]-Table1[[#This Row],[CAvg]]) / Table1[[#This Row],[CStd]])</f>
        <v>0</v>
      </c>
      <c r="AC718" t="str">
        <f>IF(Table1[[#This Row],[CStd]]=0,"Normal", IF(ABS(Table1[[#This Row],[CZscore]])&gt;2,"Outlier","Normal"))</f>
        <v>Normal</v>
      </c>
    </row>
    <row r="719" spans="1:29" x14ac:dyDescent="0.35">
      <c r="A719" t="s">
        <v>1564</v>
      </c>
      <c r="B719">
        <v>110.7</v>
      </c>
      <c r="C719">
        <v>194</v>
      </c>
      <c r="D719" t="s">
        <v>1565</v>
      </c>
      <c r="E719">
        <v>33</v>
      </c>
      <c r="F719" t="s">
        <v>191</v>
      </c>
      <c r="G719" t="s">
        <v>40</v>
      </c>
      <c r="H719" t="s">
        <v>29</v>
      </c>
      <c r="I719" t="s">
        <v>94</v>
      </c>
      <c r="J719">
        <v>0</v>
      </c>
      <c r="K719">
        <v>0</v>
      </c>
      <c r="L719">
        <v>1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1</v>
      </c>
      <c r="X719">
        <v>1000</v>
      </c>
      <c r="Y719">
        <v>1000</v>
      </c>
      <c r="Z719">
        <f>AVERAGEIFS(Table1[FinalElo], Table1[Country], Table1[[#This Row],[Country]])</f>
        <v>1065.5650000000001</v>
      </c>
      <c r="AA719" cm="1">
        <f t="array" ref="AA719">IF(COUNTIFS(Table1[Country],Table1[[#This Row],[Country]])=1,0, _xlfn.STDEV.S(IF(Table1[Country]=Table1[[#This Row],[Country]],Table1[FinalElo])))</f>
        <v>92.722912216992057</v>
      </c>
      <c r="AB719">
        <f>IF(Table1[[#This Row],[CStd]]=0,0, (Table1[[#This Row],[FinalElo]]-Table1[[#This Row],[CAvg]]) / Table1[[#This Row],[CStd]])</f>
        <v>-0.70710678118654746</v>
      </c>
      <c r="AC719" t="str">
        <f>IF(Table1[[#This Row],[CStd]]=0,"Normal", IF(ABS(Table1[[#This Row],[CZscore]])&gt;2,"Outlier","Normal"))</f>
        <v>Normal</v>
      </c>
    </row>
    <row r="720" spans="1:29" x14ac:dyDescent="0.35">
      <c r="A720" t="s">
        <v>1561</v>
      </c>
      <c r="B720">
        <v>47.63</v>
      </c>
      <c r="C720">
        <v>165</v>
      </c>
      <c r="D720" t="s">
        <v>1562</v>
      </c>
      <c r="E720">
        <v>35</v>
      </c>
      <c r="F720" t="s">
        <v>1563</v>
      </c>
      <c r="G720" t="s">
        <v>34</v>
      </c>
      <c r="H720" t="s">
        <v>29</v>
      </c>
      <c r="I720" t="s">
        <v>55</v>
      </c>
      <c r="J720">
        <v>0</v>
      </c>
      <c r="K720">
        <v>1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1</v>
      </c>
      <c r="S720">
        <v>0</v>
      </c>
      <c r="T720">
        <v>0</v>
      </c>
      <c r="U720">
        <v>0</v>
      </c>
      <c r="V720">
        <v>0</v>
      </c>
      <c r="W720">
        <v>1</v>
      </c>
      <c r="X720">
        <v>962.22</v>
      </c>
      <c r="Y720">
        <v>1000</v>
      </c>
      <c r="Z720">
        <f>AVERAGEIFS(Table1[FinalElo], Table1[Country], Table1[[#This Row],[Country]])</f>
        <v>962.22</v>
      </c>
      <c r="AA720" cm="1">
        <f t="array" ref="AA720">IF(COUNTIFS(Table1[Country],Table1[[#This Row],[Country]])=1,0, _xlfn.STDEV.S(IF(Table1[Country]=Table1[[#This Row],[Country]],Table1[FinalElo])))</f>
        <v>0</v>
      </c>
      <c r="AB720">
        <f>IF(Table1[[#This Row],[CStd]]=0,0, (Table1[[#This Row],[FinalElo]]-Table1[[#This Row],[CAvg]]) / Table1[[#This Row],[CStd]])</f>
        <v>0</v>
      </c>
      <c r="AC720" t="str">
        <f>IF(Table1[[#This Row],[CStd]]=0,"Normal", IF(ABS(Table1[[#This Row],[CZscore]])&gt;2,"Outlier","Normal"))</f>
        <v>Normal</v>
      </c>
    </row>
    <row r="721" spans="1:29" x14ac:dyDescent="0.35">
      <c r="A721" t="s">
        <v>1559</v>
      </c>
      <c r="B721">
        <v>52.16</v>
      </c>
      <c r="C721">
        <v>155</v>
      </c>
      <c r="D721" t="s">
        <v>60</v>
      </c>
      <c r="E721">
        <v>36</v>
      </c>
      <c r="F721" t="s">
        <v>1560</v>
      </c>
      <c r="G721" t="s">
        <v>40</v>
      </c>
      <c r="H721" t="s">
        <v>29</v>
      </c>
      <c r="I721" t="s">
        <v>36</v>
      </c>
      <c r="J721">
        <v>0</v>
      </c>
      <c r="K721">
        <v>1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1</v>
      </c>
      <c r="V721">
        <v>0</v>
      </c>
      <c r="W721">
        <v>1</v>
      </c>
      <c r="X721">
        <v>900</v>
      </c>
      <c r="Y721">
        <v>1000</v>
      </c>
      <c r="Z721">
        <f>AVERAGEIFS(Table1[FinalElo], Table1[Country], Table1[[#This Row],[Country]])</f>
        <v>1034.681315789474</v>
      </c>
      <c r="AA721" cm="1">
        <f t="array" ref="AA721">IF(COUNTIFS(Table1[Country],Table1[[#This Row],[Country]])=1,0, _xlfn.STDEV.S(IF(Table1[Country]=Table1[[#This Row],[Country]],Table1[FinalElo])))</f>
        <v>152.902810204692</v>
      </c>
      <c r="AB721">
        <f>IF(Table1[[#This Row],[CStd]]=0,0, (Table1[[#This Row],[FinalElo]]-Table1[[#This Row],[CAvg]]) / Table1[[#This Row],[CStd]])</f>
        <v>-0.88082956493196685</v>
      </c>
      <c r="AC721" t="str">
        <f>IF(Table1[[#This Row],[CStd]]=0,"Normal", IF(ABS(Table1[[#This Row],[CZscore]])&gt;2,"Outlier","Normal"))</f>
        <v>Normal</v>
      </c>
    </row>
    <row r="722" spans="1:29" x14ac:dyDescent="0.35">
      <c r="A722" t="s">
        <v>1557</v>
      </c>
      <c r="B722">
        <v>62</v>
      </c>
      <c r="C722">
        <v>166</v>
      </c>
      <c r="D722" t="s">
        <v>89</v>
      </c>
      <c r="E722">
        <v>29</v>
      </c>
      <c r="F722" t="s">
        <v>1558</v>
      </c>
      <c r="G722" t="s">
        <v>34</v>
      </c>
      <c r="H722" t="s">
        <v>29</v>
      </c>
      <c r="I722" t="s">
        <v>73</v>
      </c>
      <c r="J722">
        <v>1</v>
      </c>
      <c r="K722">
        <v>2</v>
      </c>
      <c r="L722">
        <v>0</v>
      </c>
      <c r="M722">
        <v>0</v>
      </c>
      <c r="N722">
        <v>0</v>
      </c>
      <c r="O722">
        <v>0</v>
      </c>
      <c r="P722">
        <v>1</v>
      </c>
      <c r="Q722">
        <v>0</v>
      </c>
      <c r="R722">
        <v>0</v>
      </c>
      <c r="S722">
        <v>0</v>
      </c>
      <c r="T722">
        <v>0</v>
      </c>
      <c r="U722">
        <v>1</v>
      </c>
      <c r="V722">
        <v>0</v>
      </c>
      <c r="W722">
        <v>3</v>
      </c>
      <c r="X722">
        <v>956.9</v>
      </c>
      <c r="Y722">
        <v>1079.3499999999999</v>
      </c>
      <c r="Z722">
        <f>AVERAGEIFS(Table1[FinalElo], Table1[Country], Table1[[#This Row],[Country]])</f>
        <v>1012.0629025423733</v>
      </c>
      <c r="AA722" cm="1">
        <f t="array" ref="AA722">IF(COUNTIFS(Table1[Country],Table1[[#This Row],[Country]])=1,0, _xlfn.STDEV.S(IF(Table1[Country]=Table1[[#This Row],[Country]],Table1[FinalElo])))</f>
        <v>148.42180446198614</v>
      </c>
      <c r="AB722">
        <f>IF(Table1[[#This Row],[CStd]]=0,0, (Table1[[#This Row],[FinalElo]]-Table1[[#This Row],[CAvg]]) / Table1[[#This Row],[CStd]])</f>
        <v>-0.37166306353930417</v>
      </c>
      <c r="AC722" t="str">
        <f>IF(Table1[[#This Row],[CStd]]=0,"Normal", IF(ABS(Table1[[#This Row],[CZscore]])&gt;2,"Outlier","Normal"))</f>
        <v>Normal</v>
      </c>
    </row>
    <row r="723" spans="1:29" x14ac:dyDescent="0.35">
      <c r="A723" t="s">
        <v>1555</v>
      </c>
      <c r="B723">
        <v>64.410064000000006</v>
      </c>
      <c r="C723">
        <v>175</v>
      </c>
      <c r="D723" t="s">
        <v>89</v>
      </c>
      <c r="E723">
        <v>30</v>
      </c>
      <c r="F723" t="s">
        <v>1556</v>
      </c>
      <c r="G723" t="s">
        <v>34</v>
      </c>
      <c r="H723" t="s">
        <v>29</v>
      </c>
      <c r="I723" t="s">
        <v>73</v>
      </c>
      <c r="J723">
        <v>0</v>
      </c>
      <c r="K723">
        <v>1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1</v>
      </c>
      <c r="X723">
        <v>900</v>
      </c>
      <c r="Y723">
        <v>1000</v>
      </c>
      <c r="Z723">
        <f>AVERAGEIFS(Table1[FinalElo], Table1[Country], Table1[[#This Row],[Country]])</f>
        <v>1012.0629025423733</v>
      </c>
      <c r="AA723" cm="1">
        <f t="array" ref="AA723">IF(COUNTIFS(Table1[Country],Table1[[#This Row],[Country]])=1,0, _xlfn.STDEV.S(IF(Table1[Country]=Table1[[#This Row],[Country]],Table1[FinalElo])))</f>
        <v>148.42180446198614</v>
      </c>
      <c r="AB723">
        <f>IF(Table1[[#This Row],[CStd]]=0,0, (Table1[[#This Row],[FinalElo]]-Table1[[#This Row],[CAvg]]) / Table1[[#This Row],[CStd]])</f>
        <v>-0.75502991591154589</v>
      </c>
      <c r="AC723" t="str">
        <f>IF(Table1[[#This Row],[CStd]]=0,"Normal", IF(ABS(Table1[[#This Row],[CZscore]])&gt;2,"Outlier","Normal"))</f>
        <v>Normal</v>
      </c>
    </row>
    <row r="724" spans="1:29" x14ac:dyDescent="0.35">
      <c r="A724" t="s">
        <v>1553</v>
      </c>
      <c r="B724">
        <v>52.16</v>
      </c>
      <c r="C724">
        <v>167</v>
      </c>
      <c r="D724" t="s">
        <v>32</v>
      </c>
      <c r="E724">
        <v>32</v>
      </c>
      <c r="F724" t="s">
        <v>1554</v>
      </c>
      <c r="G724" t="s">
        <v>40</v>
      </c>
      <c r="H724" t="s">
        <v>29</v>
      </c>
      <c r="I724" t="s">
        <v>36</v>
      </c>
      <c r="J724">
        <v>0</v>
      </c>
      <c r="K724">
        <v>1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1</v>
      </c>
      <c r="V724">
        <v>0</v>
      </c>
      <c r="W724">
        <v>1</v>
      </c>
      <c r="X724">
        <v>940.21</v>
      </c>
      <c r="Y724">
        <v>1000</v>
      </c>
      <c r="Z724">
        <f>AVERAGEIFS(Table1[FinalElo], Table1[Country], Table1[[#This Row],[Country]])</f>
        <v>1025.3786885245902</v>
      </c>
      <c r="AA724" cm="1">
        <f t="array" ref="AA724">IF(COUNTIFS(Table1[Country],Table1[[#This Row],[Country]])=1,0, _xlfn.STDEV.S(IF(Table1[Country]=Table1[[#This Row],[Country]],Table1[FinalElo])))</f>
        <v>144.71595558743479</v>
      </c>
      <c r="AB724">
        <f>IF(Table1[[#This Row],[CStd]]=0,0, (Table1[[#This Row],[FinalElo]]-Table1[[#This Row],[CAvg]]) / Table1[[#This Row],[CStd]])</f>
        <v>-0.58852313954512603</v>
      </c>
      <c r="AC724" t="str">
        <f>IF(Table1[[#This Row],[CStd]]=0,"Normal", IF(ABS(Table1[[#This Row],[CZscore]])&gt;2,"Outlier","Normal"))</f>
        <v>Normal</v>
      </c>
    </row>
    <row r="725" spans="1:29" x14ac:dyDescent="0.35">
      <c r="A725" t="s">
        <v>508</v>
      </c>
      <c r="B725">
        <v>117.5</v>
      </c>
      <c r="C725">
        <v>191</v>
      </c>
      <c r="D725" t="s">
        <v>32</v>
      </c>
      <c r="E725">
        <v>35</v>
      </c>
      <c r="F725" t="s">
        <v>509</v>
      </c>
      <c r="G725" t="s">
        <v>40</v>
      </c>
      <c r="H725" t="s">
        <v>29</v>
      </c>
      <c r="I725" t="s">
        <v>94</v>
      </c>
      <c r="J725">
        <v>5</v>
      </c>
      <c r="K725">
        <v>1</v>
      </c>
      <c r="L725">
        <v>0</v>
      </c>
      <c r="M725">
        <v>1</v>
      </c>
      <c r="N725">
        <v>4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1</v>
      </c>
      <c r="V725">
        <v>0</v>
      </c>
      <c r="W725">
        <v>6</v>
      </c>
      <c r="X725">
        <v>1270.67</v>
      </c>
      <c r="Y725">
        <v>1314.48</v>
      </c>
      <c r="Z725">
        <f>AVERAGEIFS(Table1[FinalElo], Table1[Country], Table1[[#This Row],[Country]])</f>
        <v>1025.3786885245902</v>
      </c>
      <c r="AA725" cm="1">
        <f t="array" ref="AA725">IF(COUNTIFS(Table1[Country],Table1[[#This Row],[Country]])=1,0, _xlfn.STDEV.S(IF(Table1[Country]=Table1[[#This Row],[Country]],Table1[FinalElo])))</f>
        <v>144.71595558743479</v>
      </c>
      <c r="AB725">
        <f>IF(Table1[[#This Row],[CStd]]=0,0, (Table1[[#This Row],[FinalElo]]-Table1[[#This Row],[CAvg]]) / Table1[[#This Row],[CStd]])</f>
        <v>1.6949845680783227</v>
      </c>
      <c r="AC725" t="str">
        <f>IF(Table1[[#This Row],[CStd]]=0,"Normal", IF(ABS(Table1[[#This Row],[CZscore]])&gt;2,"Outlier","Normal"))</f>
        <v>Normal</v>
      </c>
    </row>
    <row r="726" spans="1:29" x14ac:dyDescent="0.35">
      <c r="A726" t="s">
        <v>1551</v>
      </c>
      <c r="B726">
        <v>82</v>
      </c>
      <c r="C726">
        <v>-1</v>
      </c>
      <c r="D726" t="s">
        <v>32</v>
      </c>
      <c r="E726">
        <v>42</v>
      </c>
      <c r="F726">
        <v>1</v>
      </c>
      <c r="G726" t="s">
        <v>54</v>
      </c>
      <c r="H726" t="s">
        <v>29</v>
      </c>
      <c r="I726" t="s">
        <v>1552</v>
      </c>
      <c r="J726">
        <v>1</v>
      </c>
      <c r="K726">
        <v>0</v>
      </c>
      <c r="L726">
        <v>0</v>
      </c>
      <c r="M726">
        <v>0</v>
      </c>
      <c r="N726">
        <v>1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1</v>
      </c>
      <c r="X726">
        <v>1090.43</v>
      </c>
      <c r="Y726">
        <v>1090.43</v>
      </c>
      <c r="Z726">
        <f>AVERAGEIFS(Table1[FinalElo], Table1[Country], Table1[[#This Row],[Country]])</f>
        <v>1025.3786885245902</v>
      </c>
      <c r="AA726" cm="1">
        <f t="array" ref="AA726">IF(COUNTIFS(Table1[Country],Table1[[#This Row],[Country]])=1,0, _xlfn.STDEV.S(IF(Table1[Country]=Table1[[#This Row],[Country]],Table1[FinalElo])))</f>
        <v>144.71595558743479</v>
      </c>
      <c r="AB726">
        <f>IF(Table1[[#This Row],[CStd]]=0,0, (Table1[[#This Row],[FinalElo]]-Table1[[#This Row],[CAvg]]) / Table1[[#This Row],[CStd]])</f>
        <v>0.44951029215370131</v>
      </c>
      <c r="AC726" t="str">
        <f>IF(Table1[[#This Row],[CStd]]=0,"Normal", IF(ABS(Table1[[#This Row],[CZscore]])&gt;2,"Outlier","Normal"))</f>
        <v>Normal</v>
      </c>
    </row>
    <row r="727" spans="1:29" x14ac:dyDescent="0.35">
      <c r="A727" t="s">
        <v>1548</v>
      </c>
      <c r="B727">
        <v>70.400000000000006</v>
      </c>
      <c r="C727">
        <v>176</v>
      </c>
      <c r="D727" t="s">
        <v>1549</v>
      </c>
      <c r="E727">
        <v>34</v>
      </c>
      <c r="F727" t="s">
        <v>1550</v>
      </c>
      <c r="G727" t="s">
        <v>28</v>
      </c>
      <c r="H727" t="s">
        <v>29</v>
      </c>
      <c r="I727" t="s">
        <v>30</v>
      </c>
      <c r="J727">
        <v>5</v>
      </c>
      <c r="K727">
        <v>3</v>
      </c>
      <c r="L727">
        <v>0</v>
      </c>
      <c r="M727">
        <v>1</v>
      </c>
      <c r="N727">
        <v>0</v>
      </c>
      <c r="O727">
        <v>0</v>
      </c>
      <c r="P727">
        <v>1</v>
      </c>
      <c r="Q727">
        <v>0</v>
      </c>
      <c r="R727">
        <v>0</v>
      </c>
      <c r="S727">
        <v>0</v>
      </c>
      <c r="T727">
        <v>0</v>
      </c>
      <c r="U727">
        <v>3</v>
      </c>
      <c r="V727">
        <v>0</v>
      </c>
      <c r="W727">
        <v>8</v>
      </c>
      <c r="X727">
        <v>1226.6300000000001</v>
      </c>
      <c r="Y727">
        <v>1241.22</v>
      </c>
      <c r="Z727">
        <f>AVERAGEIFS(Table1[FinalElo], Table1[Country], Table1[[#This Row],[Country]])</f>
        <v>1199.31</v>
      </c>
      <c r="AA727" cm="1">
        <f t="array" ref="AA727">IF(COUNTIFS(Table1[Country],Table1[[#This Row],[Country]])=1,0, _xlfn.STDEV.S(IF(Table1[Country]=Table1[[#This Row],[Country]],Table1[FinalElo])))</f>
        <v>38.636314524033025</v>
      </c>
      <c r="AB727">
        <f>IF(Table1[[#This Row],[CStd]]=0,0, (Table1[[#This Row],[FinalElo]]-Table1[[#This Row],[CAvg]]) / Table1[[#This Row],[CStd]])</f>
        <v>0.70710678118655046</v>
      </c>
      <c r="AC727" t="str">
        <f>IF(Table1[[#This Row],[CStd]]=0,"Normal", IF(ABS(Table1[[#This Row],[CZscore]])&gt;2,"Outlier","Normal"))</f>
        <v>Normal</v>
      </c>
    </row>
    <row r="728" spans="1:29" x14ac:dyDescent="0.35">
      <c r="A728" t="s">
        <v>1546</v>
      </c>
      <c r="B728">
        <v>79.400000000000006</v>
      </c>
      <c r="C728">
        <v>175</v>
      </c>
      <c r="D728" t="s">
        <v>38</v>
      </c>
      <c r="E728">
        <v>40</v>
      </c>
      <c r="F728" t="s">
        <v>1547</v>
      </c>
      <c r="G728" t="s">
        <v>54</v>
      </c>
      <c r="H728" t="s">
        <v>29</v>
      </c>
      <c r="I728" t="s">
        <v>50</v>
      </c>
      <c r="J728">
        <v>10</v>
      </c>
      <c r="K728">
        <v>6</v>
      </c>
      <c r="L728">
        <v>0</v>
      </c>
      <c r="M728">
        <v>1</v>
      </c>
      <c r="N728">
        <v>7</v>
      </c>
      <c r="O728">
        <v>0</v>
      </c>
      <c r="P728">
        <v>1</v>
      </c>
      <c r="Q728">
        <v>1</v>
      </c>
      <c r="R728">
        <v>1</v>
      </c>
      <c r="S728">
        <v>3</v>
      </c>
      <c r="T728">
        <v>0</v>
      </c>
      <c r="U728">
        <v>1</v>
      </c>
      <c r="V728">
        <v>0</v>
      </c>
      <c r="W728">
        <v>16</v>
      </c>
      <c r="X728">
        <v>1109.8699999999999</v>
      </c>
      <c r="Y728">
        <v>1395.9</v>
      </c>
      <c r="Z728">
        <f>AVERAGEIFS(Table1[FinalElo], Table1[Country], Table1[[#This Row],[Country]])</f>
        <v>1057.4495402298851</v>
      </c>
      <c r="AA728" cm="1">
        <f t="array" ref="AA728">IF(COUNTIFS(Table1[Country],Table1[[#This Row],[Country]])=1,0, _xlfn.STDEV.S(IF(Table1[Country]=Table1[[#This Row],[Country]],Table1[FinalElo])))</f>
        <v>156.98667602259493</v>
      </c>
      <c r="AB728">
        <f>IF(Table1[[#This Row],[CStd]]=0,0, (Table1[[#This Row],[FinalElo]]-Table1[[#This Row],[CAvg]]) / Table1[[#This Row],[CStd]])</f>
        <v>0.33391661699092207</v>
      </c>
      <c r="AC728" t="str">
        <f>IF(Table1[[#This Row],[CStd]]=0,"Normal", IF(ABS(Table1[[#This Row],[CZscore]])&gt;2,"Outlier","Normal"))</f>
        <v>Normal</v>
      </c>
    </row>
    <row r="729" spans="1:29" x14ac:dyDescent="0.35">
      <c r="A729" t="s">
        <v>1544</v>
      </c>
      <c r="B729">
        <v>59.874144000000001</v>
      </c>
      <c r="C729">
        <v>165</v>
      </c>
      <c r="D729" t="s">
        <v>89</v>
      </c>
      <c r="E729">
        <v>23</v>
      </c>
      <c r="F729" t="s">
        <v>1545</v>
      </c>
      <c r="G729" t="s">
        <v>34</v>
      </c>
      <c r="H729" t="s">
        <v>29</v>
      </c>
      <c r="I729" t="s">
        <v>58</v>
      </c>
      <c r="J729">
        <v>1</v>
      </c>
      <c r="K729">
        <v>1</v>
      </c>
      <c r="L729">
        <v>0</v>
      </c>
      <c r="M729">
        <v>0</v>
      </c>
      <c r="N729">
        <v>0</v>
      </c>
      <c r="O729">
        <v>0</v>
      </c>
      <c r="P729">
        <v>1</v>
      </c>
      <c r="Q729">
        <v>0</v>
      </c>
      <c r="R729">
        <v>1</v>
      </c>
      <c r="S729">
        <v>0</v>
      </c>
      <c r="T729">
        <v>0</v>
      </c>
      <c r="U729">
        <v>0</v>
      </c>
      <c r="V729">
        <v>0</v>
      </c>
      <c r="W729">
        <v>2</v>
      </c>
      <c r="X729">
        <v>992.75</v>
      </c>
      <c r="Y729">
        <v>1128.01</v>
      </c>
      <c r="Z729">
        <f>AVERAGEIFS(Table1[FinalElo], Table1[Country], Table1[[#This Row],[Country]])</f>
        <v>1012.0629025423733</v>
      </c>
      <c r="AA729" cm="1">
        <f t="array" ref="AA729">IF(COUNTIFS(Table1[Country],Table1[[#This Row],[Country]])=1,0, _xlfn.STDEV.S(IF(Table1[Country]=Table1[[#This Row],[Country]],Table1[FinalElo])))</f>
        <v>148.42180446198614</v>
      </c>
      <c r="AB729">
        <f>IF(Table1[[#This Row],[CStd]]=0,0, (Table1[[#This Row],[FinalElo]]-Table1[[#This Row],[CAvg]]) / Table1[[#This Row],[CStd]])</f>
        <v>-0.13012173388122186</v>
      </c>
      <c r="AC729" t="str">
        <f>IF(Table1[[#This Row],[CStd]]=0,"Normal", IF(ABS(Table1[[#This Row],[CZscore]])&gt;2,"Outlier","Normal"))</f>
        <v>Normal</v>
      </c>
    </row>
    <row r="730" spans="1:29" x14ac:dyDescent="0.35">
      <c r="A730" t="s">
        <v>1542</v>
      </c>
      <c r="B730">
        <v>56.7</v>
      </c>
      <c r="C730">
        <v>173</v>
      </c>
      <c r="D730" t="s">
        <v>368</v>
      </c>
      <c r="E730">
        <v>28</v>
      </c>
      <c r="F730" t="s">
        <v>1543</v>
      </c>
      <c r="G730" t="s">
        <v>40</v>
      </c>
      <c r="H730" t="s">
        <v>29</v>
      </c>
      <c r="I730" t="s">
        <v>58</v>
      </c>
      <c r="J730">
        <v>2</v>
      </c>
      <c r="K730">
        <v>1</v>
      </c>
      <c r="L730">
        <v>0</v>
      </c>
      <c r="M730">
        <v>0</v>
      </c>
      <c r="N730">
        <v>0</v>
      </c>
      <c r="O730">
        <v>0</v>
      </c>
      <c r="P730">
        <v>2</v>
      </c>
      <c r="Q730">
        <v>0</v>
      </c>
      <c r="R730">
        <v>0</v>
      </c>
      <c r="S730">
        <v>0</v>
      </c>
      <c r="T730">
        <v>0</v>
      </c>
      <c r="U730">
        <v>1</v>
      </c>
      <c r="V730">
        <v>0</v>
      </c>
      <c r="W730">
        <v>3</v>
      </c>
      <c r="X730">
        <v>1026.17</v>
      </c>
      <c r="Y730">
        <v>1171.99</v>
      </c>
      <c r="Z730">
        <f>AVERAGEIFS(Table1[FinalElo], Table1[Country], Table1[[#This Row],[Country]])</f>
        <v>980.53583333333336</v>
      </c>
      <c r="AA730" cm="1">
        <f t="array" ref="AA730">IF(COUNTIFS(Table1[Country],Table1[[#This Row],[Country]])=1,0, _xlfn.STDEV.S(IF(Table1[Country]=Table1[[#This Row],[Country]],Table1[FinalElo])))</f>
        <v>85.643213227725752</v>
      </c>
      <c r="AB730">
        <f>IF(Table1[[#This Row],[CStd]]=0,0, (Table1[[#This Row],[FinalElo]]-Table1[[#This Row],[CAvg]]) / Table1[[#This Row],[CStd]])</f>
        <v>0.53284043121228097</v>
      </c>
      <c r="AC730" t="str">
        <f>IF(Table1[[#This Row],[CStd]]=0,"Normal", IF(ABS(Table1[[#This Row],[CZscore]])&gt;2,"Outlier","Normal"))</f>
        <v>Normal</v>
      </c>
    </row>
    <row r="731" spans="1:29" x14ac:dyDescent="0.35">
      <c r="A731" t="s">
        <v>1540</v>
      </c>
      <c r="B731">
        <v>56.7</v>
      </c>
      <c r="C731">
        <v>167</v>
      </c>
      <c r="D731" t="s">
        <v>38</v>
      </c>
      <c r="E731">
        <v>33</v>
      </c>
      <c r="F731" t="s">
        <v>1541</v>
      </c>
      <c r="G731" t="s">
        <v>40</v>
      </c>
      <c r="H731" t="s">
        <v>29</v>
      </c>
      <c r="I731" t="s">
        <v>58</v>
      </c>
      <c r="J731">
        <v>3</v>
      </c>
      <c r="K731">
        <v>1</v>
      </c>
      <c r="L731">
        <v>0</v>
      </c>
      <c r="M731">
        <v>0</v>
      </c>
      <c r="N731">
        <v>1</v>
      </c>
      <c r="O731">
        <v>0</v>
      </c>
      <c r="P731">
        <v>2</v>
      </c>
      <c r="Q731">
        <v>0</v>
      </c>
      <c r="R731">
        <v>0</v>
      </c>
      <c r="S731">
        <v>0</v>
      </c>
      <c r="T731">
        <v>0</v>
      </c>
      <c r="U731">
        <v>1</v>
      </c>
      <c r="V731">
        <v>0</v>
      </c>
      <c r="W731">
        <v>4</v>
      </c>
      <c r="X731">
        <v>1344.35</v>
      </c>
      <c r="Y731">
        <v>1344.35</v>
      </c>
      <c r="Z731">
        <f>AVERAGEIFS(Table1[FinalElo], Table1[Country], Table1[[#This Row],[Country]])</f>
        <v>1057.4495402298851</v>
      </c>
      <c r="AA731" cm="1">
        <f t="array" ref="AA731">IF(COUNTIFS(Table1[Country],Table1[[#This Row],[Country]])=1,0, _xlfn.STDEV.S(IF(Table1[Country]=Table1[[#This Row],[Country]],Table1[FinalElo])))</f>
        <v>156.98667602259493</v>
      </c>
      <c r="AB731">
        <f>IF(Table1[[#This Row],[CStd]]=0,0, (Table1[[#This Row],[FinalElo]]-Table1[[#This Row],[CAvg]]) / Table1[[#This Row],[CStd]])</f>
        <v>1.8275465602496197</v>
      </c>
      <c r="AC731" t="str">
        <f>IF(Table1[[#This Row],[CStd]]=0,"Normal", IF(ABS(Table1[[#This Row],[CZscore]])&gt;2,"Outlier","Normal"))</f>
        <v>Normal</v>
      </c>
    </row>
    <row r="732" spans="1:29" x14ac:dyDescent="0.35">
      <c r="A732" t="s">
        <v>1538</v>
      </c>
      <c r="B732">
        <v>76.599999999999994</v>
      </c>
      <c r="C732">
        <v>180</v>
      </c>
      <c r="D732" t="s">
        <v>38</v>
      </c>
      <c r="E732">
        <v>22</v>
      </c>
      <c r="F732" t="s">
        <v>1539</v>
      </c>
      <c r="G732" t="s">
        <v>40</v>
      </c>
      <c r="H732" t="s">
        <v>29</v>
      </c>
      <c r="I732" t="s">
        <v>30</v>
      </c>
      <c r="J732">
        <v>0</v>
      </c>
      <c r="K732">
        <v>1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1</v>
      </c>
      <c r="T732">
        <v>0</v>
      </c>
      <c r="U732">
        <v>0</v>
      </c>
      <c r="V732">
        <v>0</v>
      </c>
      <c r="W732">
        <v>1</v>
      </c>
      <c r="X732">
        <v>900</v>
      </c>
      <c r="Y732">
        <v>1000</v>
      </c>
      <c r="Z732">
        <f>AVERAGEIFS(Table1[FinalElo], Table1[Country], Table1[[#This Row],[Country]])</f>
        <v>1057.4495402298851</v>
      </c>
      <c r="AA732" cm="1">
        <f t="array" ref="AA732">IF(COUNTIFS(Table1[Country],Table1[[#This Row],[Country]])=1,0, _xlfn.STDEV.S(IF(Table1[Country]=Table1[[#This Row],[Country]],Table1[FinalElo])))</f>
        <v>156.98667602259493</v>
      </c>
      <c r="AB732">
        <f>IF(Table1[[#This Row],[CStd]]=0,0, (Table1[[#This Row],[FinalElo]]-Table1[[#This Row],[CAvg]]) / Table1[[#This Row],[CStd]])</f>
        <v>-1.0029484298860085</v>
      </c>
      <c r="AC732" t="str">
        <f>IF(Table1[[#This Row],[CStd]]=0,"Normal", IF(ABS(Table1[[#This Row],[CZscore]])&gt;2,"Outlier","Normal"))</f>
        <v>Normal</v>
      </c>
    </row>
    <row r="733" spans="1:29" x14ac:dyDescent="0.35">
      <c r="A733" t="s">
        <v>1537</v>
      </c>
      <c r="B733">
        <v>70.099999999999994</v>
      </c>
      <c r="C733">
        <v>180</v>
      </c>
      <c r="D733" t="s">
        <v>38</v>
      </c>
      <c r="E733">
        <v>31</v>
      </c>
      <c r="F733" t="s">
        <v>252</v>
      </c>
      <c r="G733" t="s">
        <v>34</v>
      </c>
      <c r="H733" t="s">
        <v>29</v>
      </c>
      <c r="I733" t="s">
        <v>48</v>
      </c>
      <c r="J733">
        <v>2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1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2</v>
      </c>
      <c r="X733">
        <v>1200</v>
      </c>
      <c r="Y733">
        <v>1200</v>
      </c>
      <c r="Z733">
        <f>AVERAGEIFS(Table1[FinalElo], Table1[Country], Table1[[#This Row],[Country]])</f>
        <v>1057.4495402298851</v>
      </c>
      <c r="AA733" cm="1">
        <f t="array" ref="AA733">IF(COUNTIFS(Table1[Country],Table1[[#This Row],[Country]])=1,0, _xlfn.STDEV.S(IF(Table1[Country]=Table1[[#This Row],[Country]],Table1[FinalElo])))</f>
        <v>156.98667602259493</v>
      </c>
      <c r="AB733">
        <f>IF(Table1[[#This Row],[CStd]]=0,0, (Table1[[#This Row],[FinalElo]]-Table1[[#This Row],[CAvg]]) / Table1[[#This Row],[CStd]])</f>
        <v>0.90804177387383989</v>
      </c>
      <c r="AC733" t="str">
        <f>IF(Table1[[#This Row],[CStd]]=0,"Normal", IF(ABS(Table1[[#This Row],[CZscore]])&gt;2,"Outlier","Normal"))</f>
        <v>Normal</v>
      </c>
    </row>
    <row r="734" spans="1:29" x14ac:dyDescent="0.35">
      <c r="A734" t="s">
        <v>1536</v>
      </c>
      <c r="B734">
        <v>56.5</v>
      </c>
      <c r="C734">
        <v>168</v>
      </c>
      <c r="D734" t="s">
        <v>82</v>
      </c>
      <c r="E734">
        <v>22</v>
      </c>
      <c r="F734" t="s">
        <v>99</v>
      </c>
      <c r="G734" t="s">
        <v>34</v>
      </c>
      <c r="H734" t="s">
        <v>29</v>
      </c>
      <c r="I734" t="s">
        <v>36</v>
      </c>
      <c r="J734">
        <v>0</v>
      </c>
      <c r="K734">
        <v>1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1</v>
      </c>
      <c r="S734">
        <v>0</v>
      </c>
      <c r="T734">
        <v>0</v>
      </c>
      <c r="U734">
        <v>0</v>
      </c>
      <c r="V734">
        <v>0</v>
      </c>
      <c r="W734">
        <v>1</v>
      </c>
      <c r="X734">
        <v>900</v>
      </c>
      <c r="Y734">
        <v>1000</v>
      </c>
      <c r="Z734">
        <f>AVERAGEIFS(Table1[FinalElo], Table1[Country], Table1[[#This Row],[Country]])</f>
        <v>1012.5275373134326</v>
      </c>
      <c r="AA734" cm="1">
        <f t="array" ref="AA734">IF(COUNTIFS(Table1[Country],Table1[[#This Row],[Country]])=1,0, _xlfn.STDEV.S(IF(Table1[Country]=Table1[[#This Row],[Country]],Table1[FinalElo])))</f>
        <v>135.61062237674741</v>
      </c>
      <c r="AB734">
        <f>IF(Table1[[#This Row],[CStd]]=0,0, (Table1[[#This Row],[FinalElo]]-Table1[[#This Row],[CAvg]]) / Table1[[#This Row],[CStd]])</f>
        <v>-0.82978409317238888</v>
      </c>
      <c r="AC734" t="str">
        <f>IF(Table1[[#This Row],[CStd]]=0,"Normal", IF(ABS(Table1[[#This Row],[CZscore]])&gt;2,"Outlier","Normal"))</f>
        <v>Normal</v>
      </c>
    </row>
    <row r="735" spans="1:29" x14ac:dyDescent="0.35">
      <c r="A735" t="s">
        <v>1534</v>
      </c>
      <c r="B735">
        <v>76.8</v>
      </c>
      <c r="C735">
        <v>191</v>
      </c>
      <c r="D735" t="s">
        <v>38</v>
      </c>
      <c r="E735">
        <v>22</v>
      </c>
      <c r="F735" t="s">
        <v>1535</v>
      </c>
      <c r="G735" t="s">
        <v>34</v>
      </c>
      <c r="H735" t="s">
        <v>29</v>
      </c>
      <c r="I735" t="s">
        <v>30</v>
      </c>
      <c r="J735">
        <v>1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1</v>
      </c>
      <c r="X735">
        <v>1100</v>
      </c>
      <c r="Y735">
        <v>1100</v>
      </c>
      <c r="Z735">
        <f>AVERAGEIFS(Table1[FinalElo], Table1[Country], Table1[[#This Row],[Country]])</f>
        <v>1057.4495402298851</v>
      </c>
      <c r="AA735" cm="1">
        <f t="array" ref="AA735">IF(COUNTIFS(Table1[Country],Table1[[#This Row],[Country]])=1,0, _xlfn.STDEV.S(IF(Table1[Country]=Table1[[#This Row],[Country]],Table1[FinalElo])))</f>
        <v>156.98667602259493</v>
      </c>
      <c r="AB735">
        <f>IF(Table1[[#This Row],[CStd]]=0,0, (Table1[[#This Row],[FinalElo]]-Table1[[#This Row],[CAvg]]) / Table1[[#This Row],[CStd]])</f>
        <v>0.27104503928722373</v>
      </c>
      <c r="AC735" t="str">
        <f>IF(Table1[[#This Row],[CStd]]=0,"Normal", IF(ABS(Table1[[#This Row],[CZscore]])&gt;2,"Outlier","Normal"))</f>
        <v>Normal</v>
      </c>
    </row>
    <row r="736" spans="1:29" x14ac:dyDescent="0.35">
      <c r="A736" t="s">
        <v>1533</v>
      </c>
      <c r="B736">
        <v>63.502879999999998</v>
      </c>
      <c r="C736">
        <v>170</v>
      </c>
      <c r="D736" t="s">
        <v>146</v>
      </c>
      <c r="E736">
        <v>26</v>
      </c>
      <c r="F736" t="s">
        <v>138</v>
      </c>
      <c r="G736" t="s">
        <v>34</v>
      </c>
      <c r="H736" t="s">
        <v>29</v>
      </c>
      <c r="I736" t="s">
        <v>73</v>
      </c>
      <c r="J736">
        <v>0</v>
      </c>
      <c r="K736">
        <v>2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2</v>
      </c>
      <c r="S736">
        <v>0</v>
      </c>
      <c r="T736">
        <v>0</v>
      </c>
      <c r="U736">
        <v>0</v>
      </c>
      <c r="V736">
        <v>0</v>
      </c>
      <c r="W736">
        <v>2</v>
      </c>
      <c r="X736">
        <v>835.74</v>
      </c>
      <c r="Y736">
        <v>1000</v>
      </c>
      <c r="Z736">
        <f>AVERAGEIFS(Table1[FinalElo], Table1[Country], Table1[[#This Row],[Country]])</f>
        <v>971.46103448275846</v>
      </c>
      <c r="AA736" cm="1">
        <f t="array" ref="AA736">IF(COUNTIFS(Table1[Country],Table1[[#This Row],[Country]])=1,0, _xlfn.STDEV.S(IF(Table1[Country]=Table1[[#This Row],[Country]],Table1[FinalElo])))</f>
        <v>107.62263899334665</v>
      </c>
      <c r="AB736">
        <f>IF(Table1[[#This Row],[CStd]]=0,0, (Table1[[#This Row],[FinalElo]]-Table1[[#This Row],[CAvg]]) / Table1[[#This Row],[CStd]])</f>
        <v>-1.2610825728883017</v>
      </c>
      <c r="AC736" t="str">
        <f>IF(Table1[[#This Row],[CStd]]=0,"Normal", IF(ABS(Table1[[#This Row],[CZscore]])&gt;2,"Outlier","Normal"))</f>
        <v>Normal</v>
      </c>
    </row>
    <row r="737" spans="1:29" x14ac:dyDescent="0.35">
      <c r="A737" t="s">
        <v>1532</v>
      </c>
      <c r="B737">
        <v>56.4</v>
      </c>
      <c r="C737">
        <v>173</v>
      </c>
      <c r="D737" t="s">
        <v>146</v>
      </c>
      <c r="E737">
        <v>28</v>
      </c>
      <c r="F737" t="s">
        <v>87</v>
      </c>
      <c r="G737" t="s">
        <v>34</v>
      </c>
      <c r="H737" t="s">
        <v>29</v>
      </c>
      <c r="I737" t="s">
        <v>36</v>
      </c>
      <c r="J737">
        <v>2</v>
      </c>
      <c r="K737">
        <v>2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1</v>
      </c>
      <c r="V737">
        <v>0</v>
      </c>
      <c r="W737">
        <v>4</v>
      </c>
      <c r="X737">
        <v>1069.3699999999999</v>
      </c>
      <c r="Y737">
        <v>1162.1400000000001</v>
      </c>
      <c r="Z737">
        <f>AVERAGEIFS(Table1[FinalElo], Table1[Country], Table1[[#This Row],[Country]])</f>
        <v>971.46103448275846</v>
      </c>
      <c r="AA737" cm="1">
        <f t="array" ref="AA737">IF(COUNTIFS(Table1[Country],Table1[[#This Row],[Country]])=1,0, _xlfn.STDEV.S(IF(Table1[Country]=Table1[[#This Row],[Country]],Table1[FinalElo])))</f>
        <v>107.62263899334665</v>
      </c>
      <c r="AB737">
        <f>IF(Table1[[#This Row],[CStd]]=0,0, (Table1[[#This Row],[FinalElo]]-Table1[[#This Row],[CAvg]]) / Table1[[#This Row],[CStd]])</f>
        <v>0.90974321418836668</v>
      </c>
      <c r="AC737" t="str">
        <f>IF(Table1[[#This Row],[CStd]]=0,"Normal", IF(ABS(Table1[[#This Row],[CZscore]])&gt;2,"Outlier","Normal"))</f>
        <v>Normal</v>
      </c>
    </row>
    <row r="738" spans="1:29" x14ac:dyDescent="0.35">
      <c r="A738" t="s">
        <v>1238</v>
      </c>
      <c r="B738">
        <v>55.338223999999997</v>
      </c>
      <c r="C738">
        <v>165</v>
      </c>
      <c r="D738" t="s">
        <v>89</v>
      </c>
      <c r="E738">
        <v>24</v>
      </c>
      <c r="F738" t="s">
        <v>1239</v>
      </c>
      <c r="G738" t="s">
        <v>34</v>
      </c>
      <c r="H738" t="s">
        <v>29</v>
      </c>
      <c r="I738" t="s">
        <v>36</v>
      </c>
      <c r="J738">
        <v>2</v>
      </c>
      <c r="K738">
        <v>1</v>
      </c>
      <c r="L738">
        <v>0</v>
      </c>
      <c r="M738">
        <v>0</v>
      </c>
      <c r="N738">
        <v>0</v>
      </c>
      <c r="O738">
        <v>0</v>
      </c>
      <c r="P738">
        <v>2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3</v>
      </c>
      <c r="X738">
        <v>1137.8599999999999</v>
      </c>
      <c r="Y738">
        <v>1137.8599999999999</v>
      </c>
      <c r="Z738">
        <f>AVERAGEIFS(Table1[FinalElo], Table1[Country], Table1[[#This Row],[Country]])</f>
        <v>1012.0629025423733</v>
      </c>
      <c r="AA738" cm="1">
        <f t="array" ref="AA738">IF(COUNTIFS(Table1[Country],Table1[[#This Row],[Country]])=1,0, _xlfn.STDEV.S(IF(Table1[Country]=Table1[[#This Row],[Country]],Table1[FinalElo])))</f>
        <v>148.42180446198614</v>
      </c>
      <c r="AB738">
        <f>IF(Table1[[#This Row],[CStd]]=0,0, (Table1[[#This Row],[FinalElo]]-Table1[[#This Row],[CAvg]]) / Table1[[#This Row],[CStd]])</f>
        <v>0.84756480298584291</v>
      </c>
      <c r="AC738" t="str">
        <f>IF(Table1[[#This Row],[CStd]]=0,"Normal", IF(ABS(Table1[[#This Row],[CZscore]])&gt;2,"Outlier","Normal"))</f>
        <v>Normal</v>
      </c>
    </row>
    <row r="739" spans="1:29" x14ac:dyDescent="0.35">
      <c r="A739" t="s">
        <v>1531</v>
      </c>
      <c r="B739">
        <v>55.338223999999997</v>
      </c>
      <c r="C739">
        <v>164</v>
      </c>
      <c r="D739" t="s">
        <v>89</v>
      </c>
      <c r="E739">
        <v>24</v>
      </c>
      <c r="F739" t="s">
        <v>394</v>
      </c>
      <c r="G739" t="s">
        <v>34</v>
      </c>
      <c r="H739" t="s">
        <v>29</v>
      </c>
      <c r="I739" t="s">
        <v>36</v>
      </c>
      <c r="J739">
        <v>7</v>
      </c>
      <c r="K739">
        <v>1</v>
      </c>
      <c r="L739">
        <v>0</v>
      </c>
      <c r="M739">
        <v>0</v>
      </c>
      <c r="N739">
        <v>0</v>
      </c>
      <c r="O739">
        <v>0</v>
      </c>
      <c r="P739">
        <v>3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8</v>
      </c>
      <c r="X739">
        <v>1250.3</v>
      </c>
      <c r="Y739">
        <v>1369.47</v>
      </c>
      <c r="Z739">
        <f>AVERAGEIFS(Table1[FinalElo], Table1[Country], Table1[[#This Row],[Country]])</f>
        <v>1012.0629025423733</v>
      </c>
      <c r="AA739" cm="1">
        <f t="array" ref="AA739">IF(COUNTIFS(Table1[Country],Table1[[#This Row],[Country]])=1,0, _xlfn.STDEV.S(IF(Table1[Country]=Table1[[#This Row],[Country]],Table1[FinalElo])))</f>
        <v>148.42180446198614</v>
      </c>
      <c r="AB739">
        <f>IF(Table1[[#This Row],[CStd]]=0,0, (Table1[[#This Row],[FinalElo]]-Table1[[#This Row],[CAvg]]) / Table1[[#This Row],[CStd]])</f>
        <v>1.6051354335787236</v>
      </c>
      <c r="AC739" t="str">
        <f>IF(Table1[[#This Row],[CStd]]=0,"Normal", IF(ABS(Table1[[#This Row],[CZscore]])&gt;2,"Outlier","Normal"))</f>
        <v>Normal</v>
      </c>
    </row>
    <row r="740" spans="1:29" hidden="1" x14ac:dyDescent="0.35">
      <c r="A740" t="s">
        <v>1399</v>
      </c>
      <c r="B740">
        <v>52.8</v>
      </c>
      <c r="C740">
        <v>165</v>
      </c>
      <c r="D740" t="s">
        <v>332</v>
      </c>
      <c r="E740">
        <v>28</v>
      </c>
      <c r="F740" t="s">
        <v>1400</v>
      </c>
      <c r="G740" t="s">
        <v>34</v>
      </c>
      <c r="H740" t="s">
        <v>35</v>
      </c>
      <c r="I740" t="s">
        <v>36</v>
      </c>
      <c r="J740">
        <v>1</v>
      </c>
      <c r="K740">
        <v>4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1</v>
      </c>
      <c r="R740">
        <v>1</v>
      </c>
      <c r="S740">
        <v>0</v>
      </c>
      <c r="T740">
        <v>0</v>
      </c>
      <c r="U740">
        <v>3</v>
      </c>
      <c r="V740">
        <v>0</v>
      </c>
      <c r="W740">
        <v>5</v>
      </c>
      <c r="X740">
        <v>886.82</v>
      </c>
      <c r="Y740">
        <v>1054.5999999999999</v>
      </c>
      <c r="Z740">
        <f>AVERAGEIFS(Table1[FinalElo], Table1[Country], Table1[[#This Row],[Country]])</f>
        <v>975.5858333333332</v>
      </c>
      <c r="AA740" cm="1">
        <f t="array" ref="AA740">IF(COUNTIFS(Table1[Country],Table1[[#This Row],[Country]])=1,0, _xlfn.STDEV.S(IF(Table1[Country]=Table1[[#This Row],[Country]],Table1[FinalElo])))</f>
        <v>72.69168633948992</v>
      </c>
      <c r="AB740">
        <f>IF(Table1[[#This Row],[CStd]]=0,0, (Table1[[#This Row],[FinalElo]]-Table1[[#This Row],[CAvg]]) / Table1[[#This Row],[CStd]])</f>
        <v>-1.2211277217971337</v>
      </c>
      <c r="AC740" t="str">
        <f>IF(Table1[[#This Row],[CStd]]=0,"Normal", IF(ABS(Table1[[#This Row],[CZscore]])&gt;2,"Outlier","Normal"))</f>
        <v>Normal</v>
      </c>
    </row>
    <row r="741" spans="1:29" x14ac:dyDescent="0.35">
      <c r="A741" t="s">
        <v>1530</v>
      </c>
      <c r="B741">
        <v>56.7</v>
      </c>
      <c r="C741">
        <v>165</v>
      </c>
      <c r="D741" t="s">
        <v>32</v>
      </c>
      <c r="E741">
        <v>39</v>
      </c>
      <c r="F741" t="s">
        <v>90</v>
      </c>
      <c r="G741" t="s">
        <v>40</v>
      </c>
      <c r="H741" t="s">
        <v>29</v>
      </c>
      <c r="I741" t="s">
        <v>58</v>
      </c>
      <c r="J741">
        <v>1</v>
      </c>
      <c r="K741">
        <v>2</v>
      </c>
      <c r="L741">
        <v>0</v>
      </c>
      <c r="M741">
        <v>1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2</v>
      </c>
      <c r="T741">
        <v>0</v>
      </c>
      <c r="U741">
        <v>0</v>
      </c>
      <c r="V741">
        <v>0</v>
      </c>
      <c r="W741">
        <v>3</v>
      </c>
      <c r="X741">
        <v>915.77</v>
      </c>
      <c r="Y741">
        <v>1058.46</v>
      </c>
      <c r="Z741">
        <f>AVERAGEIFS(Table1[FinalElo], Table1[Country], Table1[[#This Row],[Country]])</f>
        <v>1025.3786885245902</v>
      </c>
      <c r="AA741" cm="1">
        <f t="array" ref="AA741">IF(COUNTIFS(Table1[Country],Table1[[#This Row],[Country]])=1,0, _xlfn.STDEV.S(IF(Table1[Country]=Table1[[#This Row],[Country]],Table1[FinalElo])))</f>
        <v>144.71595558743479</v>
      </c>
      <c r="AB741">
        <f>IF(Table1[[#This Row],[CStd]]=0,0, (Table1[[#This Row],[FinalElo]]-Table1[[#This Row],[CAvg]]) / Table1[[#This Row],[CStd]])</f>
        <v>-0.75740569227258836</v>
      </c>
      <c r="AC741" t="str">
        <f>IF(Table1[[#This Row],[CStd]]=0,"Normal", IF(ABS(Table1[[#This Row],[CZscore]])&gt;2,"Outlier","Normal"))</f>
        <v>Normal</v>
      </c>
    </row>
    <row r="742" spans="1:29" x14ac:dyDescent="0.35">
      <c r="A742" t="s">
        <v>1528</v>
      </c>
      <c r="B742">
        <v>52</v>
      </c>
      <c r="C742">
        <v>165</v>
      </c>
      <c r="D742" t="s">
        <v>89</v>
      </c>
      <c r="E742">
        <v>24</v>
      </c>
      <c r="F742" t="s">
        <v>1529</v>
      </c>
      <c r="G742" t="s">
        <v>34</v>
      </c>
      <c r="H742" t="s">
        <v>29</v>
      </c>
      <c r="I742" t="s">
        <v>55</v>
      </c>
      <c r="J742">
        <v>2</v>
      </c>
      <c r="K742">
        <v>2</v>
      </c>
      <c r="L742">
        <v>0</v>
      </c>
      <c r="M742">
        <v>2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1</v>
      </c>
      <c r="V742">
        <v>0</v>
      </c>
      <c r="W742">
        <v>4</v>
      </c>
      <c r="X742">
        <v>1018.67</v>
      </c>
      <c r="Y742">
        <v>1128.93</v>
      </c>
      <c r="Z742">
        <f>AVERAGEIFS(Table1[FinalElo], Table1[Country], Table1[[#This Row],[Country]])</f>
        <v>1012.0629025423733</v>
      </c>
      <c r="AA742" cm="1">
        <f t="array" ref="AA742">IF(COUNTIFS(Table1[Country],Table1[[#This Row],[Country]])=1,0, _xlfn.STDEV.S(IF(Table1[Country]=Table1[[#This Row],[Country]],Table1[FinalElo])))</f>
        <v>148.42180446198614</v>
      </c>
      <c r="AB742">
        <f>IF(Table1[[#This Row],[CStd]]=0,0, (Table1[[#This Row],[FinalElo]]-Table1[[#This Row],[CAvg]]) / Table1[[#This Row],[CStd]])</f>
        <v>4.4515679361106703E-2</v>
      </c>
      <c r="AC742" t="str">
        <f>IF(Table1[[#This Row],[CStd]]=0,"Normal", IF(ABS(Table1[[#This Row],[CZscore]])&gt;2,"Outlier","Normal"))</f>
        <v>Normal</v>
      </c>
    </row>
    <row r="743" spans="1:29" x14ac:dyDescent="0.35">
      <c r="A743" t="s">
        <v>1526</v>
      </c>
      <c r="B743">
        <v>59.874144000000001</v>
      </c>
      <c r="C743">
        <v>170</v>
      </c>
      <c r="D743" t="s">
        <v>89</v>
      </c>
      <c r="E743">
        <v>26</v>
      </c>
      <c r="F743" t="s">
        <v>1527</v>
      </c>
      <c r="G743" t="s">
        <v>34</v>
      </c>
      <c r="H743" t="s">
        <v>29</v>
      </c>
      <c r="I743" t="s">
        <v>58</v>
      </c>
      <c r="J743">
        <v>0</v>
      </c>
      <c r="K743">
        <v>1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1</v>
      </c>
      <c r="V743">
        <v>0</v>
      </c>
      <c r="W743">
        <v>1</v>
      </c>
      <c r="X743">
        <v>928.01</v>
      </c>
      <c r="Y743">
        <v>1000</v>
      </c>
      <c r="Z743">
        <f>AVERAGEIFS(Table1[FinalElo], Table1[Country], Table1[[#This Row],[Country]])</f>
        <v>1012.0629025423733</v>
      </c>
      <c r="AA743" cm="1">
        <f t="array" ref="AA743">IF(COUNTIFS(Table1[Country],Table1[[#This Row],[Country]])=1,0, _xlfn.STDEV.S(IF(Table1[Country]=Table1[[#This Row],[Country]],Table1[FinalElo])))</f>
        <v>148.42180446198614</v>
      </c>
      <c r="AB743">
        <f>IF(Table1[[#This Row],[CStd]]=0,0, (Table1[[#This Row],[FinalElo]]-Table1[[#This Row],[CAvg]]) / Table1[[#This Row],[CStd]])</f>
        <v>-0.56631101371564974</v>
      </c>
      <c r="AC743" t="str">
        <f>IF(Table1[[#This Row],[CStd]]=0,"Normal", IF(ABS(Table1[[#This Row],[CZscore]])&gt;2,"Outlier","Normal"))</f>
        <v>Normal</v>
      </c>
    </row>
    <row r="744" spans="1:29" x14ac:dyDescent="0.35">
      <c r="A744" t="s">
        <v>1524</v>
      </c>
      <c r="B744">
        <v>76.8</v>
      </c>
      <c r="C744">
        <v>186</v>
      </c>
      <c r="D744" t="s">
        <v>38</v>
      </c>
      <c r="E744">
        <v>34</v>
      </c>
      <c r="F744" t="s">
        <v>1525</v>
      </c>
      <c r="G744" t="s">
        <v>54</v>
      </c>
      <c r="H744" t="s">
        <v>29</v>
      </c>
      <c r="I744" t="s">
        <v>30</v>
      </c>
      <c r="J744">
        <v>0</v>
      </c>
      <c r="K744">
        <v>1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1</v>
      </c>
      <c r="T744">
        <v>0</v>
      </c>
      <c r="U744">
        <v>0</v>
      </c>
      <c r="V744">
        <v>0</v>
      </c>
      <c r="W744">
        <v>1</v>
      </c>
      <c r="X744">
        <v>900</v>
      </c>
      <c r="Y744">
        <v>1000</v>
      </c>
      <c r="Z744">
        <f>AVERAGEIFS(Table1[FinalElo], Table1[Country], Table1[[#This Row],[Country]])</f>
        <v>1057.4495402298851</v>
      </c>
      <c r="AA744" cm="1">
        <f t="array" ref="AA744">IF(COUNTIFS(Table1[Country],Table1[[#This Row],[Country]])=1,0, _xlfn.STDEV.S(IF(Table1[Country]=Table1[[#This Row],[Country]],Table1[FinalElo])))</f>
        <v>156.98667602259493</v>
      </c>
      <c r="AB744">
        <f>IF(Table1[[#This Row],[CStd]]=0,0, (Table1[[#This Row],[FinalElo]]-Table1[[#This Row],[CAvg]]) / Table1[[#This Row],[CStd]])</f>
        <v>-1.0029484298860085</v>
      </c>
      <c r="AC744" t="str">
        <f>IF(Table1[[#This Row],[CStd]]=0,"Normal", IF(ABS(Table1[[#This Row],[CZscore]])&gt;2,"Outlier","Normal"))</f>
        <v>Normal</v>
      </c>
    </row>
    <row r="745" spans="1:29" x14ac:dyDescent="0.35">
      <c r="A745" t="s">
        <v>1521</v>
      </c>
      <c r="B745">
        <v>56.7</v>
      </c>
      <c r="C745">
        <v>174</v>
      </c>
      <c r="D745" t="s">
        <v>384</v>
      </c>
      <c r="E745">
        <v>27</v>
      </c>
      <c r="F745" t="s">
        <v>1522</v>
      </c>
      <c r="G745" t="s">
        <v>40</v>
      </c>
      <c r="H745" t="s">
        <v>29</v>
      </c>
      <c r="I745" t="s">
        <v>58</v>
      </c>
      <c r="J745">
        <v>0</v>
      </c>
      <c r="K745">
        <v>1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1</v>
      </c>
      <c r="S745">
        <v>0</v>
      </c>
      <c r="T745">
        <v>0</v>
      </c>
      <c r="U745">
        <v>0</v>
      </c>
      <c r="V745">
        <v>0</v>
      </c>
      <c r="W745">
        <v>1</v>
      </c>
      <c r="X745">
        <v>828.01</v>
      </c>
      <c r="Y745">
        <v>1000</v>
      </c>
      <c r="Z745">
        <f>AVERAGEIFS(Table1[FinalElo], Table1[Country], Table1[[#This Row],[Country]])</f>
        <v>1054.6869565217391</v>
      </c>
      <c r="AA745" cm="1">
        <f t="array" ref="AA745">IF(COUNTIFS(Table1[Country],Table1[[#This Row],[Country]])=1,0, _xlfn.STDEV.S(IF(Table1[Country]=Table1[[#This Row],[Country]],Table1[FinalElo])))</f>
        <v>191.2923801275472</v>
      </c>
      <c r="AB745">
        <f>IF(Table1[[#This Row],[CStd]]=0,0, (Table1[[#This Row],[FinalElo]]-Table1[[#This Row],[CAvg]]) / Table1[[#This Row],[CStd]])</f>
        <v>-1.18497640298374</v>
      </c>
      <c r="AC745" t="str">
        <f>IF(Table1[[#This Row],[CStd]]=0,"Normal", IF(ABS(Table1[[#This Row],[CZscore]])&gt;2,"Outlier","Normal"))</f>
        <v>Normal</v>
      </c>
    </row>
    <row r="746" spans="1:29" x14ac:dyDescent="0.35">
      <c r="A746" t="s">
        <v>1521</v>
      </c>
      <c r="B746">
        <v>76.8</v>
      </c>
      <c r="C746">
        <v>184</v>
      </c>
      <c r="D746" t="s">
        <v>38</v>
      </c>
      <c r="E746">
        <v>26</v>
      </c>
      <c r="F746" t="s">
        <v>1523</v>
      </c>
      <c r="G746" t="s">
        <v>28</v>
      </c>
      <c r="H746" t="s">
        <v>29</v>
      </c>
      <c r="I746" t="s">
        <v>30</v>
      </c>
      <c r="J746">
        <v>0</v>
      </c>
      <c r="K746">
        <v>1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1</v>
      </c>
      <c r="V746">
        <v>0</v>
      </c>
      <c r="W746">
        <v>1</v>
      </c>
      <c r="X746">
        <v>828.01</v>
      </c>
      <c r="Y746">
        <v>1000</v>
      </c>
      <c r="Z746">
        <f>AVERAGEIFS(Table1[FinalElo], Table1[Country], Table1[[#This Row],[Country]])</f>
        <v>1057.4495402298851</v>
      </c>
      <c r="AA746" cm="1">
        <f t="array" ref="AA746">IF(COUNTIFS(Table1[Country],Table1[[#This Row],[Country]])=1,0, _xlfn.STDEV.S(IF(Table1[Country]=Table1[[#This Row],[Country]],Table1[FinalElo])))</f>
        <v>156.98667602259493</v>
      </c>
      <c r="AB746">
        <f>IF(Table1[[#This Row],[CStd]]=0,0, (Table1[[#This Row],[FinalElo]]-Table1[[#This Row],[CAvg]]) / Table1[[#This Row],[CStd]])</f>
        <v>-1.4615223791149135</v>
      </c>
      <c r="AC746" t="str">
        <f>IF(Table1[[#This Row],[CStd]]=0,"Normal", IF(ABS(Table1[[#This Row],[CZscore]])&gt;2,"Outlier","Normal"))</f>
        <v>Normal</v>
      </c>
    </row>
    <row r="747" spans="1:29" x14ac:dyDescent="0.35">
      <c r="A747" t="s">
        <v>1519</v>
      </c>
      <c r="B747">
        <v>70.3</v>
      </c>
      <c r="C747">
        <v>175</v>
      </c>
      <c r="D747" t="s">
        <v>38</v>
      </c>
      <c r="E747">
        <v>29</v>
      </c>
      <c r="F747" t="s">
        <v>1520</v>
      </c>
      <c r="G747" t="s">
        <v>40</v>
      </c>
      <c r="H747" t="s">
        <v>29</v>
      </c>
      <c r="I747" t="s">
        <v>48</v>
      </c>
      <c r="J747">
        <v>0</v>
      </c>
      <c r="K747">
        <v>1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1</v>
      </c>
      <c r="W747">
        <v>1</v>
      </c>
      <c r="X747">
        <v>936.85</v>
      </c>
      <c r="Y747">
        <v>1000</v>
      </c>
      <c r="Z747">
        <f>AVERAGEIFS(Table1[FinalElo], Table1[Country], Table1[[#This Row],[Country]])</f>
        <v>1057.4495402298851</v>
      </c>
      <c r="AA747" cm="1">
        <f t="array" ref="AA747">IF(COUNTIFS(Table1[Country],Table1[[#This Row],[Country]])=1,0, _xlfn.STDEV.S(IF(Table1[Country]=Table1[[#This Row],[Country]],Table1[FinalElo])))</f>
        <v>156.98667602259493</v>
      </c>
      <c r="AB747">
        <f>IF(Table1[[#This Row],[CStd]]=0,0, (Table1[[#This Row],[FinalElo]]-Table1[[#This Row],[CAvg]]) / Table1[[#This Row],[CStd]])</f>
        <v>-0.76821513319084034</v>
      </c>
      <c r="AC747" t="str">
        <f>IF(Table1[[#This Row],[CStd]]=0,"Normal", IF(ABS(Table1[[#This Row],[CZscore]])&gt;2,"Outlier","Normal"))</f>
        <v>Normal</v>
      </c>
    </row>
    <row r="748" spans="1:29" x14ac:dyDescent="0.35">
      <c r="A748" t="s">
        <v>1518</v>
      </c>
      <c r="B748">
        <v>70.3</v>
      </c>
      <c r="C748">
        <v>184</v>
      </c>
      <c r="D748" t="s">
        <v>109</v>
      </c>
      <c r="E748">
        <v>31</v>
      </c>
      <c r="F748" t="s">
        <v>845</v>
      </c>
      <c r="G748" t="s">
        <v>34</v>
      </c>
      <c r="H748" t="s">
        <v>29</v>
      </c>
      <c r="I748" t="s">
        <v>48</v>
      </c>
      <c r="J748">
        <v>0</v>
      </c>
      <c r="K748">
        <v>1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1</v>
      </c>
      <c r="S748">
        <v>0</v>
      </c>
      <c r="T748">
        <v>0</v>
      </c>
      <c r="U748">
        <v>0</v>
      </c>
      <c r="V748">
        <v>0</v>
      </c>
      <c r="W748">
        <v>1</v>
      </c>
      <c r="X748">
        <v>957.64</v>
      </c>
      <c r="Y748">
        <v>1000</v>
      </c>
      <c r="Z748">
        <f>AVERAGEIFS(Table1[FinalElo], Table1[Country], Table1[[#This Row],[Country]])</f>
        <v>1017.2428571428571</v>
      </c>
      <c r="AA748" cm="1">
        <f t="array" ref="AA748">IF(COUNTIFS(Table1[Country],Table1[[#This Row],[Country]])=1,0, _xlfn.STDEV.S(IF(Table1[Country]=Table1[[#This Row],[Country]],Table1[FinalElo])))</f>
        <v>205.21100910317449</v>
      </c>
      <c r="AB748">
        <f>IF(Table1[[#This Row],[CStd]]=0,0, (Table1[[#This Row],[FinalElo]]-Table1[[#This Row],[CAvg]]) / Table1[[#This Row],[CStd]])</f>
        <v>-0.29044668413910707</v>
      </c>
      <c r="AC748" t="str">
        <f>IF(Table1[[#This Row],[CStd]]=0,"Normal", IF(ABS(Table1[[#This Row],[CZscore]])&gt;2,"Outlier","Normal"))</f>
        <v>Normal</v>
      </c>
    </row>
    <row r="749" spans="1:29" hidden="1" x14ac:dyDescent="0.35">
      <c r="A749" t="s">
        <v>1414</v>
      </c>
      <c r="B749">
        <v>56.7</v>
      </c>
      <c r="C749">
        <v>169</v>
      </c>
      <c r="D749" t="s">
        <v>358</v>
      </c>
      <c r="E749">
        <v>28</v>
      </c>
      <c r="F749" t="s">
        <v>1415</v>
      </c>
      <c r="G749" t="s">
        <v>40</v>
      </c>
      <c r="I749" t="s">
        <v>58</v>
      </c>
      <c r="J749">
        <v>1</v>
      </c>
      <c r="K749">
        <v>1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1</v>
      </c>
      <c r="S749">
        <v>0</v>
      </c>
      <c r="T749">
        <v>0</v>
      </c>
      <c r="U749">
        <v>0</v>
      </c>
      <c r="V749">
        <v>0</v>
      </c>
      <c r="W749">
        <v>2</v>
      </c>
      <c r="X749">
        <v>971.99</v>
      </c>
      <c r="Y749">
        <v>1100</v>
      </c>
      <c r="Z749">
        <f>AVERAGEIFS(Table1[FinalElo], Table1[Country], Table1[[#This Row],[Country]])</f>
        <v>974.61500000000012</v>
      </c>
      <c r="AA749" cm="1">
        <f t="array" ref="AA749">IF(COUNTIFS(Table1[Country],Table1[[#This Row],[Country]])=1,0, _xlfn.STDEV.S(IF(Table1[Country]=Table1[[#This Row],[Country]],Table1[FinalElo])))</f>
        <v>146.82246313768914</v>
      </c>
      <c r="AB749">
        <f>IF(Table1[[#This Row],[CStd]]=0,0, (Table1[[#This Row],[FinalElo]]-Table1[[#This Row],[CAvg]]) / Table1[[#This Row],[CStd]])</f>
        <v>-1.7878735609675789E-2</v>
      </c>
      <c r="AC749" t="str">
        <f>IF(Table1[[#This Row],[CStd]]=0,"Normal", IF(ABS(Table1[[#This Row],[CZscore]])&gt;2,"Outlier","Normal"))</f>
        <v>Normal</v>
      </c>
    </row>
    <row r="750" spans="1:29" x14ac:dyDescent="0.35">
      <c r="A750" t="s">
        <v>1517</v>
      </c>
      <c r="B750">
        <v>58.6</v>
      </c>
      <c r="C750">
        <v>169</v>
      </c>
      <c r="D750" t="s">
        <v>89</v>
      </c>
      <c r="E750">
        <v>27</v>
      </c>
      <c r="F750" t="s">
        <v>535</v>
      </c>
      <c r="G750" t="s">
        <v>34</v>
      </c>
      <c r="H750" t="s">
        <v>29</v>
      </c>
      <c r="I750" t="s">
        <v>58</v>
      </c>
      <c r="J750">
        <v>0</v>
      </c>
      <c r="K750">
        <v>2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2</v>
      </c>
      <c r="X750">
        <v>851.95</v>
      </c>
      <c r="Y750">
        <v>1000</v>
      </c>
      <c r="Z750">
        <f>AVERAGEIFS(Table1[FinalElo], Table1[Country], Table1[[#This Row],[Country]])</f>
        <v>1012.0629025423733</v>
      </c>
      <c r="AA750" cm="1">
        <f t="array" ref="AA750">IF(COUNTIFS(Table1[Country],Table1[[#This Row],[Country]])=1,0, _xlfn.STDEV.S(IF(Table1[Country]=Table1[[#This Row],[Country]],Table1[FinalElo])))</f>
        <v>148.42180446198614</v>
      </c>
      <c r="AB750">
        <f>IF(Table1[[#This Row],[CStd]]=0,0, (Table1[[#This Row],[FinalElo]]-Table1[[#This Row],[CAvg]]) / Table1[[#This Row],[CStd]])</f>
        <v>-1.0787694107531314</v>
      </c>
      <c r="AC750" t="str">
        <f>IF(Table1[[#This Row],[CStd]]=0,"Normal", IF(ABS(Table1[[#This Row],[CZscore]])&gt;2,"Outlier","Normal"))</f>
        <v>Normal</v>
      </c>
    </row>
    <row r="751" spans="1:29" x14ac:dyDescent="0.35">
      <c r="A751" t="s">
        <v>1516</v>
      </c>
      <c r="B751">
        <v>56.7</v>
      </c>
      <c r="C751">
        <v>173</v>
      </c>
      <c r="D751" t="s">
        <v>89</v>
      </c>
      <c r="E751">
        <v>18</v>
      </c>
      <c r="F751" t="s">
        <v>457</v>
      </c>
      <c r="G751" t="s">
        <v>34</v>
      </c>
      <c r="H751" t="s">
        <v>29</v>
      </c>
      <c r="I751" t="s">
        <v>58</v>
      </c>
      <c r="J751">
        <v>2</v>
      </c>
      <c r="K751">
        <v>1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3</v>
      </c>
      <c r="X751">
        <v>1087.05</v>
      </c>
      <c r="Y751">
        <v>1113.5999999999999</v>
      </c>
      <c r="Z751">
        <f>AVERAGEIFS(Table1[FinalElo], Table1[Country], Table1[[#This Row],[Country]])</f>
        <v>1012.0629025423733</v>
      </c>
      <c r="AA751" cm="1">
        <f t="array" ref="AA751">IF(COUNTIFS(Table1[Country],Table1[[#This Row],[Country]])=1,0, _xlfn.STDEV.S(IF(Table1[Country]=Table1[[#This Row],[Country]],Table1[FinalElo])))</f>
        <v>148.42180446198614</v>
      </c>
      <c r="AB751">
        <f>IF(Table1[[#This Row],[CStd]]=0,0, (Table1[[#This Row],[FinalElo]]-Table1[[#This Row],[CAvg]]) / Table1[[#This Row],[CStd]])</f>
        <v>0.50522965766012073</v>
      </c>
      <c r="AC751" t="str">
        <f>IF(Table1[[#This Row],[CStd]]=0,"Normal", IF(ABS(Table1[[#This Row],[CZscore]])&gt;2,"Outlier","Normal"))</f>
        <v>Normal</v>
      </c>
    </row>
    <row r="752" spans="1:29" x14ac:dyDescent="0.35">
      <c r="A752" t="s">
        <v>1514</v>
      </c>
      <c r="B752">
        <v>70.31</v>
      </c>
      <c r="C752">
        <v>187</v>
      </c>
      <c r="D752" t="s">
        <v>436</v>
      </c>
      <c r="E752">
        <v>29</v>
      </c>
      <c r="F752" t="s">
        <v>1515</v>
      </c>
      <c r="G752" t="s">
        <v>34</v>
      </c>
      <c r="H752" t="s">
        <v>29</v>
      </c>
      <c r="I752" t="s">
        <v>30</v>
      </c>
      <c r="J752">
        <v>1</v>
      </c>
      <c r="K752">
        <v>0</v>
      </c>
      <c r="L752">
        <v>0</v>
      </c>
      <c r="M752">
        <v>1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1</v>
      </c>
      <c r="X752">
        <v>1100</v>
      </c>
      <c r="Y752">
        <v>1100</v>
      </c>
      <c r="Z752">
        <f>AVERAGEIFS(Table1[FinalElo], Table1[Country], Table1[[#This Row],[Country]])</f>
        <v>1053.6925000000001</v>
      </c>
      <c r="AA752" cm="1">
        <f t="array" ref="AA752">IF(COUNTIFS(Table1[Country],Table1[[#This Row],[Country]])=1,0, _xlfn.STDEV.S(IF(Table1[Country]=Table1[[#This Row],[Country]],Table1[FinalElo])))</f>
        <v>84.046811311712901</v>
      </c>
      <c r="AB752">
        <f>IF(Table1[[#This Row],[CStd]]=0,0, (Table1[[#This Row],[FinalElo]]-Table1[[#This Row],[CAvg]]) / Table1[[#This Row],[CStd]])</f>
        <v>0.55097271719511864</v>
      </c>
      <c r="AC752" t="str">
        <f>IF(Table1[[#This Row],[CStd]]=0,"Normal", IF(ABS(Table1[[#This Row],[CZscore]])&gt;2,"Outlier","Normal"))</f>
        <v>Normal</v>
      </c>
    </row>
    <row r="753" spans="1:29" x14ac:dyDescent="0.35">
      <c r="A753" t="s">
        <v>1512</v>
      </c>
      <c r="B753">
        <v>47.63</v>
      </c>
      <c r="C753">
        <v>155</v>
      </c>
      <c r="D753" t="s">
        <v>218</v>
      </c>
      <c r="E753">
        <v>23</v>
      </c>
      <c r="F753" t="s">
        <v>1513</v>
      </c>
      <c r="G753" t="s">
        <v>40</v>
      </c>
      <c r="H753" t="s">
        <v>29</v>
      </c>
      <c r="I753" t="s">
        <v>55</v>
      </c>
      <c r="J753">
        <v>1</v>
      </c>
      <c r="K753">
        <v>2</v>
      </c>
      <c r="L753">
        <v>0</v>
      </c>
      <c r="M753">
        <v>0</v>
      </c>
      <c r="N753">
        <v>0</v>
      </c>
      <c r="O753">
        <v>0</v>
      </c>
      <c r="P753">
        <v>1</v>
      </c>
      <c r="Q753">
        <v>0</v>
      </c>
      <c r="R753">
        <v>0</v>
      </c>
      <c r="S753">
        <v>2</v>
      </c>
      <c r="T753">
        <v>0</v>
      </c>
      <c r="U753">
        <v>0</v>
      </c>
      <c r="V753">
        <v>0</v>
      </c>
      <c r="W753">
        <v>3</v>
      </c>
      <c r="X753">
        <v>1013.05</v>
      </c>
      <c r="Y753">
        <v>1096.05</v>
      </c>
      <c r="Z753">
        <f>AVERAGEIFS(Table1[FinalElo], Table1[Country], Table1[[#This Row],[Country]])</f>
        <v>953.02272727272725</v>
      </c>
      <c r="AA753" cm="1">
        <f t="array" ref="AA753">IF(COUNTIFS(Table1[Country],Table1[[#This Row],[Country]])=1,0, _xlfn.STDEV.S(IF(Table1[Country]=Table1[[#This Row],[Country]],Table1[FinalElo])))</f>
        <v>75.051454894746612</v>
      </c>
      <c r="AB753">
        <f>IF(Table1[[#This Row],[CStd]]=0,0, (Table1[[#This Row],[FinalElo]]-Table1[[#This Row],[CAvg]]) / Table1[[#This Row],[CStd]])</f>
        <v>0.79981491113604564</v>
      </c>
      <c r="AC753" t="str">
        <f>IF(Table1[[#This Row],[CStd]]=0,"Normal", IF(ABS(Table1[[#This Row],[CZscore]])&gt;2,"Outlier","Normal"))</f>
        <v>Normal</v>
      </c>
    </row>
    <row r="754" spans="1:29" x14ac:dyDescent="0.35">
      <c r="A754" t="s">
        <v>1510</v>
      </c>
      <c r="B754">
        <v>68</v>
      </c>
      <c r="C754">
        <v>171</v>
      </c>
      <c r="D754" t="s">
        <v>116</v>
      </c>
      <c r="E754">
        <v>34</v>
      </c>
      <c r="F754" t="s">
        <v>1511</v>
      </c>
      <c r="G754" t="s">
        <v>40</v>
      </c>
      <c r="H754" t="s">
        <v>29</v>
      </c>
      <c r="I754" t="s">
        <v>48</v>
      </c>
      <c r="J754">
        <v>0</v>
      </c>
      <c r="K754">
        <v>2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1</v>
      </c>
      <c r="T754">
        <v>0</v>
      </c>
      <c r="U754">
        <v>0</v>
      </c>
      <c r="V754">
        <v>0</v>
      </c>
      <c r="W754">
        <v>2</v>
      </c>
      <c r="X754">
        <v>800</v>
      </c>
      <c r="Y754">
        <v>1000</v>
      </c>
      <c r="Z754">
        <f>AVERAGEIFS(Table1[FinalElo], Table1[Country], Table1[[#This Row],[Country]])</f>
        <v>980.88090909090931</v>
      </c>
      <c r="AA754" cm="1">
        <f t="array" ref="AA754">IF(COUNTIFS(Table1[Country],Table1[[#This Row],[Country]])=1,0, _xlfn.STDEV.S(IF(Table1[Country]=Table1[[#This Row],[Country]],Table1[FinalElo])))</f>
        <v>133.41794796376408</v>
      </c>
      <c r="AB754">
        <f>IF(Table1[[#This Row],[CStd]]=0,0, (Table1[[#This Row],[FinalElo]]-Table1[[#This Row],[CAvg]]) / Table1[[#This Row],[CStd]])</f>
        <v>-1.3557464482967168</v>
      </c>
      <c r="AC754" t="str">
        <f>IF(Table1[[#This Row],[CStd]]=0,"Normal", IF(ABS(Table1[[#This Row],[CZscore]])&gt;2,"Outlier","Normal"))</f>
        <v>Normal</v>
      </c>
    </row>
    <row r="755" spans="1:29" x14ac:dyDescent="0.35">
      <c r="A755" t="s">
        <v>1509</v>
      </c>
      <c r="B755">
        <v>72</v>
      </c>
      <c r="C755">
        <v>178</v>
      </c>
      <c r="D755" t="s">
        <v>116</v>
      </c>
      <c r="E755">
        <v>29</v>
      </c>
      <c r="F755" t="s">
        <v>1486</v>
      </c>
      <c r="G755" t="s">
        <v>40</v>
      </c>
      <c r="H755" t="s">
        <v>29</v>
      </c>
      <c r="I755" t="s">
        <v>30</v>
      </c>
      <c r="J755">
        <v>0</v>
      </c>
      <c r="K755">
        <v>1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1</v>
      </c>
      <c r="T755">
        <v>0</v>
      </c>
      <c r="U755">
        <v>0</v>
      </c>
      <c r="V755">
        <v>0</v>
      </c>
      <c r="W755">
        <v>1</v>
      </c>
      <c r="X755">
        <v>900</v>
      </c>
      <c r="Y755">
        <v>1000</v>
      </c>
      <c r="Z755">
        <f>AVERAGEIFS(Table1[FinalElo], Table1[Country], Table1[[#This Row],[Country]])</f>
        <v>980.88090909090931</v>
      </c>
      <c r="AA755" cm="1">
        <f t="array" ref="AA755">IF(COUNTIFS(Table1[Country],Table1[[#This Row],[Country]])=1,0, _xlfn.STDEV.S(IF(Table1[Country]=Table1[[#This Row],[Country]],Table1[FinalElo])))</f>
        <v>133.41794796376408</v>
      </c>
      <c r="AB755">
        <f>IF(Table1[[#This Row],[CStd]]=0,0, (Table1[[#This Row],[FinalElo]]-Table1[[#This Row],[CAvg]]) / Table1[[#This Row],[CStd]])</f>
        <v>-0.60622210373731977</v>
      </c>
      <c r="AC755" t="str">
        <f>IF(Table1[[#This Row],[CStd]]=0,"Normal", IF(ABS(Table1[[#This Row],[CZscore]])&gt;2,"Outlier","Normal"))</f>
        <v>Normal</v>
      </c>
    </row>
    <row r="756" spans="1:29" x14ac:dyDescent="0.35">
      <c r="A756" t="s">
        <v>1508</v>
      </c>
      <c r="B756">
        <v>77.099999999999994</v>
      </c>
      <c r="C756">
        <v>180</v>
      </c>
      <c r="D756" t="s">
        <v>116</v>
      </c>
      <c r="E756">
        <v>37</v>
      </c>
      <c r="F756" t="s">
        <v>1009</v>
      </c>
      <c r="G756" t="s">
        <v>40</v>
      </c>
      <c r="H756" t="s">
        <v>29</v>
      </c>
      <c r="I756" t="s">
        <v>30</v>
      </c>
      <c r="J756">
        <v>1</v>
      </c>
      <c r="K756">
        <v>0</v>
      </c>
      <c r="L756">
        <v>0</v>
      </c>
      <c r="M756">
        <v>0</v>
      </c>
      <c r="N756">
        <v>1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1</v>
      </c>
      <c r="X756">
        <v>1100</v>
      </c>
      <c r="Y756">
        <v>1100</v>
      </c>
      <c r="Z756">
        <f>AVERAGEIFS(Table1[FinalElo], Table1[Country], Table1[[#This Row],[Country]])</f>
        <v>980.88090909090931</v>
      </c>
      <c r="AA756" cm="1">
        <f t="array" ref="AA756">IF(COUNTIFS(Table1[Country],Table1[[#This Row],[Country]])=1,0, _xlfn.STDEV.S(IF(Table1[Country]=Table1[[#This Row],[Country]],Table1[FinalElo])))</f>
        <v>133.41794796376408</v>
      </c>
      <c r="AB756">
        <f>IF(Table1[[#This Row],[CStd]]=0,0, (Table1[[#This Row],[FinalElo]]-Table1[[#This Row],[CAvg]]) / Table1[[#This Row],[CStd]])</f>
        <v>0.89282658538147419</v>
      </c>
      <c r="AC756" t="str">
        <f>IF(Table1[[#This Row],[CStd]]=0,"Normal", IF(ABS(Table1[[#This Row],[CZscore]])&gt;2,"Outlier","Normal"))</f>
        <v>Normal</v>
      </c>
    </row>
    <row r="757" spans="1:29" x14ac:dyDescent="0.35">
      <c r="A757" t="s">
        <v>1506</v>
      </c>
      <c r="B757">
        <v>70.3</v>
      </c>
      <c r="C757">
        <v>175</v>
      </c>
      <c r="D757" t="s">
        <v>116</v>
      </c>
      <c r="E757">
        <v>28</v>
      </c>
      <c r="F757" t="s">
        <v>1507</v>
      </c>
      <c r="G757" t="s">
        <v>40</v>
      </c>
      <c r="H757" t="s">
        <v>29</v>
      </c>
      <c r="I757" t="s">
        <v>48</v>
      </c>
      <c r="J757">
        <v>6</v>
      </c>
      <c r="K757">
        <v>4</v>
      </c>
      <c r="L757">
        <v>0</v>
      </c>
      <c r="M757">
        <v>3</v>
      </c>
      <c r="N757">
        <v>1</v>
      </c>
      <c r="O757">
        <v>0</v>
      </c>
      <c r="P757">
        <v>2</v>
      </c>
      <c r="Q757">
        <v>0</v>
      </c>
      <c r="R757">
        <v>1</v>
      </c>
      <c r="S757">
        <v>1</v>
      </c>
      <c r="T757">
        <v>0</v>
      </c>
      <c r="U757">
        <v>1</v>
      </c>
      <c r="V757">
        <v>0</v>
      </c>
      <c r="W757">
        <v>10</v>
      </c>
      <c r="X757">
        <v>1018.39</v>
      </c>
      <c r="Y757">
        <v>1307.1199999999999</v>
      </c>
      <c r="Z757">
        <f>AVERAGEIFS(Table1[FinalElo], Table1[Country], Table1[[#This Row],[Country]])</f>
        <v>980.88090909090931</v>
      </c>
      <c r="AA757" cm="1">
        <f t="array" ref="AA757">IF(COUNTIFS(Table1[Country],Table1[[#This Row],[Country]])=1,0, _xlfn.STDEV.S(IF(Table1[Country]=Table1[[#This Row],[Country]],Table1[FinalElo])))</f>
        <v>133.41794796376408</v>
      </c>
      <c r="AB757">
        <f>IF(Table1[[#This Row],[CStd]]=0,0, (Table1[[#This Row],[FinalElo]]-Table1[[#This Row],[CAvg]]) / Table1[[#This Row],[CStd]])</f>
        <v>0.2811397677865502</v>
      </c>
      <c r="AC757" t="str">
        <f>IF(Table1[[#This Row],[CStd]]=0,"Normal", IF(ABS(Table1[[#This Row],[CZscore]])&gt;2,"Outlier","Normal"))</f>
        <v>Normal</v>
      </c>
    </row>
    <row r="758" spans="1:29" x14ac:dyDescent="0.35">
      <c r="A758" t="s">
        <v>1504</v>
      </c>
      <c r="B758">
        <v>102.06</v>
      </c>
      <c r="C758">
        <v>182</v>
      </c>
      <c r="D758" t="s">
        <v>71</v>
      </c>
      <c r="E758">
        <v>39</v>
      </c>
      <c r="F758" t="s">
        <v>1505</v>
      </c>
      <c r="G758" t="s">
        <v>34</v>
      </c>
      <c r="H758" t="s">
        <v>29</v>
      </c>
      <c r="I758" t="s">
        <v>94</v>
      </c>
      <c r="J758">
        <v>0</v>
      </c>
      <c r="K758">
        <v>1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1</v>
      </c>
      <c r="X758">
        <v>982.28</v>
      </c>
      <c r="Y758">
        <v>1000</v>
      </c>
      <c r="Z758">
        <f>AVERAGEIFS(Table1[FinalElo], Table1[Country], Table1[[#This Row],[Country]])</f>
        <v>991.47826086956536</v>
      </c>
      <c r="AA758" cm="1">
        <f t="array" ref="AA758">IF(COUNTIFS(Table1[Country],Table1[[#This Row],[Country]])=1,0, _xlfn.STDEV.S(IF(Table1[Country]=Table1[[#This Row],[Country]],Table1[FinalElo])))</f>
        <v>164.61500422203164</v>
      </c>
      <c r="AB758">
        <f>IF(Table1[[#This Row],[CStd]]=0,0, (Table1[[#This Row],[FinalElo]]-Table1[[#This Row],[CAvg]]) / Table1[[#This Row],[CStd]])</f>
        <v>-5.5877414777809886E-2</v>
      </c>
      <c r="AC758" t="str">
        <f>IF(Table1[[#This Row],[CStd]]=0,"Normal", IF(ABS(Table1[[#This Row],[CZscore]])&gt;2,"Outlier","Normal"))</f>
        <v>Normal</v>
      </c>
    </row>
    <row r="759" spans="1:29" x14ac:dyDescent="0.35">
      <c r="A759" t="s">
        <v>1501</v>
      </c>
      <c r="B759">
        <v>56.7</v>
      </c>
      <c r="C759">
        <v>175</v>
      </c>
      <c r="D759" t="s">
        <v>1502</v>
      </c>
      <c r="E759">
        <v>25</v>
      </c>
      <c r="F759" t="s">
        <v>1503</v>
      </c>
      <c r="G759" t="s">
        <v>28</v>
      </c>
      <c r="H759" t="s">
        <v>29</v>
      </c>
      <c r="I759" t="s">
        <v>58</v>
      </c>
      <c r="J759">
        <v>0</v>
      </c>
      <c r="K759">
        <v>1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1</v>
      </c>
      <c r="S759">
        <v>0</v>
      </c>
      <c r="T759">
        <v>0</v>
      </c>
      <c r="U759">
        <v>0</v>
      </c>
      <c r="V759">
        <v>0</v>
      </c>
      <c r="W759">
        <v>1</v>
      </c>
      <c r="X759">
        <v>871.99</v>
      </c>
      <c r="Y759">
        <v>1000</v>
      </c>
      <c r="Z759">
        <f>AVERAGEIFS(Table1[FinalElo], Table1[Country], Table1[[#This Row],[Country]])</f>
        <v>972.07222222222242</v>
      </c>
      <c r="AA759" cm="1">
        <f t="array" ref="AA759">IF(COUNTIFS(Table1[Country],Table1[[#This Row],[Country]])=1,0, _xlfn.STDEV.S(IF(Table1[Country]=Table1[[#This Row],[Country]],Table1[FinalElo])))</f>
        <v>96.39574702467138</v>
      </c>
      <c r="AB759">
        <f>IF(Table1[[#This Row],[CStd]]=0,0, (Table1[[#This Row],[FinalElo]]-Table1[[#This Row],[CAvg]]) / Table1[[#This Row],[CStd]])</f>
        <v>-1.0382431311685101</v>
      </c>
      <c r="AC759" t="str">
        <f>IF(Table1[[#This Row],[CStd]]=0,"Normal", IF(ABS(Table1[[#This Row],[CZscore]])&gt;2,"Outlier","Normal"))</f>
        <v>Normal</v>
      </c>
    </row>
    <row r="760" spans="1:29" x14ac:dyDescent="0.35">
      <c r="A760" t="s">
        <v>1500</v>
      </c>
      <c r="B760">
        <v>70.3</v>
      </c>
      <c r="C760">
        <v>185</v>
      </c>
      <c r="D760" t="s">
        <v>116</v>
      </c>
      <c r="E760">
        <v>26</v>
      </c>
      <c r="F760" t="s">
        <v>411</v>
      </c>
      <c r="G760" t="s">
        <v>40</v>
      </c>
      <c r="H760" t="s">
        <v>29</v>
      </c>
      <c r="I760" t="s">
        <v>48</v>
      </c>
      <c r="J760">
        <v>2</v>
      </c>
      <c r="K760">
        <v>2</v>
      </c>
      <c r="L760">
        <v>0</v>
      </c>
      <c r="M760">
        <v>0</v>
      </c>
      <c r="N760">
        <v>2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2</v>
      </c>
      <c r="V760">
        <v>0</v>
      </c>
      <c r="W760">
        <v>4</v>
      </c>
      <c r="X760">
        <v>1008.14</v>
      </c>
      <c r="Y760">
        <v>1148.44</v>
      </c>
      <c r="Z760">
        <f>AVERAGEIFS(Table1[FinalElo], Table1[Country], Table1[[#This Row],[Country]])</f>
        <v>980.88090909090931</v>
      </c>
      <c r="AA760" cm="1">
        <f t="array" ref="AA760">IF(COUNTIFS(Table1[Country],Table1[[#This Row],[Country]])=1,0, _xlfn.STDEV.S(IF(Table1[Country]=Table1[[#This Row],[Country]],Table1[FinalElo])))</f>
        <v>133.41794796376408</v>
      </c>
      <c r="AB760">
        <f>IF(Table1[[#This Row],[CStd]]=0,0, (Table1[[#This Row],[FinalElo]]-Table1[[#This Row],[CAvg]]) / Table1[[#This Row],[CStd]])</f>
        <v>0.20431352246921203</v>
      </c>
      <c r="AC760" t="str">
        <f>IF(Table1[[#This Row],[CStd]]=0,"Normal", IF(ABS(Table1[[#This Row],[CZscore]])&gt;2,"Outlier","Normal"))</f>
        <v>Normal</v>
      </c>
    </row>
    <row r="761" spans="1:29" x14ac:dyDescent="0.35">
      <c r="A761" t="s">
        <v>1499</v>
      </c>
      <c r="B761">
        <v>53</v>
      </c>
      <c r="C761">
        <v>164</v>
      </c>
      <c r="D761" t="s">
        <v>116</v>
      </c>
      <c r="E761">
        <v>31</v>
      </c>
      <c r="F761" t="s">
        <v>1011</v>
      </c>
      <c r="G761" t="s">
        <v>28</v>
      </c>
      <c r="H761" t="s">
        <v>29</v>
      </c>
      <c r="I761" t="s">
        <v>36</v>
      </c>
      <c r="J761">
        <v>0</v>
      </c>
      <c r="K761">
        <v>1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1</v>
      </c>
      <c r="W761">
        <v>1</v>
      </c>
      <c r="X761">
        <v>900</v>
      </c>
      <c r="Y761">
        <v>1000</v>
      </c>
      <c r="Z761">
        <f>AVERAGEIFS(Table1[FinalElo], Table1[Country], Table1[[#This Row],[Country]])</f>
        <v>980.88090909090931</v>
      </c>
      <c r="AA761" cm="1">
        <f t="array" ref="AA761">IF(COUNTIFS(Table1[Country],Table1[[#This Row],[Country]])=1,0, _xlfn.STDEV.S(IF(Table1[Country]=Table1[[#This Row],[Country]],Table1[FinalElo])))</f>
        <v>133.41794796376408</v>
      </c>
      <c r="AB761">
        <f>IF(Table1[[#This Row],[CStd]]=0,0, (Table1[[#This Row],[FinalElo]]-Table1[[#This Row],[CAvg]]) / Table1[[#This Row],[CStd]])</f>
        <v>-0.60622210373731977</v>
      </c>
      <c r="AC761" t="str">
        <f>IF(Table1[[#This Row],[CStd]]=0,"Normal", IF(ABS(Table1[[#This Row],[CZscore]])&gt;2,"Outlier","Normal"))</f>
        <v>Normal</v>
      </c>
    </row>
    <row r="762" spans="1:29" x14ac:dyDescent="0.35">
      <c r="A762" t="s">
        <v>1498</v>
      </c>
      <c r="B762">
        <v>70.3</v>
      </c>
      <c r="C762">
        <v>180</v>
      </c>
      <c r="D762" t="s">
        <v>116</v>
      </c>
      <c r="E762">
        <v>24</v>
      </c>
      <c r="F762" t="s">
        <v>1164</v>
      </c>
      <c r="G762" t="s">
        <v>28</v>
      </c>
      <c r="H762" t="s">
        <v>29</v>
      </c>
      <c r="I762" t="s">
        <v>48</v>
      </c>
      <c r="J762">
        <v>4</v>
      </c>
      <c r="K762">
        <v>1</v>
      </c>
      <c r="L762">
        <v>0</v>
      </c>
      <c r="M762">
        <v>2</v>
      </c>
      <c r="N762">
        <v>0</v>
      </c>
      <c r="O762">
        <v>0</v>
      </c>
      <c r="P762">
        <v>0</v>
      </c>
      <c r="Q762">
        <v>1</v>
      </c>
      <c r="R762">
        <v>0</v>
      </c>
      <c r="S762">
        <v>0</v>
      </c>
      <c r="T762">
        <v>0</v>
      </c>
      <c r="U762">
        <v>0</v>
      </c>
      <c r="V762">
        <v>1</v>
      </c>
      <c r="W762">
        <v>5</v>
      </c>
      <c r="X762">
        <v>1242.3900000000001</v>
      </c>
      <c r="Y762">
        <v>1242.3900000000001</v>
      </c>
      <c r="Z762">
        <f>AVERAGEIFS(Table1[FinalElo], Table1[Country], Table1[[#This Row],[Country]])</f>
        <v>980.88090909090931</v>
      </c>
      <c r="AA762" cm="1">
        <f t="array" ref="AA762">IF(COUNTIFS(Table1[Country],Table1[[#This Row],[Country]])=1,0, _xlfn.STDEV.S(IF(Table1[Country]=Table1[[#This Row],[Country]],Table1[FinalElo])))</f>
        <v>133.41794796376408</v>
      </c>
      <c r="AB762">
        <f>IF(Table1[[#This Row],[CStd]]=0,0, (Table1[[#This Row],[FinalElo]]-Table1[[#This Row],[CAvg]]) / Table1[[#This Row],[CStd]])</f>
        <v>1.9600742995996003</v>
      </c>
      <c r="AC762" t="str">
        <f>IF(Table1[[#This Row],[CStd]]=0,"Normal", IF(ABS(Table1[[#This Row],[CZscore]])&gt;2,"Outlier","Normal"))</f>
        <v>Normal</v>
      </c>
    </row>
    <row r="763" spans="1:29" x14ac:dyDescent="0.35">
      <c r="A763" t="s">
        <v>1496</v>
      </c>
      <c r="B763">
        <v>72.574719999999999</v>
      </c>
      <c r="C763">
        <v>185</v>
      </c>
      <c r="D763" t="s">
        <v>52</v>
      </c>
      <c r="E763">
        <v>29</v>
      </c>
      <c r="F763" t="s">
        <v>1497</v>
      </c>
      <c r="G763" t="s">
        <v>34</v>
      </c>
      <c r="H763" t="s">
        <v>29</v>
      </c>
      <c r="I763" t="s">
        <v>30</v>
      </c>
      <c r="J763">
        <v>2</v>
      </c>
      <c r="K763">
        <v>2</v>
      </c>
      <c r="L763">
        <v>0</v>
      </c>
      <c r="M763">
        <v>1</v>
      </c>
      <c r="N763">
        <v>0</v>
      </c>
      <c r="O763">
        <v>0</v>
      </c>
      <c r="P763">
        <v>0</v>
      </c>
      <c r="Q763">
        <v>1</v>
      </c>
      <c r="R763">
        <v>1</v>
      </c>
      <c r="S763">
        <v>0</v>
      </c>
      <c r="T763">
        <v>0</v>
      </c>
      <c r="U763">
        <v>1</v>
      </c>
      <c r="V763">
        <v>0</v>
      </c>
      <c r="W763">
        <v>4</v>
      </c>
      <c r="X763">
        <v>1011.58</v>
      </c>
      <c r="Y763">
        <v>1011.58</v>
      </c>
      <c r="Z763">
        <f>AVERAGEIFS(Table1[FinalElo], Table1[Country], Table1[[#This Row],[Country]])</f>
        <v>1039.8985714285714</v>
      </c>
      <c r="AA763" cm="1">
        <f t="array" ref="AA763">IF(COUNTIFS(Table1[Country],Table1[[#This Row],[Country]])=1,0, _xlfn.STDEV.S(IF(Table1[Country]=Table1[[#This Row],[Country]],Table1[FinalElo])))</f>
        <v>194.01778111336392</v>
      </c>
      <c r="AB763">
        <f>IF(Table1[[#This Row],[CStd]]=0,0, (Table1[[#This Row],[FinalElo]]-Table1[[#This Row],[CAvg]]) / Table1[[#This Row],[CStd]])</f>
        <v>-0.14595863980129159</v>
      </c>
      <c r="AC763" t="str">
        <f>IF(Table1[[#This Row],[CStd]]=0,"Normal", IF(ABS(Table1[[#This Row],[CZscore]])&gt;2,"Outlier","Normal"))</f>
        <v>Normal</v>
      </c>
    </row>
    <row r="764" spans="1:29" hidden="1" x14ac:dyDescent="0.35">
      <c r="A764" t="s">
        <v>1441</v>
      </c>
      <c r="B764">
        <v>52.2</v>
      </c>
      <c r="C764">
        <v>167</v>
      </c>
      <c r="D764" t="s">
        <v>116</v>
      </c>
      <c r="E764">
        <v>31</v>
      </c>
      <c r="F764" t="s">
        <v>1429</v>
      </c>
      <c r="G764" t="s">
        <v>40</v>
      </c>
      <c r="H764" t="s">
        <v>35</v>
      </c>
      <c r="I764" t="s">
        <v>36</v>
      </c>
      <c r="J764">
        <v>3</v>
      </c>
      <c r="K764">
        <v>3</v>
      </c>
      <c r="L764">
        <v>0</v>
      </c>
      <c r="M764">
        <v>0</v>
      </c>
      <c r="N764">
        <v>1</v>
      </c>
      <c r="O764">
        <v>0</v>
      </c>
      <c r="P764">
        <v>2</v>
      </c>
      <c r="Q764">
        <v>0</v>
      </c>
      <c r="R764">
        <v>0</v>
      </c>
      <c r="S764">
        <v>0</v>
      </c>
      <c r="T764">
        <v>0</v>
      </c>
      <c r="U764">
        <v>2</v>
      </c>
      <c r="V764">
        <v>1</v>
      </c>
      <c r="W764">
        <v>6</v>
      </c>
      <c r="X764">
        <v>928.46</v>
      </c>
      <c r="Y764">
        <v>1120.02</v>
      </c>
      <c r="Z764">
        <f>AVERAGEIFS(Table1[FinalElo], Table1[Country], Table1[[#This Row],[Country]])</f>
        <v>980.88090909090931</v>
      </c>
      <c r="AA764" cm="1">
        <f t="array" ref="AA764">IF(COUNTIFS(Table1[Country],Table1[[#This Row],[Country]])=1,0, _xlfn.STDEV.S(IF(Table1[Country]=Table1[[#This Row],[Country]],Table1[FinalElo])))</f>
        <v>133.41794796376408</v>
      </c>
      <c r="AB764">
        <f>IF(Table1[[#This Row],[CStd]]=0,0, (Table1[[#This Row],[FinalElo]]-Table1[[#This Row],[CAvg]]) / Table1[[#This Row],[CStd]])</f>
        <v>-0.39290747527571507</v>
      </c>
      <c r="AC764" t="str">
        <f>IF(Table1[[#This Row],[CStd]]=0,"Normal", IF(ABS(Table1[[#This Row],[CZscore]])&gt;2,"Outlier","Normal"))</f>
        <v>Normal</v>
      </c>
    </row>
    <row r="765" spans="1:29" x14ac:dyDescent="0.35">
      <c r="A765" t="s">
        <v>1494</v>
      </c>
      <c r="B765">
        <v>65.400000000000006</v>
      </c>
      <c r="C765">
        <v>167</v>
      </c>
      <c r="D765" t="s">
        <v>218</v>
      </c>
      <c r="E765">
        <v>29</v>
      </c>
      <c r="F765" t="s">
        <v>1495</v>
      </c>
      <c r="G765" t="s">
        <v>40</v>
      </c>
      <c r="H765" t="s">
        <v>29</v>
      </c>
      <c r="I765" t="s">
        <v>73</v>
      </c>
      <c r="J765">
        <v>1</v>
      </c>
      <c r="K765">
        <v>0</v>
      </c>
      <c r="L765">
        <v>0</v>
      </c>
      <c r="M765">
        <v>1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1</v>
      </c>
      <c r="X765">
        <v>1139.67</v>
      </c>
      <c r="Y765">
        <v>1139.67</v>
      </c>
      <c r="Z765">
        <f>AVERAGEIFS(Table1[FinalElo], Table1[Country], Table1[[#This Row],[Country]])</f>
        <v>953.02272727272725</v>
      </c>
      <c r="AA765" cm="1">
        <f t="array" ref="AA765">IF(COUNTIFS(Table1[Country],Table1[[#This Row],[Country]])=1,0, _xlfn.STDEV.S(IF(Table1[Country]=Table1[[#This Row],[Country]],Table1[FinalElo])))</f>
        <v>75.051454894746612</v>
      </c>
      <c r="AB765">
        <f>IF(Table1[[#This Row],[CStd]]=0,0, (Table1[[#This Row],[FinalElo]]-Table1[[#This Row],[CAvg]]) / Table1[[#This Row],[CStd]])</f>
        <v>2.4869241107854605</v>
      </c>
      <c r="AC765" t="str">
        <f>IF(Table1[[#This Row],[CStd]]=0,"Normal", IF(ABS(Table1[[#This Row],[CZscore]])&gt;2,"Outlier","Normal"))</f>
        <v>Outlier</v>
      </c>
    </row>
    <row r="766" spans="1:29" x14ac:dyDescent="0.35">
      <c r="A766" t="s">
        <v>1493</v>
      </c>
      <c r="B766">
        <v>70.31</v>
      </c>
      <c r="C766">
        <v>175</v>
      </c>
      <c r="D766" t="s">
        <v>32</v>
      </c>
      <c r="E766">
        <v>25</v>
      </c>
      <c r="F766" t="s">
        <v>1421</v>
      </c>
      <c r="G766" t="s">
        <v>40</v>
      </c>
      <c r="H766" t="s">
        <v>29</v>
      </c>
      <c r="I766" t="s">
        <v>30</v>
      </c>
      <c r="J766">
        <v>3</v>
      </c>
      <c r="K766">
        <v>0</v>
      </c>
      <c r="L766">
        <v>1</v>
      </c>
      <c r="M766">
        <v>0</v>
      </c>
      <c r="N766">
        <v>1</v>
      </c>
      <c r="O766">
        <v>0</v>
      </c>
      <c r="P766">
        <v>2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4</v>
      </c>
      <c r="X766">
        <v>1304.05</v>
      </c>
      <c r="Y766">
        <v>1304.05</v>
      </c>
      <c r="Z766">
        <f>AVERAGEIFS(Table1[FinalElo], Table1[Country], Table1[[#This Row],[Country]])</f>
        <v>1025.3786885245902</v>
      </c>
      <c r="AA766" cm="1">
        <f t="array" ref="AA766">IF(COUNTIFS(Table1[Country],Table1[[#This Row],[Country]])=1,0, _xlfn.STDEV.S(IF(Table1[Country]=Table1[[#This Row],[Country]],Table1[FinalElo])))</f>
        <v>144.71595558743479</v>
      </c>
      <c r="AB766">
        <f>IF(Table1[[#This Row],[CStd]]=0,0, (Table1[[#This Row],[FinalElo]]-Table1[[#This Row],[CAvg]]) / Table1[[#This Row],[CStd]])</f>
        <v>1.925643308260101</v>
      </c>
      <c r="AC766" t="str">
        <f>IF(Table1[[#This Row],[CStd]]=0,"Normal", IF(ABS(Table1[[#This Row],[CZscore]])&gt;2,"Outlier","Normal"))</f>
        <v>Normal</v>
      </c>
    </row>
    <row r="767" spans="1:29" x14ac:dyDescent="0.35">
      <c r="A767" t="s">
        <v>1492</v>
      </c>
      <c r="B767">
        <v>72.121127999999999</v>
      </c>
      <c r="C767">
        <v>182</v>
      </c>
      <c r="D767" t="s">
        <v>226</v>
      </c>
      <c r="E767">
        <v>32</v>
      </c>
      <c r="F767" t="s">
        <v>1490</v>
      </c>
      <c r="G767" t="s">
        <v>34</v>
      </c>
      <c r="H767" t="s">
        <v>29</v>
      </c>
      <c r="I767" t="s">
        <v>30</v>
      </c>
      <c r="J767">
        <v>0</v>
      </c>
      <c r="K767">
        <v>1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1</v>
      </c>
      <c r="S767">
        <v>0</v>
      </c>
      <c r="T767">
        <v>0</v>
      </c>
      <c r="U767">
        <v>0</v>
      </c>
      <c r="V767">
        <v>0</v>
      </c>
      <c r="W767">
        <v>1</v>
      </c>
      <c r="X767">
        <v>900</v>
      </c>
      <c r="Y767">
        <v>1000</v>
      </c>
      <c r="Z767">
        <f>AVERAGEIFS(Table1[FinalElo], Table1[Country], Table1[[#This Row],[Country]])</f>
        <v>961.00176470588235</v>
      </c>
      <c r="AA767" cm="1">
        <f t="array" ref="AA767">IF(COUNTIFS(Table1[Country],Table1[[#This Row],[Country]])=1,0, _xlfn.STDEV.S(IF(Table1[Country]=Table1[[#This Row],[Country]],Table1[FinalElo])))</f>
        <v>117.15877454523515</v>
      </c>
      <c r="AB767">
        <f>IF(Table1[[#This Row],[CStd]]=0,0, (Table1[[#This Row],[FinalElo]]-Table1[[#This Row],[CAvg]]) / Table1[[#This Row],[CStd]])</f>
        <v>-0.52067602228401166</v>
      </c>
      <c r="AC767" t="str">
        <f>IF(Table1[[#This Row],[CStd]]=0,"Normal", IF(ABS(Table1[[#This Row],[CZscore]])&gt;2,"Outlier","Normal"))</f>
        <v>Normal</v>
      </c>
    </row>
    <row r="768" spans="1:29" x14ac:dyDescent="0.35">
      <c r="A768" t="s">
        <v>1491</v>
      </c>
      <c r="B768">
        <v>56.4</v>
      </c>
      <c r="C768">
        <v>167</v>
      </c>
      <c r="D768" t="s">
        <v>226</v>
      </c>
      <c r="E768">
        <v>34</v>
      </c>
      <c r="F768" t="s">
        <v>76</v>
      </c>
      <c r="G768" t="s">
        <v>28</v>
      </c>
      <c r="H768" t="s">
        <v>29</v>
      </c>
      <c r="I768" t="s">
        <v>36</v>
      </c>
      <c r="J768">
        <v>1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1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1</v>
      </c>
      <c r="X768">
        <v>1102.52</v>
      </c>
      <c r="Y768">
        <v>1102.52</v>
      </c>
      <c r="Z768">
        <f>AVERAGEIFS(Table1[FinalElo], Table1[Country], Table1[[#This Row],[Country]])</f>
        <v>961.00176470588235</v>
      </c>
      <c r="AA768" cm="1">
        <f t="array" ref="AA768">IF(COUNTIFS(Table1[Country],Table1[[#This Row],[Country]])=1,0, _xlfn.STDEV.S(IF(Table1[Country]=Table1[[#This Row],[Country]],Table1[FinalElo])))</f>
        <v>117.15877454523515</v>
      </c>
      <c r="AB768">
        <f>IF(Table1[[#This Row],[CStd]]=0,0, (Table1[[#This Row],[FinalElo]]-Table1[[#This Row],[CAvg]]) / Table1[[#This Row],[CStd]])</f>
        <v>1.2079183641467439</v>
      </c>
      <c r="AC768" t="str">
        <f>IF(Table1[[#This Row],[CStd]]=0,"Normal", IF(ABS(Table1[[#This Row],[CZscore]])&gt;2,"Outlier","Normal"))</f>
        <v>Normal</v>
      </c>
    </row>
    <row r="769" spans="1:29" x14ac:dyDescent="0.35">
      <c r="A769" t="s">
        <v>1489</v>
      </c>
      <c r="B769">
        <v>56.7</v>
      </c>
      <c r="C769">
        <v>173</v>
      </c>
      <c r="D769" t="s">
        <v>89</v>
      </c>
      <c r="E769">
        <v>18</v>
      </c>
      <c r="F769" t="s">
        <v>1490</v>
      </c>
      <c r="G769" t="s">
        <v>34</v>
      </c>
      <c r="H769" t="s">
        <v>29</v>
      </c>
      <c r="I769" t="s">
        <v>58</v>
      </c>
      <c r="J769">
        <v>1</v>
      </c>
      <c r="K769">
        <v>1</v>
      </c>
      <c r="L769">
        <v>0</v>
      </c>
      <c r="M769">
        <v>1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2</v>
      </c>
      <c r="X769">
        <v>971.99</v>
      </c>
      <c r="Y769">
        <v>1100</v>
      </c>
      <c r="Z769">
        <f>AVERAGEIFS(Table1[FinalElo], Table1[Country], Table1[[#This Row],[Country]])</f>
        <v>1012.0629025423733</v>
      </c>
      <c r="AA769" cm="1">
        <f t="array" ref="AA769">IF(COUNTIFS(Table1[Country],Table1[[#This Row],[Country]])=1,0, _xlfn.STDEV.S(IF(Table1[Country]=Table1[[#This Row],[Country]],Table1[FinalElo])))</f>
        <v>148.42180446198614</v>
      </c>
      <c r="AB769">
        <f>IF(Table1[[#This Row],[CStd]]=0,0, (Table1[[#This Row],[FinalElo]]-Table1[[#This Row],[CAvg]]) / Table1[[#This Row],[CStd]])</f>
        <v>-0.26999336578364258</v>
      </c>
      <c r="AC769" t="str">
        <f>IF(Table1[[#This Row],[CStd]]=0,"Normal", IF(ABS(Table1[[#This Row],[CZscore]])&gt;2,"Outlier","Normal"))</f>
        <v>Normal</v>
      </c>
    </row>
    <row r="770" spans="1:29" x14ac:dyDescent="0.35">
      <c r="A770" t="s">
        <v>1487</v>
      </c>
      <c r="B770">
        <v>77.099999999999994</v>
      </c>
      <c r="C770">
        <v>180</v>
      </c>
      <c r="D770" t="s">
        <v>116</v>
      </c>
      <c r="E770">
        <v>34</v>
      </c>
      <c r="F770" t="s">
        <v>1488</v>
      </c>
      <c r="G770" t="s">
        <v>40</v>
      </c>
      <c r="H770" t="s">
        <v>29</v>
      </c>
      <c r="I770" t="s">
        <v>30</v>
      </c>
      <c r="J770">
        <v>2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1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2</v>
      </c>
      <c r="X770">
        <v>1208.04</v>
      </c>
      <c r="Y770">
        <v>1208.04</v>
      </c>
      <c r="Z770">
        <f>AVERAGEIFS(Table1[FinalElo], Table1[Country], Table1[[#This Row],[Country]])</f>
        <v>980.88090909090931</v>
      </c>
      <c r="AA770" cm="1">
        <f t="array" ref="AA770">IF(COUNTIFS(Table1[Country],Table1[[#This Row],[Country]])=1,0, _xlfn.STDEV.S(IF(Table1[Country]=Table1[[#This Row],[Country]],Table1[FinalElo])))</f>
        <v>133.41794796376408</v>
      </c>
      <c r="AB770">
        <f>IF(Table1[[#This Row],[CStd]]=0,0, (Table1[[#This Row],[FinalElo]]-Table1[[#This Row],[CAvg]]) / Table1[[#This Row],[CStd]])</f>
        <v>1.7026126872434464</v>
      </c>
      <c r="AC770" t="str">
        <f>IF(Table1[[#This Row],[CStd]]=0,"Normal", IF(ABS(Table1[[#This Row],[CZscore]])&gt;2,"Outlier","Normal"))</f>
        <v>Normal</v>
      </c>
    </row>
    <row r="771" spans="1:29" x14ac:dyDescent="0.35">
      <c r="A771" t="s">
        <v>1485</v>
      </c>
      <c r="B771">
        <v>68</v>
      </c>
      <c r="C771">
        <v>170</v>
      </c>
      <c r="D771" t="s">
        <v>116</v>
      </c>
      <c r="E771">
        <v>29</v>
      </c>
      <c r="F771" t="s">
        <v>1486</v>
      </c>
      <c r="G771" t="s">
        <v>40</v>
      </c>
      <c r="H771" t="s">
        <v>29</v>
      </c>
      <c r="I771" t="s">
        <v>48</v>
      </c>
      <c r="J771">
        <v>1</v>
      </c>
      <c r="K771">
        <v>0</v>
      </c>
      <c r="L771">
        <v>0</v>
      </c>
      <c r="M771">
        <v>0</v>
      </c>
      <c r="N771">
        <v>1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1</v>
      </c>
      <c r="X771">
        <v>1100</v>
      </c>
      <c r="Y771">
        <v>1100</v>
      </c>
      <c r="Z771">
        <f>AVERAGEIFS(Table1[FinalElo], Table1[Country], Table1[[#This Row],[Country]])</f>
        <v>980.88090909090931</v>
      </c>
      <c r="AA771" cm="1">
        <f t="array" ref="AA771">IF(COUNTIFS(Table1[Country],Table1[[#This Row],[Country]])=1,0, _xlfn.STDEV.S(IF(Table1[Country]=Table1[[#This Row],[Country]],Table1[FinalElo])))</f>
        <v>133.41794796376408</v>
      </c>
      <c r="AB771">
        <f>IF(Table1[[#This Row],[CStd]]=0,0, (Table1[[#This Row],[FinalElo]]-Table1[[#This Row],[CAvg]]) / Table1[[#This Row],[CStd]])</f>
        <v>0.89282658538147419</v>
      </c>
      <c r="AC771" t="str">
        <f>IF(Table1[[#This Row],[CStd]]=0,"Normal", IF(ABS(Table1[[#This Row],[CZscore]])&gt;2,"Outlier","Normal"))</f>
        <v>Normal</v>
      </c>
    </row>
    <row r="772" spans="1:29" x14ac:dyDescent="0.35">
      <c r="A772" t="s">
        <v>1484</v>
      </c>
      <c r="B772">
        <v>55.2</v>
      </c>
      <c r="C772">
        <v>172</v>
      </c>
      <c r="D772" t="s">
        <v>116</v>
      </c>
      <c r="E772">
        <v>23</v>
      </c>
      <c r="F772" t="s">
        <v>1011</v>
      </c>
      <c r="G772" t="s">
        <v>34</v>
      </c>
      <c r="H772" t="s">
        <v>29</v>
      </c>
      <c r="I772" t="s">
        <v>36</v>
      </c>
      <c r="J772">
        <v>0</v>
      </c>
      <c r="K772">
        <v>2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1</v>
      </c>
      <c r="V772">
        <v>0</v>
      </c>
      <c r="W772">
        <v>2</v>
      </c>
      <c r="X772">
        <v>849.33</v>
      </c>
      <c r="Y772">
        <v>1000</v>
      </c>
      <c r="Z772">
        <f>AVERAGEIFS(Table1[FinalElo], Table1[Country], Table1[[#This Row],[Country]])</f>
        <v>980.88090909090931</v>
      </c>
      <c r="AA772" cm="1">
        <f t="array" ref="AA772">IF(COUNTIFS(Table1[Country],Table1[[#This Row],[Country]])=1,0, _xlfn.STDEV.S(IF(Table1[Country]=Table1[[#This Row],[Country]],Table1[FinalElo])))</f>
        <v>133.41794796376408</v>
      </c>
      <c r="AB772">
        <f>IF(Table1[[#This Row],[CStd]]=0,0, (Table1[[#This Row],[FinalElo]]-Table1[[#This Row],[CAvg]]) / Table1[[#This Row],[CStd]])</f>
        <v>-0.98600608912556587</v>
      </c>
      <c r="AC772" t="str">
        <f>IF(Table1[[#This Row],[CStd]]=0,"Normal", IF(ABS(Table1[[#This Row],[CZscore]])&gt;2,"Outlier","Normal"))</f>
        <v>Normal</v>
      </c>
    </row>
    <row r="773" spans="1:29" x14ac:dyDescent="0.35">
      <c r="A773" t="s">
        <v>1482</v>
      </c>
      <c r="B773">
        <v>70.3</v>
      </c>
      <c r="C773">
        <v>171</v>
      </c>
      <c r="D773" t="s">
        <v>116</v>
      </c>
      <c r="E773">
        <v>27</v>
      </c>
      <c r="F773" t="s">
        <v>1483</v>
      </c>
      <c r="G773" t="s">
        <v>28</v>
      </c>
      <c r="H773" t="s">
        <v>29</v>
      </c>
      <c r="I773" t="s">
        <v>48</v>
      </c>
      <c r="J773">
        <v>2</v>
      </c>
      <c r="K773">
        <v>1</v>
      </c>
      <c r="L773">
        <v>0</v>
      </c>
      <c r="M773">
        <v>0</v>
      </c>
      <c r="N773">
        <v>0</v>
      </c>
      <c r="O773">
        <v>0</v>
      </c>
      <c r="P773">
        <v>1</v>
      </c>
      <c r="Q773">
        <v>1</v>
      </c>
      <c r="R773">
        <v>0</v>
      </c>
      <c r="S773">
        <v>0</v>
      </c>
      <c r="T773">
        <v>0</v>
      </c>
      <c r="U773">
        <v>1</v>
      </c>
      <c r="V773">
        <v>0</v>
      </c>
      <c r="W773">
        <v>3</v>
      </c>
      <c r="X773">
        <v>1084.8900000000001</v>
      </c>
      <c r="Y773">
        <v>1100</v>
      </c>
      <c r="Z773">
        <f>AVERAGEIFS(Table1[FinalElo], Table1[Country], Table1[[#This Row],[Country]])</f>
        <v>980.88090909090931</v>
      </c>
      <c r="AA773" cm="1">
        <f t="array" ref="AA773">IF(COUNTIFS(Table1[Country],Table1[[#This Row],[Country]])=1,0, _xlfn.STDEV.S(IF(Table1[Country]=Table1[[#This Row],[Country]],Table1[FinalElo])))</f>
        <v>133.41794796376408</v>
      </c>
      <c r="AB773">
        <f>IF(Table1[[#This Row],[CStd]]=0,0, (Table1[[#This Row],[FinalElo]]-Table1[[#This Row],[CAvg]]) / Table1[[#This Row],[CStd]])</f>
        <v>0.77957345691855007</v>
      </c>
      <c r="AC773" t="str">
        <f>IF(Table1[[#This Row],[CStd]]=0,"Normal", IF(ABS(Table1[[#This Row],[CZscore]])&gt;2,"Outlier","Normal"))</f>
        <v>Normal</v>
      </c>
    </row>
    <row r="774" spans="1:29" x14ac:dyDescent="0.35">
      <c r="A774" t="s">
        <v>1481</v>
      </c>
      <c r="B774">
        <v>63</v>
      </c>
      <c r="C774">
        <v>177</v>
      </c>
      <c r="D774" t="s">
        <v>116</v>
      </c>
      <c r="E774">
        <v>30</v>
      </c>
      <c r="F774" t="s">
        <v>1164</v>
      </c>
      <c r="G774" t="s">
        <v>28</v>
      </c>
      <c r="H774" t="s">
        <v>29</v>
      </c>
      <c r="I774" t="s">
        <v>73</v>
      </c>
      <c r="J774">
        <v>1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1</v>
      </c>
      <c r="X774">
        <v>1100</v>
      </c>
      <c r="Y774">
        <v>1100</v>
      </c>
      <c r="Z774">
        <f>AVERAGEIFS(Table1[FinalElo], Table1[Country], Table1[[#This Row],[Country]])</f>
        <v>980.88090909090931</v>
      </c>
      <c r="AA774" cm="1">
        <f t="array" ref="AA774">IF(COUNTIFS(Table1[Country],Table1[[#This Row],[Country]])=1,0, _xlfn.STDEV.S(IF(Table1[Country]=Table1[[#This Row],[Country]],Table1[FinalElo])))</f>
        <v>133.41794796376408</v>
      </c>
      <c r="AB774">
        <f>IF(Table1[[#This Row],[CStd]]=0,0, (Table1[[#This Row],[FinalElo]]-Table1[[#This Row],[CAvg]]) / Table1[[#This Row],[CStd]])</f>
        <v>0.89282658538147419</v>
      </c>
      <c r="AC774" t="str">
        <f>IF(Table1[[#This Row],[CStd]]=0,"Normal", IF(ABS(Table1[[#This Row],[CZscore]])&gt;2,"Outlier","Normal"))</f>
        <v>Normal</v>
      </c>
    </row>
    <row r="775" spans="1:29" x14ac:dyDescent="0.35">
      <c r="A775" t="s">
        <v>1479</v>
      </c>
      <c r="B775">
        <v>76.5</v>
      </c>
      <c r="C775">
        <v>177</v>
      </c>
      <c r="D775" t="s">
        <v>52</v>
      </c>
      <c r="E775">
        <v>34</v>
      </c>
      <c r="F775" t="s">
        <v>1480</v>
      </c>
      <c r="G775" t="s">
        <v>40</v>
      </c>
      <c r="H775" t="s">
        <v>29</v>
      </c>
      <c r="I775" t="s">
        <v>30</v>
      </c>
      <c r="J775">
        <v>7</v>
      </c>
      <c r="K775">
        <v>2</v>
      </c>
      <c r="L775">
        <v>0</v>
      </c>
      <c r="M775">
        <v>2</v>
      </c>
      <c r="N775">
        <v>2</v>
      </c>
      <c r="O775">
        <v>0</v>
      </c>
      <c r="P775">
        <v>2</v>
      </c>
      <c r="Q775">
        <v>1</v>
      </c>
      <c r="R775">
        <v>0</v>
      </c>
      <c r="S775">
        <v>0</v>
      </c>
      <c r="T775">
        <v>0</v>
      </c>
      <c r="U775">
        <v>1</v>
      </c>
      <c r="V775">
        <v>1</v>
      </c>
      <c r="W775">
        <v>9</v>
      </c>
      <c r="X775">
        <v>1194.3900000000001</v>
      </c>
      <c r="Y775">
        <v>1370.99</v>
      </c>
      <c r="Z775">
        <f>AVERAGEIFS(Table1[FinalElo], Table1[Country], Table1[[#This Row],[Country]])</f>
        <v>1039.8985714285714</v>
      </c>
      <c r="AA775" cm="1">
        <f t="array" ref="AA775">IF(COUNTIFS(Table1[Country],Table1[[#This Row],[Country]])=1,0, _xlfn.STDEV.S(IF(Table1[Country]=Table1[[#This Row],[Country]],Table1[FinalElo])))</f>
        <v>194.01778111336392</v>
      </c>
      <c r="AB775">
        <f>IF(Table1[[#This Row],[CStd]]=0,0, (Table1[[#This Row],[FinalElo]]-Table1[[#This Row],[CAvg]]) / Table1[[#This Row],[CStd]])</f>
        <v>0.79627458723053801</v>
      </c>
      <c r="AC775" t="str">
        <f>IF(Table1[[#This Row],[CStd]]=0,"Normal", IF(ABS(Table1[[#This Row],[CZscore]])&gt;2,"Outlier","Normal"))</f>
        <v>Normal</v>
      </c>
    </row>
    <row r="776" spans="1:29" x14ac:dyDescent="0.35">
      <c r="A776" t="s">
        <v>1478</v>
      </c>
      <c r="B776">
        <v>53.523856000000002</v>
      </c>
      <c r="C776">
        <v>-1</v>
      </c>
      <c r="D776" t="s">
        <v>26</v>
      </c>
      <c r="E776">
        <v>33</v>
      </c>
      <c r="F776" t="s">
        <v>99</v>
      </c>
      <c r="G776" t="s">
        <v>34</v>
      </c>
      <c r="H776" t="s">
        <v>29</v>
      </c>
      <c r="I776" t="s">
        <v>36</v>
      </c>
      <c r="J776">
        <v>0</v>
      </c>
      <c r="K776">
        <v>1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1</v>
      </c>
      <c r="V776">
        <v>0</v>
      </c>
      <c r="W776">
        <v>1</v>
      </c>
      <c r="X776">
        <v>871.99</v>
      </c>
      <c r="Y776">
        <v>1000</v>
      </c>
      <c r="Z776">
        <f>AVERAGEIFS(Table1[FinalElo], Table1[Country], Table1[[#This Row],[Country]])</f>
        <v>979.07416666666666</v>
      </c>
      <c r="AA776" cm="1">
        <f t="array" ref="AA776">IF(COUNTIFS(Table1[Country],Table1[[#This Row],[Country]])=1,0, _xlfn.STDEV.S(IF(Table1[Country]=Table1[[#This Row],[Country]],Table1[FinalElo])))</f>
        <v>130.18126931728986</v>
      </c>
      <c r="AB776">
        <f>IF(Table1[[#This Row],[CStd]]=0,0, (Table1[[#This Row],[FinalElo]]-Table1[[#This Row],[CAvg]]) / Table1[[#This Row],[CStd]])</f>
        <v>-0.82257737405886855</v>
      </c>
      <c r="AC776" t="str">
        <f>IF(Table1[[#This Row],[CStd]]=0,"Normal", IF(ABS(Table1[[#This Row],[CZscore]])&gt;2,"Outlier","Normal"))</f>
        <v>Normal</v>
      </c>
    </row>
    <row r="777" spans="1:29" x14ac:dyDescent="0.35">
      <c r="A777" t="s">
        <v>1476</v>
      </c>
      <c r="B777">
        <v>58</v>
      </c>
      <c r="C777">
        <v>175</v>
      </c>
      <c r="D777" t="s">
        <v>89</v>
      </c>
      <c r="E777">
        <v>17</v>
      </c>
      <c r="F777" t="s">
        <v>1477</v>
      </c>
      <c r="G777" t="s">
        <v>34</v>
      </c>
      <c r="H777" t="s">
        <v>29</v>
      </c>
      <c r="I777" t="s">
        <v>58</v>
      </c>
      <c r="J777">
        <v>1</v>
      </c>
      <c r="K777">
        <v>1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1</v>
      </c>
      <c r="W777">
        <v>2</v>
      </c>
      <c r="X777">
        <v>998.99</v>
      </c>
      <c r="Y777">
        <v>1110.3</v>
      </c>
      <c r="Z777">
        <f>AVERAGEIFS(Table1[FinalElo], Table1[Country], Table1[[#This Row],[Country]])</f>
        <v>1012.0629025423733</v>
      </c>
      <c r="AA777" cm="1">
        <f t="array" ref="AA777">IF(COUNTIFS(Table1[Country],Table1[[#This Row],[Country]])=1,0, _xlfn.STDEV.S(IF(Table1[Country]=Table1[[#This Row],[Country]],Table1[FinalElo])))</f>
        <v>148.42180446198614</v>
      </c>
      <c r="AB777">
        <f>IF(Table1[[#This Row],[CStd]]=0,0, (Table1[[#This Row],[FinalElo]]-Table1[[#This Row],[CAvg]]) / Table1[[#This Row],[CStd]])</f>
        <v>-8.8079393656216712E-2</v>
      </c>
      <c r="AC777" t="str">
        <f>IF(Table1[[#This Row],[CStd]]=0,"Normal", IF(ABS(Table1[[#This Row],[CZscore]])&gt;2,"Outlier","Normal"))</f>
        <v>Normal</v>
      </c>
    </row>
    <row r="778" spans="1:29" x14ac:dyDescent="0.35">
      <c r="A778" t="s">
        <v>1474</v>
      </c>
      <c r="B778">
        <v>65.77</v>
      </c>
      <c r="C778">
        <v>178</v>
      </c>
      <c r="D778" t="s">
        <v>226</v>
      </c>
      <c r="E778">
        <v>29</v>
      </c>
      <c r="F778" t="s">
        <v>1475</v>
      </c>
      <c r="G778" t="s">
        <v>34</v>
      </c>
      <c r="H778" t="s">
        <v>29</v>
      </c>
      <c r="I778" t="s">
        <v>48</v>
      </c>
      <c r="J778">
        <v>0</v>
      </c>
      <c r="K778">
        <v>1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1</v>
      </c>
      <c r="S778">
        <v>0</v>
      </c>
      <c r="T778">
        <v>0</v>
      </c>
      <c r="U778">
        <v>0</v>
      </c>
      <c r="V778">
        <v>0</v>
      </c>
      <c r="W778">
        <v>1</v>
      </c>
      <c r="X778">
        <v>862.13</v>
      </c>
      <c r="Y778">
        <v>1000</v>
      </c>
      <c r="Z778">
        <f>AVERAGEIFS(Table1[FinalElo], Table1[Country], Table1[[#This Row],[Country]])</f>
        <v>961.00176470588235</v>
      </c>
      <c r="AA778" cm="1">
        <f t="array" ref="AA778">IF(COUNTIFS(Table1[Country],Table1[[#This Row],[Country]])=1,0, _xlfn.STDEV.S(IF(Table1[Country]=Table1[[#This Row],[Country]],Table1[FinalElo])))</f>
        <v>117.15877454523515</v>
      </c>
      <c r="AB778">
        <f>IF(Table1[[#This Row],[CStd]]=0,0, (Table1[[#This Row],[FinalElo]]-Table1[[#This Row],[CAvg]]) / Table1[[#This Row],[CStd]])</f>
        <v>-0.84391258861885621</v>
      </c>
      <c r="AC778" t="str">
        <f>IF(Table1[[#This Row],[CStd]]=0,"Normal", IF(ABS(Table1[[#This Row],[CZscore]])&gt;2,"Outlier","Normal"))</f>
        <v>Normal</v>
      </c>
    </row>
    <row r="779" spans="1:29" x14ac:dyDescent="0.35">
      <c r="A779" t="s">
        <v>1473</v>
      </c>
      <c r="B779">
        <v>54.6</v>
      </c>
      <c r="C779">
        <v>170</v>
      </c>
      <c r="D779" t="s">
        <v>89</v>
      </c>
      <c r="E779">
        <v>23</v>
      </c>
      <c r="F779" t="s">
        <v>433</v>
      </c>
      <c r="G779" t="s">
        <v>34</v>
      </c>
      <c r="H779" t="s">
        <v>29</v>
      </c>
      <c r="I779" t="s">
        <v>36</v>
      </c>
      <c r="J779">
        <v>0</v>
      </c>
      <c r="K779">
        <v>1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1</v>
      </c>
      <c r="X779">
        <v>920.22</v>
      </c>
      <c r="Y779">
        <v>1000</v>
      </c>
      <c r="Z779">
        <f>AVERAGEIFS(Table1[FinalElo], Table1[Country], Table1[[#This Row],[Country]])</f>
        <v>1012.0629025423733</v>
      </c>
      <c r="AA779" cm="1">
        <f t="array" ref="AA779">IF(COUNTIFS(Table1[Country],Table1[[#This Row],[Country]])=1,0, _xlfn.STDEV.S(IF(Table1[Country]=Table1[[#This Row],[Country]],Table1[FinalElo])))</f>
        <v>148.42180446198614</v>
      </c>
      <c r="AB779">
        <f>IF(Table1[[#This Row],[CStd]]=0,0, (Table1[[#This Row],[FinalElo]]-Table1[[#This Row],[CAvg]]) / Table1[[#This Row],[CStd]])</f>
        <v>-0.61879656345167344</v>
      </c>
      <c r="AC779" t="str">
        <f>IF(Table1[[#This Row],[CStd]]=0,"Normal", IF(ABS(Table1[[#This Row],[CZscore]])&gt;2,"Outlier","Normal"))</f>
        <v>Normal</v>
      </c>
    </row>
    <row r="780" spans="1:29" x14ac:dyDescent="0.35">
      <c r="A780" t="s">
        <v>1472</v>
      </c>
      <c r="B780">
        <v>57.606183999999999</v>
      </c>
      <c r="C780">
        <v>165</v>
      </c>
      <c r="D780" t="s">
        <v>89</v>
      </c>
      <c r="E780">
        <v>26</v>
      </c>
      <c r="F780" t="s">
        <v>535</v>
      </c>
      <c r="G780" t="s">
        <v>34</v>
      </c>
      <c r="H780" t="s">
        <v>29</v>
      </c>
      <c r="I780" t="s">
        <v>58</v>
      </c>
      <c r="J780">
        <v>2</v>
      </c>
      <c r="K780">
        <v>3</v>
      </c>
      <c r="L780">
        <v>0</v>
      </c>
      <c r="M780">
        <v>1</v>
      </c>
      <c r="N780">
        <v>0</v>
      </c>
      <c r="O780">
        <v>0</v>
      </c>
      <c r="P780">
        <v>1</v>
      </c>
      <c r="Q780">
        <v>0</v>
      </c>
      <c r="R780">
        <v>0</v>
      </c>
      <c r="S780">
        <v>0</v>
      </c>
      <c r="T780">
        <v>0</v>
      </c>
      <c r="U780">
        <v>2</v>
      </c>
      <c r="V780">
        <v>0</v>
      </c>
      <c r="W780">
        <v>5</v>
      </c>
      <c r="X780">
        <v>996.16</v>
      </c>
      <c r="Y780">
        <v>1100</v>
      </c>
      <c r="Z780">
        <f>AVERAGEIFS(Table1[FinalElo], Table1[Country], Table1[[#This Row],[Country]])</f>
        <v>1012.0629025423733</v>
      </c>
      <c r="AA780" cm="1">
        <f t="array" ref="AA780">IF(COUNTIFS(Table1[Country],Table1[[#This Row],[Country]])=1,0, _xlfn.STDEV.S(IF(Table1[Country]=Table1[[#This Row],[Country]],Table1[FinalElo])))</f>
        <v>148.42180446198614</v>
      </c>
      <c r="AB780">
        <f>IF(Table1[[#This Row],[CStd]]=0,0, (Table1[[#This Row],[FinalElo]]-Table1[[#This Row],[CAvg]]) / Table1[[#This Row],[CStd]])</f>
        <v>-0.10714667295698051</v>
      </c>
      <c r="AC780" t="str">
        <f>IF(Table1[[#This Row],[CStd]]=0,"Normal", IF(ABS(Table1[[#This Row],[CZscore]])&gt;2,"Outlier","Normal"))</f>
        <v>Normal</v>
      </c>
    </row>
    <row r="781" spans="1:29" x14ac:dyDescent="0.35">
      <c r="A781" t="s">
        <v>1470</v>
      </c>
      <c r="B781">
        <v>70.3</v>
      </c>
      <c r="C781">
        <v>165</v>
      </c>
      <c r="D781" t="s">
        <v>289</v>
      </c>
      <c r="E781">
        <v>25</v>
      </c>
      <c r="F781" t="s">
        <v>1471</v>
      </c>
      <c r="G781" t="s">
        <v>40</v>
      </c>
      <c r="H781" t="s">
        <v>29</v>
      </c>
      <c r="I781" t="s">
        <v>48</v>
      </c>
      <c r="J781">
        <v>0</v>
      </c>
      <c r="K781">
        <v>1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1</v>
      </c>
      <c r="S781">
        <v>0</v>
      </c>
      <c r="T781">
        <v>0</v>
      </c>
      <c r="U781">
        <v>0</v>
      </c>
      <c r="V781">
        <v>0</v>
      </c>
      <c r="W781">
        <v>1</v>
      </c>
      <c r="X781">
        <v>928.01</v>
      </c>
      <c r="Y781">
        <v>1000</v>
      </c>
      <c r="Z781">
        <f>AVERAGEIFS(Table1[FinalElo], Table1[Country], Table1[[#This Row],[Country]])</f>
        <v>905.81399999999996</v>
      </c>
      <c r="AA781" cm="1">
        <f t="array" ref="AA781">IF(COUNTIFS(Table1[Country],Table1[[#This Row],[Country]])=1,0, _xlfn.STDEV.S(IF(Table1[Country]=Table1[[#This Row],[Country]],Table1[FinalElo])))</f>
        <v>92.302429437149769</v>
      </c>
      <c r="AB781">
        <f>IF(Table1[[#This Row],[CStd]]=0,0, (Table1[[#This Row],[FinalElo]]-Table1[[#This Row],[CAvg]]) / Table1[[#This Row],[CStd]])</f>
        <v>0.24047037694835155</v>
      </c>
      <c r="AC781" t="str">
        <f>IF(Table1[[#This Row],[CStd]]=0,"Normal", IF(ABS(Table1[[#This Row],[CZscore]])&gt;2,"Outlier","Normal"))</f>
        <v>Normal</v>
      </c>
    </row>
    <row r="782" spans="1:29" x14ac:dyDescent="0.35">
      <c r="A782" t="s">
        <v>1467</v>
      </c>
      <c r="B782">
        <v>63.502879999999998</v>
      </c>
      <c r="C782">
        <v>175</v>
      </c>
      <c r="D782" t="s">
        <v>1468</v>
      </c>
      <c r="E782">
        <v>22</v>
      </c>
      <c r="F782" t="s">
        <v>1469</v>
      </c>
      <c r="G782" t="s">
        <v>34</v>
      </c>
      <c r="H782" t="s">
        <v>29</v>
      </c>
      <c r="I782" t="s">
        <v>73</v>
      </c>
      <c r="J782">
        <v>1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1</v>
      </c>
      <c r="X782">
        <v>1145.82</v>
      </c>
      <c r="Y782">
        <v>1145.82</v>
      </c>
      <c r="Z782">
        <f>AVERAGEIFS(Table1[FinalElo], Table1[Country], Table1[[#This Row],[Country]])</f>
        <v>1145.82</v>
      </c>
      <c r="AA782" cm="1">
        <f t="array" ref="AA782">IF(COUNTIFS(Table1[Country],Table1[[#This Row],[Country]])=1,0, _xlfn.STDEV.S(IF(Table1[Country]=Table1[[#This Row],[Country]],Table1[FinalElo])))</f>
        <v>0</v>
      </c>
      <c r="AB782">
        <f>IF(Table1[[#This Row],[CStd]]=0,0, (Table1[[#This Row],[FinalElo]]-Table1[[#This Row],[CAvg]]) / Table1[[#This Row],[CStd]])</f>
        <v>0</v>
      </c>
      <c r="AC782" t="str">
        <f>IF(Table1[[#This Row],[CStd]]=0,"Normal", IF(ABS(Table1[[#This Row],[CZscore]])&gt;2,"Outlier","Normal"))</f>
        <v>Normal</v>
      </c>
    </row>
    <row r="783" spans="1:29" x14ac:dyDescent="0.35">
      <c r="A783" t="s">
        <v>1465</v>
      </c>
      <c r="B783">
        <v>58.5</v>
      </c>
      <c r="C783">
        <v>166</v>
      </c>
      <c r="D783" t="s">
        <v>116</v>
      </c>
      <c r="E783">
        <v>27</v>
      </c>
      <c r="F783" t="s">
        <v>1466</v>
      </c>
      <c r="G783" t="s">
        <v>40</v>
      </c>
      <c r="H783" t="s">
        <v>29</v>
      </c>
      <c r="I783" t="s">
        <v>58</v>
      </c>
      <c r="J783">
        <v>0</v>
      </c>
      <c r="K783">
        <v>1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1</v>
      </c>
      <c r="T783">
        <v>0</v>
      </c>
      <c r="U783">
        <v>0</v>
      </c>
      <c r="V783">
        <v>0</v>
      </c>
      <c r="W783">
        <v>1</v>
      </c>
      <c r="X783">
        <v>879.57</v>
      </c>
      <c r="Y783">
        <v>1000</v>
      </c>
      <c r="Z783">
        <f>AVERAGEIFS(Table1[FinalElo], Table1[Country], Table1[[#This Row],[Country]])</f>
        <v>980.88090909090931</v>
      </c>
      <c r="AA783" cm="1">
        <f t="array" ref="AA783">IF(COUNTIFS(Table1[Country],Table1[[#This Row],[Country]])=1,0, _xlfn.STDEV.S(IF(Table1[Country]=Table1[[#This Row],[Country]],Table1[FinalElo])))</f>
        <v>133.41794796376408</v>
      </c>
      <c r="AB783">
        <f>IF(Table1[[#This Row],[CStd]]=0,0, (Table1[[#This Row],[FinalElo]]-Table1[[#This Row],[CAvg]]) / Table1[[#This Row],[CStd]])</f>
        <v>-0.7593499273308042</v>
      </c>
      <c r="AC783" t="str">
        <f>IF(Table1[[#This Row],[CStd]]=0,"Normal", IF(ABS(Table1[[#This Row],[CZscore]])&gt;2,"Outlier","Normal"))</f>
        <v>Normal</v>
      </c>
    </row>
    <row r="784" spans="1:29" x14ac:dyDescent="0.35">
      <c r="A784" t="s">
        <v>1463</v>
      </c>
      <c r="B784">
        <v>56.7</v>
      </c>
      <c r="C784">
        <v>167</v>
      </c>
      <c r="D784" t="s">
        <v>116</v>
      </c>
      <c r="E784">
        <v>29</v>
      </c>
      <c r="F784" t="s">
        <v>1464</v>
      </c>
      <c r="G784" t="s">
        <v>34</v>
      </c>
      <c r="H784" t="s">
        <v>29</v>
      </c>
      <c r="I784" t="s">
        <v>58</v>
      </c>
      <c r="J784">
        <v>0</v>
      </c>
      <c r="K784">
        <v>2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1</v>
      </c>
      <c r="S784">
        <v>0</v>
      </c>
      <c r="T784">
        <v>0</v>
      </c>
      <c r="U784">
        <v>1</v>
      </c>
      <c r="V784">
        <v>0</v>
      </c>
      <c r="W784">
        <v>2</v>
      </c>
      <c r="X784">
        <v>851.95</v>
      </c>
      <c r="Y784">
        <v>1000</v>
      </c>
      <c r="Z784">
        <f>AVERAGEIFS(Table1[FinalElo], Table1[Country], Table1[[#This Row],[Country]])</f>
        <v>980.88090909090931</v>
      </c>
      <c r="AA784" cm="1">
        <f t="array" ref="AA784">IF(COUNTIFS(Table1[Country],Table1[[#This Row],[Country]])=1,0, _xlfn.STDEV.S(IF(Table1[Country]=Table1[[#This Row],[Country]],Table1[FinalElo])))</f>
        <v>133.41794796376408</v>
      </c>
      <c r="AB784">
        <f>IF(Table1[[#This Row],[CStd]]=0,0, (Table1[[#This Row],[FinalElo]]-Table1[[#This Row],[CAvg]]) / Table1[[#This Row],[CStd]])</f>
        <v>-0.96636855129810961</v>
      </c>
      <c r="AC784" t="str">
        <f>IF(Table1[[#This Row],[CStd]]=0,"Normal", IF(ABS(Table1[[#This Row],[CZscore]])&gt;2,"Outlier","Normal"))</f>
        <v>Normal</v>
      </c>
    </row>
    <row r="785" spans="1:29" x14ac:dyDescent="0.35">
      <c r="A785" t="s">
        <v>1462</v>
      </c>
      <c r="B785">
        <v>77.099999999999994</v>
      </c>
      <c r="C785">
        <v>175</v>
      </c>
      <c r="D785" t="s">
        <v>116</v>
      </c>
      <c r="E785">
        <v>33</v>
      </c>
      <c r="F785" t="s">
        <v>1162</v>
      </c>
      <c r="G785" t="s">
        <v>852</v>
      </c>
      <c r="H785" t="s">
        <v>29</v>
      </c>
      <c r="I785" t="s">
        <v>30</v>
      </c>
      <c r="J785">
        <v>0</v>
      </c>
      <c r="K785">
        <v>1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1</v>
      </c>
      <c r="S785">
        <v>0</v>
      </c>
      <c r="T785">
        <v>0</v>
      </c>
      <c r="U785">
        <v>0</v>
      </c>
      <c r="V785">
        <v>0</v>
      </c>
      <c r="W785">
        <v>1</v>
      </c>
      <c r="X785">
        <v>900</v>
      </c>
      <c r="Y785">
        <v>1000</v>
      </c>
      <c r="Z785">
        <f>AVERAGEIFS(Table1[FinalElo], Table1[Country], Table1[[#This Row],[Country]])</f>
        <v>980.88090909090931</v>
      </c>
      <c r="AA785" cm="1">
        <f t="array" ref="AA785">IF(COUNTIFS(Table1[Country],Table1[[#This Row],[Country]])=1,0, _xlfn.STDEV.S(IF(Table1[Country]=Table1[[#This Row],[Country]],Table1[FinalElo])))</f>
        <v>133.41794796376408</v>
      </c>
      <c r="AB785">
        <f>IF(Table1[[#This Row],[CStd]]=0,0, (Table1[[#This Row],[FinalElo]]-Table1[[#This Row],[CAvg]]) / Table1[[#This Row],[CStd]])</f>
        <v>-0.60622210373731977</v>
      </c>
      <c r="AC785" t="str">
        <f>IF(Table1[[#This Row],[CStd]]=0,"Normal", IF(ABS(Table1[[#This Row],[CZscore]])&gt;2,"Outlier","Normal"))</f>
        <v>Normal</v>
      </c>
    </row>
    <row r="786" spans="1:29" x14ac:dyDescent="0.35">
      <c r="A786" t="s">
        <v>1460</v>
      </c>
      <c r="B786">
        <v>65.8</v>
      </c>
      <c r="C786">
        <v>180</v>
      </c>
      <c r="D786" t="s">
        <v>116</v>
      </c>
      <c r="E786">
        <v>34</v>
      </c>
      <c r="F786" t="s">
        <v>1461</v>
      </c>
      <c r="G786" t="s">
        <v>28</v>
      </c>
      <c r="H786" t="s">
        <v>29</v>
      </c>
      <c r="I786" t="s">
        <v>48</v>
      </c>
      <c r="J786">
        <v>0</v>
      </c>
      <c r="K786">
        <v>2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2</v>
      </c>
      <c r="V786">
        <v>0</v>
      </c>
      <c r="W786">
        <v>2</v>
      </c>
      <c r="X786">
        <v>869.8</v>
      </c>
      <c r="Y786">
        <v>1000</v>
      </c>
      <c r="Z786">
        <f>AVERAGEIFS(Table1[FinalElo], Table1[Country], Table1[[#This Row],[Country]])</f>
        <v>980.88090909090931</v>
      </c>
      <c r="AA786" cm="1">
        <f t="array" ref="AA786">IF(COUNTIFS(Table1[Country],Table1[[#This Row],[Country]])=1,0, _xlfn.STDEV.S(IF(Table1[Country]=Table1[[#This Row],[Country]],Table1[FinalElo])))</f>
        <v>133.41794796376408</v>
      </c>
      <c r="AB786">
        <f>IF(Table1[[#This Row],[CStd]]=0,0, (Table1[[#This Row],[FinalElo]]-Table1[[#This Row],[CAvg]]) / Table1[[#This Row],[CStd]])</f>
        <v>-0.83257845579425793</v>
      </c>
      <c r="AC786" t="str">
        <f>IF(Table1[[#This Row],[CStd]]=0,"Normal", IF(ABS(Table1[[#This Row],[CZscore]])&gt;2,"Outlier","Normal"))</f>
        <v>Normal</v>
      </c>
    </row>
    <row r="787" spans="1:29" x14ac:dyDescent="0.35">
      <c r="A787" t="s">
        <v>1459</v>
      </c>
      <c r="B787">
        <v>61.2</v>
      </c>
      <c r="C787">
        <v>170</v>
      </c>
      <c r="D787" t="s">
        <v>116</v>
      </c>
      <c r="E787">
        <v>24</v>
      </c>
      <c r="F787" t="s">
        <v>1164</v>
      </c>
      <c r="G787" t="s">
        <v>28</v>
      </c>
      <c r="H787" t="s">
        <v>29</v>
      </c>
      <c r="I787" t="s">
        <v>58</v>
      </c>
      <c r="J787">
        <v>0</v>
      </c>
      <c r="K787">
        <v>1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1</v>
      </c>
      <c r="S787">
        <v>0</v>
      </c>
      <c r="T787">
        <v>0</v>
      </c>
      <c r="U787">
        <v>0</v>
      </c>
      <c r="V787">
        <v>0</v>
      </c>
      <c r="W787">
        <v>1</v>
      </c>
      <c r="X787">
        <v>900</v>
      </c>
      <c r="Y787">
        <v>1000</v>
      </c>
      <c r="Z787">
        <f>AVERAGEIFS(Table1[FinalElo], Table1[Country], Table1[[#This Row],[Country]])</f>
        <v>980.88090909090931</v>
      </c>
      <c r="AA787" cm="1">
        <f t="array" ref="AA787">IF(COUNTIFS(Table1[Country],Table1[[#This Row],[Country]])=1,0, _xlfn.STDEV.S(IF(Table1[Country]=Table1[[#This Row],[Country]],Table1[FinalElo])))</f>
        <v>133.41794796376408</v>
      </c>
      <c r="AB787">
        <f>IF(Table1[[#This Row],[CStd]]=0,0, (Table1[[#This Row],[FinalElo]]-Table1[[#This Row],[CAvg]]) / Table1[[#This Row],[CStd]])</f>
        <v>-0.60622210373731977</v>
      </c>
      <c r="AC787" t="str">
        <f>IF(Table1[[#This Row],[CStd]]=0,"Normal", IF(ABS(Table1[[#This Row],[CZscore]])&gt;2,"Outlier","Normal"))</f>
        <v>Normal</v>
      </c>
    </row>
    <row r="788" spans="1:29" x14ac:dyDescent="0.35">
      <c r="A788" t="s">
        <v>1865</v>
      </c>
      <c r="B788">
        <v>56.7</v>
      </c>
      <c r="C788">
        <v>164</v>
      </c>
      <c r="D788" t="s">
        <v>116</v>
      </c>
      <c r="E788">
        <v>29</v>
      </c>
      <c r="F788" t="s">
        <v>1009</v>
      </c>
      <c r="G788" t="s">
        <v>40</v>
      </c>
      <c r="H788" t="s">
        <v>29</v>
      </c>
      <c r="I788" t="s">
        <v>58</v>
      </c>
      <c r="J788">
        <v>1</v>
      </c>
      <c r="K788">
        <v>2</v>
      </c>
      <c r="L788">
        <v>0</v>
      </c>
      <c r="M788">
        <v>0</v>
      </c>
      <c r="N788">
        <v>1</v>
      </c>
      <c r="O788">
        <v>0</v>
      </c>
      <c r="P788">
        <v>0</v>
      </c>
      <c r="Q788">
        <v>0</v>
      </c>
      <c r="R788">
        <v>0</v>
      </c>
      <c r="S788">
        <v>1</v>
      </c>
      <c r="T788">
        <v>0</v>
      </c>
      <c r="U788">
        <v>0</v>
      </c>
      <c r="V788">
        <v>0</v>
      </c>
      <c r="W788">
        <v>3</v>
      </c>
      <c r="X788">
        <v>943.34</v>
      </c>
      <c r="Y788">
        <v>1100</v>
      </c>
      <c r="Z788">
        <f>AVERAGEIFS(Table1[FinalElo], Table1[Country], Table1[[#This Row],[Country]])</f>
        <v>980.88090909090931</v>
      </c>
      <c r="AA788" cm="1">
        <f t="array" ref="AA788">IF(COUNTIFS(Table1[Country],Table1[[#This Row],[Country]])=1,0, _xlfn.STDEV.S(IF(Table1[Country]=Table1[[#This Row],[Country]],Table1[FinalElo])))</f>
        <v>133.41794796376408</v>
      </c>
      <c r="AB788">
        <f>IF(Table1[[#This Row],[CStd]]=0,0, (Table1[[#This Row],[FinalElo]]-Table1[[#This Row],[CAvg]]) / Table1[[#This Row],[CStd]])</f>
        <v>-0.28137825280527684</v>
      </c>
      <c r="AC788" t="str">
        <f>IF(Table1[[#This Row],[CStd]]=0,"Normal", IF(ABS(Table1[[#This Row],[CZscore]])&gt;2,"Outlier","Normal"))</f>
        <v>Normal</v>
      </c>
    </row>
    <row r="789" spans="1:29" x14ac:dyDescent="0.35">
      <c r="A789" t="s">
        <v>1458</v>
      </c>
      <c r="B789">
        <v>65.77</v>
      </c>
      <c r="C789">
        <v>-1</v>
      </c>
      <c r="D789" t="s">
        <v>116</v>
      </c>
      <c r="E789">
        <v>1</v>
      </c>
      <c r="F789">
        <v>0</v>
      </c>
      <c r="G789" t="s">
        <v>28</v>
      </c>
      <c r="H789" t="s">
        <v>29</v>
      </c>
      <c r="I789" t="s">
        <v>48</v>
      </c>
      <c r="J789">
        <v>1</v>
      </c>
      <c r="K789">
        <v>1</v>
      </c>
      <c r="L789">
        <v>0</v>
      </c>
      <c r="M789">
        <v>0</v>
      </c>
      <c r="N789">
        <v>0</v>
      </c>
      <c r="O789">
        <v>0</v>
      </c>
      <c r="P789">
        <v>1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1</v>
      </c>
      <c r="W789">
        <v>2</v>
      </c>
      <c r="X789">
        <v>962.05</v>
      </c>
      <c r="Y789">
        <v>1075.26</v>
      </c>
      <c r="Z789">
        <f>AVERAGEIFS(Table1[FinalElo], Table1[Country], Table1[[#This Row],[Country]])</f>
        <v>980.88090909090931</v>
      </c>
      <c r="AA789" cm="1">
        <f t="array" ref="AA789">IF(COUNTIFS(Table1[Country],Table1[[#This Row],[Country]])=1,0, _xlfn.STDEV.S(IF(Table1[Country]=Table1[[#This Row],[Country]],Table1[FinalElo])))</f>
        <v>133.41794796376408</v>
      </c>
      <c r="AB789">
        <f>IF(Table1[[#This Row],[CStd]]=0,0, (Table1[[#This Row],[FinalElo]]-Table1[[#This Row],[CAvg]]) / Table1[[#This Row],[CStd]])</f>
        <v>-0.14114224793821425</v>
      </c>
      <c r="AC789" t="str">
        <f>IF(Table1[[#This Row],[CStd]]=0,"Normal", IF(ABS(Table1[[#This Row],[CZscore]])&gt;2,"Outlier","Normal"))</f>
        <v>Normal</v>
      </c>
    </row>
    <row r="790" spans="1:29" x14ac:dyDescent="0.35">
      <c r="A790" t="s">
        <v>1456</v>
      </c>
      <c r="B790">
        <v>65.8</v>
      </c>
      <c r="C790">
        <v>172</v>
      </c>
      <c r="D790" t="s">
        <v>116</v>
      </c>
      <c r="E790">
        <v>30</v>
      </c>
      <c r="F790" t="s">
        <v>1457</v>
      </c>
      <c r="G790" t="s">
        <v>40</v>
      </c>
      <c r="H790" t="s">
        <v>29</v>
      </c>
      <c r="I790" t="s">
        <v>48</v>
      </c>
      <c r="J790">
        <v>2</v>
      </c>
      <c r="K790">
        <v>2</v>
      </c>
      <c r="L790">
        <v>0</v>
      </c>
      <c r="M790">
        <v>1</v>
      </c>
      <c r="N790">
        <v>0</v>
      </c>
      <c r="O790">
        <v>0</v>
      </c>
      <c r="P790">
        <v>1</v>
      </c>
      <c r="Q790">
        <v>0</v>
      </c>
      <c r="R790">
        <v>1</v>
      </c>
      <c r="S790">
        <v>0</v>
      </c>
      <c r="T790">
        <v>0</v>
      </c>
      <c r="U790">
        <v>0</v>
      </c>
      <c r="V790">
        <v>1</v>
      </c>
      <c r="W790">
        <v>4</v>
      </c>
      <c r="X790">
        <v>1012.51</v>
      </c>
      <c r="Y790">
        <v>1100</v>
      </c>
      <c r="Z790">
        <f>AVERAGEIFS(Table1[FinalElo], Table1[Country], Table1[[#This Row],[Country]])</f>
        <v>980.88090909090931</v>
      </c>
      <c r="AA790" cm="1">
        <f t="array" ref="AA790">IF(COUNTIFS(Table1[Country],Table1[[#This Row],[Country]])=1,0, _xlfn.STDEV.S(IF(Table1[Country]=Table1[[#This Row],[Country]],Table1[FinalElo])))</f>
        <v>133.41794796376408</v>
      </c>
      <c r="AB790">
        <f>IF(Table1[[#This Row],[CStd]]=0,0, (Table1[[#This Row],[FinalElo]]-Table1[[#This Row],[CAvg]]) / Table1[[#This Row],[CStd]])</f>
        <v>0.23706773632645772</v>
      </c>
      <c r="AC790" t="str">
        <f>IF(Table1[[#This Row],[CStd]]=0,"Normal", IF(ABS(Table1[[#This Row],[CZscore]])&gt;2,"Outlier","Normal"))</f>
        <v>Normal</v>
      </c>
    </row>
    <row r="791" spans="1:29" x14ac:dyDescent="0.35">
      <c r="A791" t="s">
        <v>1454</v>
      </c>
      <c r="B791">
        <v>52.16</v>
      </c>
      <c r="C791">
        <v>172</v>
      </c>
      <c r="D791" t="s">
        <v>116</v>
      </c>
      <c r="E791">
        <v>20</v>
      </c>
      <c r="F791" t="s">
        <v>1455</v>
      </c>
      <c r="G791" t="s">
        <v>34</v>
      </c>
      <c r="H791" t="s">
        <v>29</v>
      </c>
      <c r="I791" t="s">
        <v>36</v>
      </c>
      <c r="J791">
        <v>0</v>
      </c>
      <c r="K791">
        <v>2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1</v>
      </c>
      <c r="V791">
        <v>1</v>
      </c>
      <c r="W791">
        <v>2</v>
      </c>
      <c r="X791">
        <v>828.01</v>
      </c>
      <c r="Y791">
        <v>1000</v>
      </c>
      <c r="Z791">
        <f>AVERAGEIFS(Table1[FinalElo], Table1[Country], Table1[[#This Row],[Country]])</f>
        <v>980.88090909090931</v>
      </c>
      <c r="AA791" cm="1">
        <f t="array" ref="AA791">IF(COUNTIFS(Table1[Country],Table1[[#This Row],[Country]])=1,0, _xlfn.STDEV.S(IF(Table1[Country]=Table1[[#This Row],[Country]],Table1[FinalElo])))</f>
        <v>133.41794796376408</v>
      </c>
      <c r="AB791">
        <f>IF(Table1[[#This Row],[CStd]]=0,0, (Table1[[#This Row],[FinalElo]]-Table1[[#This Row],[CAvg]]) / Table1[[#This Row],[CStd]])</f>
        <v>-1.1458046793856296</v>
      </c>
      <c r="AC791" t="str">
        <f>IF(Table1[[#This Row],[CStd]]=0,"Normal", IF(ABS(Table1[[#This Row],[CZscore]])&gt;2,"Outlier","Normal"))</f>
        <v>Normal</v>
      </c>
    </row>
    <row r="792" spans="1:29" x14ac:dyDescent="0.35">
      <c r="A792" t="s">
        <v>1453</v>
      </c>
      <c r="B792">
        <v>65.8</v>
      </c>
      <c r="C792">
        <v>175</v>
      </c>
      <c r="D792" t="s">
        <v>116</v>
      </c>
      <c r="E792">
        <v>38</v>
      </c>
      <c r="F792" t="s">
        <v>411</v>
      </c>
      <c r="G792" t="s">
        <v>40</v>
      </c>
      <c r="H792" t="s">
        <v>29</v>
      </c>
      <c r="I792" t="s">
        <v>48</v>
      </c>
      <c r="J792">
        <v>0</v>
      </c>
      <c r="K792">
        <v>1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1</v>
      </c>
      <c r="S792">
        <v>0</v>
      </c>
      <c r="T792">
        <v>0</v>
      </c>
      <c r="U792">
        <v>0</v>
      </c>
      <c r="V792">
        <v>0</v>
      </c>
      <c r="W792">
        <v>1</v>
      </c>
      <c r="X792">
        <v>900</v>
      </c>
      <c r="Y792">
        <v>1000</v>
      </c>
      <c r="Z792">
        <f>AVERAGEIFS(Table1[FinalElo], Table1[Country], Table1[[#This Row],[Country]])</f>
        <v>980.88090909090931</v>
      </c>
      <c r="AA792" cm="1">
        <f t="array" ref="AA792">IF(COUNTIFS(Table1[Country],Table1[[#This Row],[Country]])=1,0, _xlfn.STDEV.S(IF(Table1[Country]=Table1[[#This Row],[Country]],Table1[FinalElo])))</f>
        <v>133.41794796376408</v>
      </c>
      <c r="AB792">
        <f>IF(Table1[[#This Row],[CStd]]=0,0, (Table1[[#This Row],[FinalElo]]-Table1[[#This Row],[CAvg]]) / Table1[[#This Row],[CStd]])</f>
        <v>-0.60622210373731977</v>
      </c>
      <c r="AC792" t="str">
        <f>IF(Table1[[#This Row],[CStd]]=0,"Normal", IF(ABS(Table1[[#This Row],[CZscore]])&gt;2,"Outlier","Normal"))</f>
        <v>Normal</v>
      </c>
    </row>
    <row r="793" spans="1:29" x14ac:dyDescent="0.35">
      <c r="A793" t="s">
        <v>1451</v>
      </c>
      <c r="B793">
        <v>61.2</v>
      </c>
      <c r="C793">
        <v>173</v>
      </c>
      <c r="D793" t="s">
        <v>116</v>
      </c>
      <c r="E793">
        <v>27</v>
      </c>
      <c r="F793" t="s">
        <v>1452</v>
      </c>
      <c r="G793" t="s">
        <v>34</v>
      </c>
      <c r="H793" t="s">
        <v>29</v>
      </c>
      <c r="I793" t="s">
        <v>58</v>
      </c>
      <c r="J793">
        <v>0</v>
      </c>
      <c r="K793">
        <v>1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1</v>
      </c>
      <c r="V793">
        <v>0</v>
      </c>
      <c r="W793">
        <v>1</v>
      </c>
      <c r="X793">
        <v>900</v>
      </c>
      <c r="Y793">
        <v>1000</v>
      </c>
      <c r="Z793">
        <f>AVERAGEIFS(Table1[FinalElo], Table1[Country], Table1[[#This Row],[Country]])</f>
        <v>980.88090909090931</v>
      </c>
      <c r="AA793" cm="1">
        <f t="array" ref="AA793">IF(COUNTIFS(Table1[Country],Table1[[#This Row],[Country]])=1,0, _xlfn.STDEV.S(IF(Table1[Country]=Table1[[#This Row],[Country]],Table1[FinalElo])))</f>
        <v>133.41794796376408</v>
      </c>
      <c r="AB793">
        <f>IF(Table1[[#This Row],[CStd]]=0,0, (Table1[[#This Row],[FinalElo]]-Table1[[#This Row],[CAvg]]) / Table1[[#This Row],[CStd]])</f>
        <v>-0.60622210373731977</v>
      </c>
      <c r="AC793" t="str">
        <f>IF(Table1[[#This Row],[CStd]]=0,"Normal", IF(ABS(Table1[[#This Row],[CZscore]])&gt;2,"Outlier","Normal"))</f>
        <v>Normal</v>
      </c>
    </row>
    <row r="794" spans="1:29" x14ac:dyDescent="0.35">
      <c r="A794" t="s">
        <v>1449</v>
      </c>
      <c r="B794">
        <v>70.3</v>
      </c>
      <c r="C794">
        <v>180</v>
      </c>
      <c r="D794" t="s">
        <v>116</v>
      </c>
      <c r="E794">
        <v>26</v>
      </c>
      <c r="F794" t="s">
        <v>1450</v>
      </c>
      <c r="G794" t="s">
        <v>28</v>
      </c>
      <c r="H794" t="s">
        <v>29</v>
      </c>
      <c r="I794" t="s">
        <v>48</v>
      </c>
      <c r="J794">
        <v>1</v>
      </c>
      <c r="K794">
        <v>1</v>
      </c>
      <c r="L794">
        <v>0</v>
      </c>
      <c r="M794">
        <v>0</v>
      </c>
      <c r="N794">
        <v>0</v>
      </c>
      <c r="O794">
        <v>0</v>
      </c>
      <c r="P794">
        <v>1</v>
      </c>
      <c r="Q794">
        <v>0</v>
      </c>
      <c r="R794">
        <v>1</v>
      </c>
      <c r="S794">
        <v>0</v>
      </c>
      <c r="T794">
        <v>0</v>
      </c>
      <c r="U794">
        <v>0</v>
      </c>
      <c r="V794">
        <v>0</v>
      </c>
      <c r="W794">
        <v>2</v>
      </c>
      <c r="X794">
        <v>1005.74</v>
      </c>
      <c r="Y794">
        <v>1100</v>
      </c>
      <c r="Z794">
        <f>AVERAGEIFS(Table1[FinalElo], Table1[Country], Table1[[#This Row],[Country]])</f>
        <v>980.88090909090931</v>
      </c>
      <c r="AA794" cm="1">
        <f t="array" ref="AA794">IF(COUNTIFS(Table1[Country],Table1[[#This Row],[Country]])=1,0, _xlfn.STDEV.S(IF(Table1[Country]=Table1[[#This Row],[Country]],Table1[FinalElo])))</f>
        <v>133.41794796376408</v>
      </c>
      <c r="AB794">
        <f>IF(Table1[[#This Row],[CStd]]=0,0, (Table1[[#This Row],[FinalElo]]-Table1[[#This Row],[CAvg]]) / Table1[[#This Row],[CStd]])</f>
        <v>0.18632493819978668</v>
      </c>
      <c r="AC794" t="str">
        <f>IF(Table1[[#This Row],[CStd]]=0,"Normal", IF(ABS(Table1[[#This Row],[CZscore]])&gt;2,"Outlier","Normal"))</f>
        <v>Normal</v>
      </c>
    </row>
    <row r="795" spans="1:29" x14ac:dyDescent="0.35">
      <c r="A795" t="s">
        <v>1447</v>
      </c>
      <c r="B795">
        <v>56.6</v>
      </c>
      <c r="C795">
        <v>162</v>
      </c>
      <c r="D795" t="s">
        <v>60</v>
      </c>
      <c r="E795">
        <v>32</v>
      </c>
      <c r="F795" t="s">
        <v>1448</v>
      </c>
      <c r="G795" t="s">
        <v>40</v>
      </c>
      <c r="H795" t="s">
        <v>29</v>
      </c>
      <c r="I795" t="s">
        <v>36</v>
      </c>
      <c r="J795">
        <v>9</v>
      </c>
      <c r="K795">
        <v>4</v>
      </c>
      <c r="L795">
        <v>0</v>
      </c>
      <c r="M795">
        <v>3</v>
      </c>
      <c r="N795">
        <v>1</v>
      </c>
      <c r="O795">
        <v>0</v>
      </c>
      <c r="P795">
        <v>4</v>
      </c>
      <c r="Q795">
        <v>0</v>
      </c>
      <c r="R795">
        <v>1</v>
      </c>
      <c r="S795">
        <v>1</v>
      </c>
      <c r="T795">
        <v>0</v>
      </c>
      <c r="U795">
        <v>1</v>
      </c>
      <c r="V795">
        <v>1</v>
      </c>
      <c r="W795">
        <v>13</v>
      </c>
      <c r="X795">
        <v>1179.1099999999999</v>
      </c>
      <c r="Y795">
        <v>1302.48</v>
      </c>
      <c r="Z795">
        <f>AVERAGEIFS(Table1[FinalElo], Table1[Country], Table1[[#This Row],[Country]])</f>
        <v>1034.681315789474</v>
      </c>
      <c r="AA795" cm="1">
        <f t="array" ref="AA795">IF(COUNTIFS(Table1[Country],Table1[[#This Row],[Country]])=1,0, _xlfn.STDEV.S(IF(Table1[Country]=Table1[[#This Row],[Country]],Table1[FinalElo])))</f>
        <v>152.902810204692</v>
      </c>
      <c r="AB795">
        <f>IF(Table1[[#This Row],[CStd]]=0,0, (Table1[[#This Row],[FinalElo]]-Table1[[#This Row],[CAvg]]) / Table1[[#This Row],[CStd]])</f>
        <v>0.94457835024208059</v>
      </c>
      <c r="AC795" t="str">
        <f>IF(Table1[[#This Row],[CStd]]=0,"Normal", IF(ABS(Table1[[#This Row],[CZscore]])&gt;2,"Outlier","Normal"))</f>
        <v>Normal</v>
      </c>
    </row>
    <row r="796" spans="1:29" x14ac:dyDescent="0.35">
      <c r="A796" t="s">
        <v>1446</v>
      </c>
      <c r="B796">
        <v>56.7</v>
      </c>
      <c r="C796">
        <v>165</v>
      </c>
      <c r="D796" t="s">
        <v>174</v>
      </c>
      <c r="E796">
        <v>31</v>
      </c>
      <c r="F796" t="s">
        <v>166</v>
      </c>
      <c r="G796" t="s">
        <v>40</v>
      </c>
      <c r="H796" t="s">
        <v>29</v>
      </c>
      <c r="I796" t="s">
        <v>58</v>
      </c>
      <c r="J796">
        <v>1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1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1</v>
      </c>
      <c r="X796">
        <v>1132.8800000000001</v>
      </c>
      <c r="Y796">
        <v>1132.8800000000001</v>
      </c>
      <c r="Z796">
        <f>AVERAGEIFS(Table1[FinalElo], Table1[Country], Table1[[#This Row],[Country]])</f>
        <v>980.52444444444427</v>
      </c>
      <c r="AA796" cm="1">
        <f t="array" ref="AA796">IF(COUNTIFS(Table1[Country],Table1[[#This Row],[Country]])=1,0, _xlfn.STDEV.S(IF(Table1[Country]=Table1[[#This Row],[Country]],Table1[FinalElo])))</f>
        <v>143.66034832022171</v>
      </c>
      <c r="AB796">
        <f>IF(Table1[[#This Row],[CStd]]=0,0, (Table1[[#This Row],[FinalElo]]-Table1[[#This Row],[CAvg]]) / Table1[[#This Row],[CStd]])</f>
        <v>1.060526146128731</v>
      </c>
      <c r="AC796" t="str">
        <f>IF(Table1[[#This Row],[CStd]]=0,"Normal", IF(ABS(Table1[[#This Row],[CZscore]])&gt;2,"Outlier","Normal"))</f>
        <v>Normal</v>
      </c>
    </row>
    <row r="797" spans="1:29" x14ac:dyDescent="0.35">
      <c r="A797" t="s">
        <v>1444</v>
      </c>
      <c r="B797">
        <v>50.802303999999999</v>
      </c>
      <c r="C797">
        <v>164</v>
      </c>
      <c r="D797" t="s">
        <v>71</v>
      </c>
      <c r="E797">
        <v>34</v>
      </c>
      <c r="F797" t="s">
        <v>1445</v>
      </c>
      <c r="G797" t="s">
        <v>34</v>
      </c>
      <c r="H797" t="s">
        <v>29</v>
      </c>
      <c r="I797" t="s">
        <v>55</v>
      </c>
      <c r="J797">
        <v>2</v>
      </c>
      <c r="K797">
        <v>2</v>
      </c>
      <c r="L797">
        <v>0</v>
      </c>
      <c r="M797">
        <v>0</v>
      </c>
      <c r="N797">
        <v>0</v>
      </c>
      <c r="O797">
        <v>0</v>
      </c>
      <c r="P797">
        <v>1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4</v>
      </c>
      <c r="X797">
        <v>951.56</v>
      </c>
      <c r="Y797">
        <v>1200</v>
      </c>
      <c r="Z797">
        <f>AVERAGEIFS(Table1[FinalElo], Table1[Country], Table1[[#This Row],[Country]])</f>
        <v>991.47826086956536</v>
      </c>
      <c r="AA797" cm="1">
        <f t="array" ref="AA797">IF(COUNTIFS(Table1[Country],Table1[[#This Row],[Country]])=1,0, _xlfn.STDEV.S(IF(Table1[Country]=Table1[[#This Row],[Country]],Table1[FinalElo])))</f>
        <v>164.61500422203164</v>
      </c>
      <c r="AB797">
        <f>IF(Table1[[#This Row],[CStd]]=0,0, (Table1[[#This Row],[FinalElo]]-Table1[[#This Row],[CAvg]]) / Table1[[#This Row],[CStd]])</f>
        <v>-0.24249466844300491</v>
      </c>
      <c r="AC797" t="str">
        <f>IF(Table1[[#This Row],[CStd]]=0,"Normal", IF(ABS(Table1[[#This Row],[CZscore]])&gt;2,"Outlier","Normal"))</f>
        <v>Normal</v>
      </c>
    </row>
    <row r="798" spans="1:29" x14ac:dyDescent="0.35">
      <c r="A798" t="s">
        <v>1442</v>
      </c>
      <c r="B798">
        <v>47.63</v>
      </c>
      <c r="C798">
        <v>163</v>
      </c>
      <c r="D798" t="s">
        <v>150</v>
      </c>
      <c r="E798">
        <v>35</v>
      </c>
      <c r="F798" t="s">
        <v>1443</v>
      </c>
      <c r="G798" t="s">
        <v>40</v>
      </c>
      <c r="H798" t="s">
        <v>29</v>
      </c>
      <c r="I798" t="s">
        <v>55</v>
      </c>
      <c r="J798">
        <v>0</v>
      </c>
      <c r="K798">
        <v>1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1</v>
      </c>
      <c r="V798">
        <v>0</v>
      </c>
      <c r="W798">
        <v>1</v>
      </c>
      <c r="X798">
        <v>885.05</v>
      </c>
      <c r="Y798">
        <v>1000</v>
      </c>
      <c r="Z798">
        <f>AVERAGEIFS(Table1[FinalElo], Table1[Country], Table1[[#This Row],[Country]])</f>
        <v>983.37272727272716</v>
      </c>
      <c r="AA798" cm="1">
        <f t="array" ref="AA798">IF(COUNTIFS(Table1[Country],Table1[[#This Row],[Country]])=1,0, _xlfn.STDEV.S(IF(Table1[Country]=Table1[[#This Row],[Country]],Table1[FinalElo])))</f>
        <v>121.78204088377996</v>
      </c>
      <c r="AB798">
        <f>IF(Table1[[#This Row],[CStd]]=0,0, (Table1[[#This Row],[FinalElo]]-Table1[[#This Row],[CAvg]]) / Table1[[#This Row],[CStd]])</f>
        <v>-0.80736639457832182</v>
      </c>
      <c r="AC798" t="str">
        <f>IF(Table1[[#This Row],[CStd]]=0,"Normal", IF(ABS(Table1[[#This Row],[CZscore]])&gt;2,"Outlier","Normal"))</f>
        <v>Normal</v>
      </c>
    </row>
    <row r="799" spans="1:29" x14ac:dyDescent="0.35">
      <c r="A799" t="s">
        <v>1438</v>
      </c>
      <c r="B799">
        <v>52.16</v>
      </c>
      <c r="C799">
        <v>170</v>
      </c>
      <c r="D799" t="s">
        <v>1439</v>
      </c>
      <c r="E799">
        <v>33</v>
      </c>
      <c r="F799" t="s">
        <v>1440</v>
      </c>
      <c r="G799" t="s">
        <v>54</v>
      </c>
      <c r="H799" t="s">
        <v>29</v>
      </c>
      <c r="I799" t="s">
        <v>36</v>
      </c>
      <c r="J799">
        <v>1</v>
      </c>
      <c r="K799">
        <v>0</v>
      </c>
      <c r="L799">
        <v>0</v>
      </c>
      <c r="M799">
        <v>0</v>
      </c>
      <c r="N799">
        <v>1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1</v>
      </c>
      <c r="X799">
        <v>1100</v>
      </c>
      <c r="Y799">
        <v>1100</v>
      </c>
      <c r="Z799">
        <f>AVERAGEIFS(Table1[FinalElo], Table1[Country], Table1[[#This Row],[Country]])</f>
        <v>1100</v>
      </c>
      <c r="AA799" cm="1">
        <f t="array" ref="AA799">IF(COUNTIFS(Table1[Country],Table1[[#This Row],[Country]])=1,0, _xlfn.STDEV.S(IF(Table1[Country]=Table1[[#This Row],[Country]],Table1[FinalElo])))</f>
        <v>0</v>
      </c>
      <c r="AB799">
        <f>IF(Table1[[#This Row],[CStd]]=0,0, (Table1[[#This Row],[FinalElo]]-Table1[[#This Row],[CAvg]]) / Table1[[#This Row],[CStd]])</f>
        <v>0</v>
      </c>
      <c r="AC799" t="str">
        <f>IF(Table1[[#This Row],[CStd]]=0,"Normal", IF(ABS(Table1[[#This Row],[CZscore]])&gt;2,"Outlier","Normal"))</f>
        <v>Normal</v>
      </c>
    </row>
    <row r="800" spans="1:29" x14ac:dyDescent="0.35">
      <c r="A800" t="s">
        <v>1422</v>
      </c>
      <c r="B800">
        <v>51.4</v>
      </c>
      <c r="C800">
        <v>165</v>
      </c>
      <c r="D800" t="s">
        <v>1423</v>
      </c>
      <c r="E800">
        <v>31</v>
      </c>
      <c r="F800" t="s">
        <v>1424</v>
      </c>
      <c r="G800" t="s">
        <v>34</v>
      </c>
      <c r="H800" t="s">
        <v>29</v>
      </c>
      <c r="I800" t="s">
        <v>55</v>
      </c>
      <c r="J800">
        <v>0</v>
      </c>
      <c r="K800">
        <v>1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1</v>
      </c>
      <c r="S800">
        <v>0</v>
      </c>
      <c r="T800">
        <v>0</v>
      </c>
      <c r="U800">
        <v>0</v>
      </c>
      <c r="V800">
        <v>0</v>
      </c>
      <c r="W800">
        <v>1</v>
      </c>
      <c r="X800">
        <v>900</v>
      </c>
      <c r="Y800">
        <v>1000</v>
      </c>
      <c r="Z800">
        <f>AVERAGEIFS(Table1[FinalElo], Table1[Country], Table1[[#This Row],[Country]])</f>
        <v>900</v>
      </c>
      <c r="AA800" cm="1">
        <f t="array" ref="AA800">IF(COUNTIFS(Table1[Country],Table1[[#This Row],[Country]])=1,0, _xlfn.STDEV.S(IF(Table1[Country]=Table1[[#This Row],[Country]],Table1[FinalElo])))</f>
        <v>0</v>
      </c>
      <c r="AB800">
        <f>IF(Table1[[#This Row],[CStd]]=0,0, (Table1[[#This Row],[FinalElo]]-Table1[[#This Row],[CAvg]]) / Table1[[#This Row],[CStd]])</f>
        <v>0</v>
      </c>
      <c r="AC800" t="str">
        <f>IF(Table1[[#This Row],[CStd]]=0,"Normal", IF(ABS(Table1[[#This Row],[CZscore]])&gt;2,"Outlier","Normal"))</f>
        <v>Normal</v>
      </c>
    </row>
    <row r="801" spans="1:29" x14ac:dyDescent="0.35">
      <c r="A801" t="s">
        <v>1437</v>
      </c>
      <c r="B801">
        <v>63.502879999999998</v>
      </c>
      <c r="C801">
        <v>180</v>
      </c>
      <c r="D801" t="s">
        <v>116</v>
      </c>
      <c r="E801">
        <v>19</v>
      </c>
      <c r="F801" t="s">
        <v>1011</v>
      </c>
      <c r="G801" t="s">
        <v>34</v>
      </c>
      <c r="H801" t="s">
        <v>29</v>
      </c>
      <c r="I801" t="s">
        <v>73</v>
      </c>
      <c r="J801">
        <v>0</v>
      </c>
      <c r="K801">
        <v>1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1</v>
      </c>
      <c r="V801">
        <v>0</v>
      </c>
      <c r="W801">
        <v>1</v>
      </c>
      <c r="X801">
        <v>928.7</v>
      </c>
      <c r="Y801">
        <v>1000</v>
      </c>
      <c r="Z801">
        <f>AVERAGEIFS(Table1[FinalElo], Table1[Country], Table1[[#This Row],[Country]])</f>
        <v>980.88090909090931</v>
      </c>
      <c r="AA801" cm="1">
        <f t="array" ref="AA801">IF(COUNTIFS(Table1[Country],Table1[[#This Row],[Country]])=1,0, _xlfn.STDEV.S(IF(Table1[Country]=Table1[[#This Row],[Country]],Table1[FinalElo])))</f>
        <v>133.41794796376408</v>
      </c>
      <c r="AB801">
        <f>IF(Table1[[#This Row],[CStd]]=0,0, (Table1[[#This Row],[FinalElo]]-Table1[[#This Row],[CAvg]]) / Table1[[#This Row],[CStd]])</f>
        <v>-0.39110861684877246</v>
      </c>
      <c r="AC801" t="str">
        <f>IF(Table1[[#This Row],[CStd]]=0,"Normal", IF(ABS(Table1[[#This Row],[CZscore]])&gt;2,"Outlier","Normal"))</f>
        <v>Normal</v>
      </c>
    </row>
    <row r="802" spans="1:29" x14ac:dyDescent="0.35">
      <c r="A802" t="s">
        <v>1435</v>
      </c>
      <c r="B802">
        <v>61.23</v>
      </c>
      <c r="C802">
        <v>170</v>
      </c>
      <c r="D802" t="s">
        <v>116</v>
      </c>
      <c r="E802">
        <v>29</v>
      </c>
      <c r="F802" t="s">
        <v>1436</v>
      </c>
      <c r="G802" t="s">
        <v>40</v>
      </c>
      <c r="H802" t="s">
        <v>29</v>
      </c>
      <c r="I802" t="s">
        <v>73</v>
      </c>
      <c r="J802">
        <v>0</v>
      </c>
      <c r="K802">
        <v>1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1</v>
      </c>
      <c r="S802">
        <v>0</v>
      </c>
      <c r="T802">
        <v>0</v>
      </c>
      <c r="U802">
        <v>0</v>
      </c>
      <c r="V802">
        <v>0</v>
      </c>
      <c r="W802">
        <v>1</v>
      </c>
      <c r="X802">
        <v>945.82</v>
      </c>
      <c r="Y802">
        <v>1000</v>
      </c>
      <c r="Z802">
        <f>AVERAGEIFS(Table1[FinalElo], Table1[Country], Table1[[#This Row],[Country]])</f>
        <v>980.88090909090931</v>
      </c>
      <c r="AA802" cm="1">
        <f t="array" ref="AA802">IF(COUNTIFS(Table1[Country],Table1[[#This Row],[Country]])=1,0, _xlfn.STDEV.S(IF(Table1[Country]=Table1[[#This Row],[Country]],Table1[FinalElo])))</f>
        <v>133.41794796376408</v>
      </c>
      <c r="AB802">
        <f>IF(Table1[[#This Row],[CStd]]=0,0, (Table1[[#This Row],[FinalElo]]-Table1[[#This Row],[CAvg]]) / Table1[[#This Row],[CStd]])</f>
        <v>-0.2627900490602037</v>
      </c>
      <c r="AC802" t="str">
        <f>IF(Table1[[#This Row],[CStd]]=0,"Normal", IF(ABS(Table1[[#This Row],[CZscore]])&gt;2,"Outlier","Normal"))</f>
        <v>Normal</v>
      </c>
    </row>
    <row r="803" spans="1:29" x14ac:dyDescent="0.35">
      <c r="A803" t="s">
        <v>1433</v>
      </c>
      <c r="B803">
        <v>76.8</v>
      </c>
      <c r="C803">
        <v>187</v>
      </c>
      <c r="D803" t="s">
        <v>71</v>
      </c>
      <c r="E803">
        <v>28</v>
      </c>
      <c r="F803" t="s">
        <v>1434</v>
      </c>
      <c r="G803" t="s">
        <v>34</v>
      </c>
      <c r="H803" t="s">
        <v>29</v>
      </c>
      <c r="I803" t="s">
        <v>30</v>
      </c>
      <c r="J803">
        <v>4</v>
      </c>
      <c r="K803">
        <v>5</v>
      </c>
      <c r="L803">
        <v>0</v>
      </c>
      <c r="M803">
        <v>1</v>
      </c>
      <c r="N803">
        <v>0</v>
      </c>
      <c r="O803">
        <v>0</v>
      </c>
      <c r="P803">
        <v>3</v>
      </c>
      <c r="Q803">
        <v>0</v>
      </c>
      <c r="R803">
        <v>1</v>
      </c>
      <c r="S803">
        <v>0</v>
      </c>
      <c r="T803">
        <v>0</v>
      </c>
      <c r="U803">
        <v>1</v>
      </c>
      <c r="V803">
        <v>0</v>
      </c>
      <c r="W803">
        <v>9</v>
      </c>
      <c r="X803">
        <v>910.59</v>
      </c>
      <c r="Y803">
        <v>1172.1300000000001</v>
      </c>
      <c r="Z803">
        <f>AVERAGEIFS(Table1[FinalElo], Table1[Country], Table1[[#This Row],[Country]])</f>
        <v>991.47826086956536</v>
      </c>
      <c r="AA803" cm="1">
        <f t="array" ref="AA803">IF(COUNTIFS(Table1[Country],Table1[[#This Row],[Country]])=1,0, _xlfn.STDEV.S(IF(Table1[Country]=Table1[[#This Row],[Country]],Table1[FinalElo])))</f>
        <v>164.61500422203164</v>
      </c>
      <c r="AB803">
        <f>IF(Table1[[#This Row],[CStd]]=0,0, (Table1[[#This Row],[FinalElo]]-Table1[[#This Row],[CAvg]]) / Table1[[#This Row],[CStd]])</f>
        <v>-0.49137842113385832</v>
      </c>
      <c r="AC803" t="str">
        <f>IF(Table1[[#This Row],[CStd]]=0,"Normal", IF(ABS(Table1[[#This Row],[CZscore]])&gt;2,"Outlier","Normal"))</f>
        <v>Normal</v>
      </c>
    </row>
    <row r="804" spans="1:29" x14ac:dyDescent="0.35">
      <c r="A804" t="s">
        <v>1432</v>
      </c>
      <c r="B804">
        <v>65.8</v>
      </c>
      <c r="C804">
        <v>170</v>
      </c>
      <c r="D804" t="s">
        <v>71</v>
      </c>
      <c r="E804">
        <v>39</v>
      </c>
      <c r="F804" t="s">
        <v>273</v>
      </c>
      <c r="G804" t="s">
        <v>34</v>
      </c>
      <c r="H804" t="s">
        <v>29</v>
      </c>
      <c r="I804" t="s">
        <v>48</v>
      </c>
      <c r="J804">
        <v>2</v>
      </c>
      <c r="K804">
        <v>4</v>
      </c>
      <c r="L804">
        <v>0</v>
      </c>
      <c r="M804">
        <v>1</v>
      </c>
      <c r="N804">
        <v>0</v>
      </c>
      <c r="O804">
        <v>0</v>
      </c>
      <c r="P804">
        <v>0</v>
      </c>
      <c r="Q804">
        <v>0</v>
      </c>
      <c r="R804">
        <v>2</v>
      </c>
      <c r="S804">
        <v>0</v>
      </c>
      <c r="T804">
        <v>0</v>
      </c>
      <c r="U804">
        <v>1</v>
      </c>
      <c r="V804">
        <v>0</v>
      </c>
      <c r="W804">
        <v>6</v>
      </c>
      <c r="X804">
        <v>1012.02</v>
      </c>
      <c r="Y804">
        <v>1107.49</v>
      </c>
      <c r="Z804">
        <f>AVERAGEIFS(Table1[FinalElo], Table1[Country], Table1[[#This Row],[Country]])</f>
        <v>991.47826086956536</v>
      </c>
      <c r="AA804" cm="1">
        <f t="array" ref="AA804">IF(COUNTIFS(Table1[Country],Table1[[#This Row],[Country]])=1,0, _xlfn.STDEV.S(IF(Table1[Country]=Table1[[#This Row],[Country]],Table1[FinalElo])))</f>
        <v>164.61500422203164</v>
      </c>
      <c r="AB804">
        <f>IF(Table1[[#This Row],[CStd]]=0,0, (Table1[[#This Row],[FinalElo]]-Table1[[#This Row],[CAvg]]) / Table1[[#This Row],[CStd]])</f>
        <v>0.12478655410249273</v>
      </c>
      <c r="AC804" t="str">
        <f>IF(Table1[[#This Row],[CStd]]=0,"Normal", IF(ABS(Table1[[#This Row],[CZscore]])&gt;2,"Outlier","Normal"))</f>
        <v>Normal</v>
      </c>
    </row>
    <row r="805" spans="1:29" x14ac:dyDescent="0.35">
      <c r="A805" t="s">
        <v>1430</v>
      </c>
      <c r="B805">
        <v>61.2</v>
      </c>
      <c r="C805">
        <v>170</v>
      </c>
      <c r="D805" t="s">
        <v>116</v>
      </c>
      <c r="E805">
        <v>27</v>
      </c>
      <c r="F805" t="s">
        <v>1431</v>
      </c>
      <c r="G805" t="s">
        <v>28</v>
      </c>
      <c r="H805" t="s">
        <v>29</v>
      </c>
      <c r="I805" t="s">
        <v>58</v>
      </c>
      <c r="J805">
        <v>3</v>
      </c>
      <c r="K805">
        <v>0</v>
      </c>
      <c r="L805">
        <v>0</v>
      </c>
      <c r="M805">
        <v>2</v>
      </c>
      <c r="N805">
        <v>0</v>
      </c>
      <c r="O805">
        <v>0</v>
      </c>
      <c r="P805">
        <v>1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3</v>
      </c>
      <c r="X805">
        <v>1226.17</v>
      </c>
      <c r="Y805">
        <v>1226.17</v>
      </c>
      <c r="Z805">
        <f>AVERAGEIFS(Table1[FinalElo], Table1[Country], Table1[[#This Row],[Country]])</f>
        <v>980.88090909090931</v>
      </c>
      <c r="AA805" cm="1">
        <f t="array" ref="AA805">IF(COUNTIFS(Table1[Country],Table1[[#This Row],[Country]])=1,0, _xlfn.STDEV.S(IF(Table1[Country]=Table1[[#This Row],[Country]],Table1[FinalElo])))</f>
        <v>133.41794796376408</v>
      </c>
      <c r="AB805">
        <f>IF(Table1[[#This Row],[CStd]]=0,0, (Table1[[#This Row],[FinalElo]]-Table1[[#This Row],[CAvg]]) / Table1[[#This Row],[CStd]])</f>
        <v>1.8385014509120658</v>
      </c>
      <c r="AC805" t="str">
        <f>IF(Table1[[#This Row],[CStd]]=0,"Normal", IF(ABS(Table1[[#This Row],[CZscore]])&gt;2,"Outlier","Normal"))</f>
        <v>Normal</v>
      </c>
    </row>
    <row r="806" spans="1:29" x14ac:dyDescent="0.35">
      <c r="A806" t="s">
        <v>1428</v>
      </c>
      <c r="B806">
        <v>61.2</v>
      </c>
      <c r="C806">
        <v>170</v>
      </c>
      <c r="D806" t="s">
        <v>116</v>
      </c>
      <c r="E806">
        <v>38</v>
      </c>
      <c r="F806" t="s">
        <v>1429</v>
      </c>
      <c r="G806" t="s">
        <v>40</v>
      </c>
      <c r="H806" t="s">
        <v>29</v>
      </c>
      <c r="I806" t="s">
        <v>58</v>
      </c>
      <c r="J806">
        <v>0</v>
      </c>
      <c r="K806">
        <v>2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1</v>
      </c>
      <c r="S806">
        <v>0</v>
      </c>
      <c r="T806">
        <v>0</v>
      </c>
      <c r="U806">
        <v>1</v>
      </c>
      <c r="V806">
        <v>0</v>
      </c>
      <c r="W806">
        <v>2</v>
      </c>
      <c r="X806">
        <v>808.04</v>
      </c>
      <c r="Y806">
        <v>1000</v>
      </c>
      <c r="Z806">
        <f>AVERAGEIFS(Table1[FinalElo], Table1[Country], Table1[[#This Row],[Country]])</f>
        <v>980.88090909090931</v>
      </c>
      <c r="AA806" cm="1">
        <f t="array" ref="AA806">IF(COUNTIFS(Table1[Country],Table1[[#This Row],[Country]])=1,0, _xlfn.STDEV.S(IF(Table1[Country]=Table1[[#This Row],[Country]],Table1[FinalElo])))</f>
        <v>133.41794796376408</v>
      </c>
      <c r="AB806">
        <f>IF(Table1[[#This Row],[CStd]]=0,0, (Table1[[#This Row],[FinalElo]]-Table1[[#This Row],[CAvg]]) / Table1[[#This Row],[CStd]])</f>
        <v>-1.2954846909941415</v>
      </c>
      <c r="AC806" t="str">
        <f>IF(Table1[[#This Row],[CStd]]=0,"Normal", IF(ABS(Table1[[#This Row],[CZscore]])&gt;2,"Outlier","Normal"))</f>
        <v>Normal</v>
      </c>
    </row>
    <row r="807" spans="1:29" x14ac:dyDescent="0.35">
      <c r="A807" t="s">
        <v>1427</v>
      </c>
      <c r="B807">
        <v>56.7</v>
      </c>
      <c r="C807">
        <v>172</v>
      </c>
      <c r="D807" t="s">
        <v>116</v>
      </c>
      <c r="E807">
        <v>25</v>
      </c>
      <c r="F807" t="s">
        <v>1013</v>
      </c>
      <c r="G807" t="s">
        <v>40</v>
      </c>
      <c r="H807" t="s">
        <v>29</v>
      </c>
      <c r="I807" t="s">
        <v>58</v>
      </c>
      <c r="J807">
        <v>3</v>
      </c>
      <c r="K807">
        <v>2</v>
      </c>
      <c r="L807">
        <v>0</v>
      </c>
      <c r="M807">
        <v>1</v>
      </c>
      <c r="N807">
        <v>2</v>
      </c>
      <c r="O807">
        <v>0</v>
      </c>
      <c r="P807">
        <v>0</v>
      </c>
      <c r="Q807">
        <v>0</v>
      </c>
      <c r="R807">
        <v>0</v>
      </c>
      <c r="S807">
        <v>2</v>
      </c>
      <c r="T807">
        <v>0</v>
      </c>
      <c r="U807">
        <v>0</v>
      </c>
      <c r="V807">
        <v>0</v>
      </c>
      <c r="W807">
        <v>5</v>
      </c>
      <c r="X807">
        <v>1091.74</v>
      </c>
      <c r="Y807">
        <v>1128.01</v>
      </c>
      <c r="Z807">
        <f>AVERAGEIFS(Table1[FinalElo], Table1[Country], Table1[[#This Row],[Country]])</f>
        <v>980.88090909090931</v>
      </c>
      <c r="AA807" cm="1">
        <f t="array" ref="AA807">IF(COUNTIFS(Table1[Country],Table1[[#This Row],[Country]])=1,0, _xlfn.STDEV.S(IF(Table1[Country]=Table1[[#This Row],[Country]],Table1[FinalElo])))</f>
        <v>133.41794796376408</v>
      </c>
      <c r="AB807">
        <f>IF(Table1[[#This Row],[CStd]]=0,0, (Table1[[#This Row],[FinalElo]]-Table1[[#This Row],[CAvg]]) / Table1[[#This Row],[CStd]])</f>
        <v>0.83091587452086801</v>
      </c>
      <c r="AC807" t="str">
        <f>IF(Table1[[#This Row],[CStd]]=0,"Normal", IF(ABS(Table1[[#This Row],[CZscore]])&gt;2,"Outlier","Normal"))</f>
        <v>Normal</v>
      </c>
    </row>
    <row r="808" spans="1:29" x14ac:dyDescent="0.35">
      <c r="A808" t="s">
        <v>1425</v>
      </c>
      <c r="B808">
        <v>70.3</v>
      </c>
      <c r="C808">
        <v>171</v>
      </c>
      <c r="D808" t="s">
        <v>116</v>
      </c>
      <c r="E808">
        <v>37</v>
      </c>
      <c r="F808" t="s">
        <v>1426</v>
      </c>
      <c r="G808" t="s">
        <v>40</v>
      </c>
      <c r="H808" t="s">
        <v>29</v>
      </c>
      <c r="I808" t="s">
        <v>48</v>
      </c>
      <c r="J808">
        <v>1</v>
      </c>
      <c r="K808">
        <v>2</v>
      </c>
      <c r="L808">
        <v>0</v>
      </c>
      <c r="M808">
        <v>1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1</v>
      </c>
      <c r="T808">
        <v>0</v>
      </c>
      <c r="U808">
        <v>1</v>
      </c>
      <c r="V808">
        <v>0</v>
      </c>
      <c r="W808">
        <v>3</v>
      </c>
      <c r="X808">
        <v>857.06</v>
      </c>
      <c r="Y808">
        <v>1100</v>
      </c>
      <c r="Z808">
        <f>AVERAGEIFS(Table1[FinalElo], Table1[Country], Table1[[#This Row],[Country]])</f>
        <v>980.88090909090931</v>
      </c>
      <c r="AA808" cm="1">
        <f t="array" ref="AA808">IF(COUNTIFS(Table1[Country],Table1[[#This Row],[Country]])=1,0, _xlfn.STDEV.S(IF(Table1[Country]=Table1[[#This Row],[Country]],Table1[FinalElo])))</f>
        <v>133.41794796376408</v>
      </c>
      <c r="AB808">
        <f>IF(Table1[[#This Row],[CStd]]=0,0, (Table1[[#This Row],[FinalElo]]-Table1[[#This Row],[CAvg]]) / Table1[[#This Row],[CStd]])</f>
        <v>-0.92806785729112518</v>
      </c>
      <c r="AC808" t="str">
        <f>IF(Table1[[#This Row],[CStd]]=0,"Normal", IF(ABS(Table1[[#This Row],[CZscore]])&gt;2,"Outlier","Normal"))</f>
        <v>Normal</v>
      </c>
    </row>
    <row r="809" spans="1:29" x14ac:dyDescent="0.35">
      <c r="A809" t="s">
        <v>1420</v>
      </c>
      <c r="B809">
        <v>65.77</v>
      </c>
      <c r="C809">
        <v>175</v>
      </c>
      <c r="D809" t="s">
        <v>32</v>
      </c>
      <c r="E809">
        <v>33</v>
      </c>
      <c r="F809" t="s">
        <v>1421</v>
      </c>
      <c r="G809" t="s">
        <v>40</v>
      </c>
      <c r="H809" t="s">
        <v>29</v>
      </c>
      <c r="I809" t="s">
        <v>48</v>
      </c>
      <c r="J809">
        <v>0</v>
      </c>
      <c r="K809">
        <v>2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1</v>
      </c>
      <c r="S809">
        <v>0</v>
      </c>
      <c r="T809">
        <v>0</v>
      </c>
      <c r="U809">
        <v>1</v>
      </c>
      <c r="V809">
        <v>0</v>
      </c>
      <c r="W809">
        <v>2</v>
      </c>
      <c r="X809">
        <v>840.61</v>
      </c>
      <c r="Y809">
        <v>1000</v>
      </c>
      <c r="Z809">
        <f>AVERAGEIFS(Table1[FinalElo], Table1[Country], Table1[[#This Row],[Country]])</f>
        <v>1025.3786885245902</v>
      </c>
      <c r="AA809" cm="1">
        <f t="array" ref="AA809">IF(COUNTIFS(Table1[Country],Table1[[#This Row],[Country]])=1,0, _xlfn.STDEV.S(IF(Table1[Country]=Table1[[#This Row],[Country]],Table1[FinalElo])))</f>
        <v>144.71595558743479</v>
      </c>
      <c r="AB809">
        <f>IF(Table1[[#This Row],[CStd]]=0,0, (Table1[[#This Row],[FinalElo]]-Table1[[#This Row],[CAvg]]) / Table1[[#This Row],[CStd]])</f>
        <v>-1.2767679125261087</v>
      </c>
      <c r="AC809" t="str">
        <f>IF(Table1[[#This Row],[CStd]]=0,"Normal", IF(ABS(Table1[[#This Row],[CZscore]])&gt;2,"Outlier","Normal"))</f>
        <v>Normal</v>
      </c>
    </row>
    <row r="810" spans="1:29" x14ac:dyDescent="0.35">
      <c r="A810" t="s">
        <v>1418</v>
      </c>
      <c r="B810">
        <v>61.23</v>
      </c>
      <c r="C810">
        <v>180</v>
      </c>
      <c r="D810" t="s">
        <v>226</v>
      </c>
      <c r="E810">
        <v>21</v>
      </c>
      <c r="F810" t="s">
        <v>1419</v>
      </c>
      <c r="G810" t="s">
        <v>34</v>
      </c>
      <c r="H810" t="s">
        <v>29</v>
      </c>
      <c r="I810" t="s">
        <v>73</v>
      </c>
      <c r="J810">
        <v>1</v>
      </c>
      <c r="K810">
        <v>2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1</v>
      </c>
      <c r="S810">
        <v>0</v>
      </c>
      <c r="T810">
        <v>0</v>
      </c>
      <c r="U810">
        <v>1</v>
      </c>
      <c r="V810">
        <v>0</v>
      </c>
      <c r="W810">
        <v>3</v>
      </c>
      <c r="X810">
        <v>881.88</v>
      </c>
      <c r="Y810">
        <v>1009.15</v>
      </c>
      <c r="Z810">
        <f>AVERAGEIFS(Table1[FinalElo], Table1[Country], Table1[[#This Row],[Country]])</f>
        <v>961.00176470588235</v>
      </c>
      <c r="AA810" cm="1">
        <f t="array" ref="AA810">IF(COUNTIFS(Table1[Country],Table1[[#This Row],[Country]])=1,0, _xlfn.STDEV.S(IF(Table1[Country]=Table1[[#This Row],[Country]],Table1[FinalElo])))</f>
        <v>117.15877454523515</v>
      </c>
      <c r="AB810">
        <f>IF(Table1[[#This Row],[CStd]]=0,0, (Table1[[#This Row],[FinalElo]]-Table1[[#This Row],[CAvg]]) / Table1[[#This Row],[CStd]])</f>
        <v>-0.67533793361190664</v>
      </c>
      <c r="AC810" t="str">
        <f>IF(Table1[[#This Row],[CStd]]=0,"Normal", IF(ABS(Table1[[#This Row],[CZscore]])&gt;2,"Outlier","Normal"))</f>
        <v>Normal</v>
      </c>
    </row>
    <row r="811" spans="1:29" x14ac:dyDescent="0.35">
      <c r="A811" t="s">
        <v>1417</v>
      </c>
      <c r="B811">
        <v>52.16</v>
      </c>
      <c r="C811">
        <v>166</v>
      </c>
      <c r="D811" t="s">
        <v>226</v>
      </c>
      <c r="E811">
        <v>28</v>
      </c>
      <c r="F811" t="s">
        <v>133</v>
      </c>
      <c r="G811" t="s">
        <v>34</v>
      </c>
      <c r="H811" t="s">
        <v>29</v>
      </c>
      <c r="I811" t="s">
        <v>36</v>
      </c>
      <c r="J811">
        <v>0</v>
      </c>
      <c r="K811">
        <v>1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1</v>
      </c>
      <c r="S811">
        <v>0</v>
      </c>
      <c r="T811">
        <v>0</v>
      </c>
      <c r="U811">
        <v>0</v>
      </c>
      <c r="V811">
        <v>0</v>
      </c>
      <c r="W811">
        <v>1</v>
      </c>
      <c r="X811">
        <v>935.26</v>
      </c>
      <c r="Y811">
        <v>1000</v>
      </c>
      <c r="Z811">
        <f>AVERAGEIFS(Table1[FinalElo], Table1[Country], Table1[[#This Row],[Country]])</f>
        <v>961.00176470588235</v>
      </c>
      <c r="AA811" cm="1">
        <f t="array" ref="AA811">IF(COUNTIFS(Table1[Country],Table1[[#This Row],[Country]])=1,0, _xlfn.STDEV.S(IF(Table1[Country]=Table1[[#This Row],[Country]],Table1[FinalElo])))</f>
        <v>117.15877454523515</v>
      </c>
      <c r="AB811">
        <f>IF(Table1[[#This Row],[CStd]]=0,0, (Table1[[#This Row],[FinalElo]]-Table1[[#This Row],[CAvg]]) / Table1[[#This Row],[CStd]])</f>
        <v>-0.21971691668679441</v>
      </c>
      <c r="AC811" t="str">
        <f>IF(Table1[[#This Row],[CStd]]=0,"Normal", IF(ABS(Table1[[#This Row],[CZscore]])&gt;2,"Outlier","Normal"))</f>
        <v>Normal</v>
      </c>
    </row>
    <row r="812" spans="1:29" x14ac:dyDescent="0.35">
      <c r="A812" t="s">
        <v>1416</v>
      </c>
      <c r="B812">
        <v>57.152591999999999</v>
      </c>
      <c r="C812">
        <v>175</v>
      </c>
      <c r="D812" t="s">
        <v>89</v>
      </c>
      <c r="E812">
        <v>20</v>
      </c>
      <c r="F812" t="s">
        <v>1393</v>
      </c>
      <c r="G812" t="s">
        <v>34</v>
      </c>
      <c r="H812" t="s">
        <v>29</v>
      </c>
      <c r="I812" t="s">
        <v>58</v>
      </c>
      <c r="J812">
        <v>1</v>
      </c>
      <c r="K812">
        <v>1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1</v>
      </c>
      <c r="V812">
        <v>0</v>
      </c>
      <c r="W812">
        <v>2</v>
      </c>
      <c r="X812">
        <v>992.4</v>
      </c>
      <c r="Y812">
        <v>1100</v>
      </c>
      <c r="Z812">
        <f>AVERAGEIFS(Table1[FinalElo], Table1[Country], Table1[[#This Row],[Country]])</f>
        <v>1012.0629025423733</v>
      </c>
      <c r="AA812" cm="1">
        <f t="array" ref="AA812">IF(COUNTIFS(Table1[Country],Table1[[#This Row],[Country]])=1,0, _xlfn.STDEV.S(IF(Table1[Country]=Table1[[#This Row],[Country]],Table1[FinalElo])))</f>
        <v>148.42180446198614</v>
      </c>
      <c r="AB812">
        <f>IF(Table1[[#This Row],[CStd]]=0,0, (Table1[[#This Row],[FinalElo]]-Table1[[#This Row],[CAvg]]) / Table1[[#This Row],[CStd]])</f>
        <v>-0.13247987796435531</v>
      </c>
      <c r="AC812" t="str">
        <f>IF(Table1[[#This Row],[CStd]]=0,"Normal", IF(ABS(Table1[[#This Row],[CZscore]])&gt;2,"Outlier","Normal"))</f>
        <v>Normal</v>
      </c>
    </row>
    <row r="813" spans="1:29" x14ac:dyDescent="0.35">
      <c r="A813" t="s">
        <v>1412</v>
      </c>
      <c r="B813">
        <v>56.1</v>
      </c>
      <c r="C813">
        <v>163</v>
      </c>
      <c r="D813" t="s">
        <v>513</v>
      </c>
      <c r="E813">
        <v>26</v>
      </c>
      <c r="F813" t="s">
        <v>1413</v>
      </c>
      <c r="G813" t="s">
        <v>40</v>
      </c>
      <c r="H813" t="s">
        <v>29</v>
      </c>
      <c r="I813" t="s">
        <v>36</v>
      </c>
      <c r="J813">
        <v>3</v>
      </c>
      <c r="K813">
        <v>0</v>
      </c>
      <c r="L813">
        <v>0</v>
      </c>
      <c r="M813">
        <v>2</v>
      </c>
      <c r="N813">
        <v>0</v>
      </c>
      <c r="O813">
        <v>0</v>
      </c>
      <c r="P813">
        <v>1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3</v>
      </c>
      <c r="X813">
        <v>1271.8599999999999</v>
      </c>
      <c r="Y813">
        <v>1271.8599999999999</v>
      </c>
      <c r="Z813">
        <f>AVERAGEIFS(Table1[FinalElo], Table1[Country], Table1[[#This Row],[Country]])</f>
        <v>991.92857142857144</v>
      </c>
      <c r="AA813" cm="1">
        <f t="array" ref="AA813">IF(COUNTIFS(Table1[Country],Table1[[#This Row],[Country]])=1,0, _xlfn.STDEV.S(IF(Table1[Country]=Table1[[#This Row],[Country]],Table1[FinalElo])))</f>
        <v>154.84924955929111</v>
      </c>
      <c r="AB813">
        <f>IF(Table1[[#This Row],[CStd]]=0,0, (Table1[[#This Row],[FinalElo]]-Table1[[#This Row],[CAvg]]) / Table1[[#This Row],[CStd]])</f>
        <v>1.807767421334799</v>
      </c>
      <c r="AC813" t="str">
        <f>IF(Table1[[#This Row],[CStd]]=0,"Normal", IF(ABS(Table1[[#This Row],[CZscore]])&gt;2,"Outlier","Normal"))</f>
        <v>Normal</v>
      </c>
    </row>
    <row r="814" spans="1:29" x14ac:dyDescent="0.35">
      <c r="A814" t="s">
        <v>1410</v>
      </c>
      <c r="B814">
        <v>61.1</v>
      </c>
      <c r="C814">
        <v>172</v>
      </c>
      <c r="D814" t="s">
        <v>513</v>
      </c>
      <c r="E814">
        <v>30</v>
      </c>
      <c r="F814" t="s">
        <v>1411</v>
      </c>
      <c r="G814" t="s">
        <v>40</v>
      </c>
      <c r="H814" t="s">
        <v>29</v>
      </c>
      <c r="I814" t="s">
        <v>58</v>
      </c>
      <c r="J814">
        <v>0</v>
      </c>
      <c r="K814">
        <v>1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1</v>
      </c>
      <c r="S814">
        <v>0</v>
      </c>
      <c r="T814">
        <v>0</v>
      </c>
      <c r="U814">
        <v>0</v>
      </c>
      <c r="V814">
        <v>0</v>
      </c>
      <c r="W814">
        <v>1</v>
      </c>
      <c r="X814">
        <v>900</v>
      </c>
      <c r="Y814">
        <v>1000</v>
      </c>
      <c r="Z814">
        <f>AVERAGEIFS(Table1[FinalElo], Table1[Country], Table1[[#This Row],[Country]])</f>
        <v>991.92857142857144</v>
      </c>
      <c r="AA814" cm="1">
        <f t="array" ref="AA814">IF(COUNTIFS(Table1[Country],Table1[[#This Row],[Country]])=1,0, _xlfn.STDEV.S(IF(Table1[Country]=Table1[[#This Row],[Country]],Table1[FinalElo])))</f>
        <v>154.84924955929111</v>
      </c>
      <c r="AB814">
        <f>IF(Table1[[#This Row],[CStd]]=0,0, (Table1[[#This Row],[FinalElo]]-Table1[[#This Row],[CAvg]]) / Table1[[#This Row],[CStd]])</f>
        <v>-0.59366494632815381</v>
      </c>
      <c r="AC814" t="str">
        <f>IF(Table1[[#This Row],[CStd]]=0,"Normal", IF(ABS(Table1[[#This Row],[CZscore]])&gt;2,"Outlier","Normal"))</f>
        <v>Normal</v>
      </c>
    </row>
    <row r="815" spans="1:29" x14ac:dyDescent="0.35">
      <c r="A815" t="s">
        <v>1409</v>
      </c>
      <c r="B815">
        <v>61.23</v>
      </c>
      <c r="C815">
        <v>178</v>
      </c>
      <c r="D815" t="s">
        <v>513</v>
      </c>
      <c r="E815">
        <v>26</v>
      </c>
      <c r="F815" t="s">
        <v>110</v>
      </c>
      <c r="G815" t="s">
        <v>40</v>
      </c>
      <c r="H815" t="s">
        <v>29</v>
      </c>
      <c r="I815" t="s">
        <v>73</v>
      </c>
      <c r="J815">
        <v>0</v>
      </c>
      <c r="K815">
        <v>1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1</v>
      </c>
      <c r="X815">
        <v>928.01</v>
      </c>
      <c r="Y815">
        <v>1000</v>
      </c>
      <c r="Z815">
        <f>AVERAGEIFS(Table1[FinalElo], Table1[Country], Table1[[#This Row],[Country]])</f>
        <v>991.92857142857144</v>
      </c>
      <c r="AA815" cm="1">
        <f t="array" ref="AA815">IF(COUNTIFS(Table1[Country],Table1[[#This Row],[Country]])=1,0, _xlfn.STDEV.S(IF(Table1[Country]=Table1[[#This Row],[Country]],Table1[FinalElo])))</f>
        <v>154.84924955929111</v>
      </c>
      <c r="AB815">
        <f>IF(Table1[[#This Row],[CStd]]=0,0, (Table1[[#This Row],[FinalElo]]-Table1[[#This Row],[CAvg]]) / Table1[[#This Row],[CStd]])</f>
        <v>-0.41277934255727411</v>
      </c>
      <c r="AC815" t="str">
        <f>IF(Table1[[#This Row],[CStd]]=0,"Normal", IF(ABS(Table1[[#This Row],[CZscore]])&gt;2,"Outlier","Normal"))</f>
        <v>Normal</v>
      </c>
    </row>
    <row r="816" spans="1:29" x14ac:dyDescent="0.35">
      <c r="A816" t="s">
        <v>1407</v>
      </c>
      <c r="B816">
        <v>61.1</v>
      </c>
      <c r="C816">
        <v>169</v>
      </c>
      <c r="D816" t="s">
        <v>723</v>
      </c>
      <c r="E816">
        <v>26</v>
      </c>
      <c r="F816" t="s">
        <v>1408</v>
      </c>
      <c r="G816" t="s">
        <v>28</v>
      </c>
      <c r="H816" t="s">
        <v>29</v>
      </c>
      <c r="I816" t="s">
        <v>58</v>
      </c>
      <c r="J816">
        <v>0</v>
      </c>
      <c r="K816">
        <v>1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1</v>
      </c>
      <c r="S816">
        <v>0</v>
      </c>
      <c r="T816">
        <v>0</v>
      </c>
      <c r="U816">
        <v>0</v>
      </c>
      <c r="V816">
        <v>0</v>
      </c>
      <c r="W816">
        <v>1</v>
      </c>
      <c r="X816">
        <v>928.01</v>
      </c>
      <c r="Y816">
        <v>1000</v>
      </c>
      <c r="Z816">
        <f>AVERAGEIFS(Table1[FinalElo], Table1[Country], Table1[[#This Row],[Country]])</f>
        <v>969.45666666666659</v>
      </c>
      <c r="AA816" cm="1">
        <f t="array" ref="AA816">IF(COUNTIFS(Table1[Country],Table1[[#This Row],[Country]])=1,0, _xlfn.STDEV.S(IF(Table1[Country]=Table1[[#This Row],[Country]],Table1[FinalElo])))</f>
        <v>71.282681674209385</v>
      </c>
      <c r="AB816">
        <f>IF(Table1[[#This Row],[CStd]]=0,0, (Table1[[#This Row],[FinalElo]]-Table1[[#This Row],[CAvg]]) / Table1[[#This Row],[CStd]])</f>
        <v>-0.58144090111669189</v>
      </c>
      <c r="AC816" t="str">
        <f>IF(Table1[[#This Row],[CStd]]=0,"Normal", IF(ABS(Table1[[#This Row],[CZscore]])&gt;2,"Outlier","Normal"))</f>
        <v>Normal</v>
      </c>
    </row>
    <row r="817" spans="1:29" x14ac:dyDescent="0.35">
      <c r="A817" t="s">
        <v>1406</v>
      </c>
      <c r="B817">
        <v>65.3</v>
      </c>
      <c r="C817">
        <v>168</v>
      </c>
      <c r="D817" t="s">
        <v>32</v>
      </c>
      <c r="E817">
        <v>41</v>
      </c>
      <c r="F817" t="s">
        <v>90</v>
      </c>
      <c r="G817" t="s">
        <v>40</v>
      </c>
      <c r="H817" t="s">
        <v>29</v>
      </c>
      <c r="I817" t="s">
        <v>73</v>
      </c>
      <c r="J817">
        <v>7</v>
      </c>
      <c r="K817">
        <v>4</v>
      </c>
      <c r="L817">
        <v>0</v>
      </c>
      <c r="M817">
        <v>1</v>
      </c>
      <c r="N817">
        <v>2</v>
      </c>
      <c r="O817">
        <v>0</v>
      </c>
      <c r="P817">
        <v>4</v>
      </c>
      <c r="Q817">
        <v>0</v>
      </c>
      <c r="R817">
        <v>2</v>
      </c>
      <c r="S817">
        <v>0</v>
      </c>
      <c r="T817">
        <v>0</v>
      </c>
      <c r="U817">
        <v>1</v>
      </c>
      <c r="V817">
        <v>0</v>
      </c>
      <c r="W817">
        <v>11</v>
      </c>
      <c r="X817">
        <v>926.87</v>
      </c>
      <c r="Y817">
        <v>1310.6199999999999</v>
      </c>
      <c r="Z817">
        <f>AVERAGEIFS(Table1[FinalElo], Table1[Country], Table1[[#This Row],[Country]])</f>
        <v>1025.3786885245902</v>
      </c>
      <c r="AA817" cm="1">
        <f t="array" ref="AA817">IF(COUNTIFS(Table1[Country],Table1[[#This Row],[Country]])=1,0, _xlfn.STDEV.S(IF(Table1[Country]=Table1[[#This Row],[Country]],Table1[FinalElo])))</f>
        <v>144.71595558743479</v>
      </c>
      <c r="AB817">
        <f>IF(Table1[[#This Row],[CStd]]=0,0, (Table1[[#This Row],[FinalElo]]-Table1[[#This Row],[CAvg]]) / Table1[[#This Row],[CStd]])</f>
        <v>-0.68070371456085221</v>
      </c>
      <c r="AC817" t="str">
        <f>IF(Table1[[#This Row],[CStd]]=0,"Normal", IF(ABS(Table1[[#This Row],[CZscore]])&gt;2,"Outlier","Normal"))</f>
        <v>Normal</v>
      </c>
    </row>
    <row r="818" spans="1:29" x14ac:dyDescent="0.35">
      <c r="A818" t="s">
        <v>1405</v>
      </c>
      <c r="B818">
        <v>61.1</v>
      </c>
      <c r="C818">
        <v>170</v>
      </c>
      <c r="D818" t="s">
        <v>723</v>
      </c>
      <c r="E818">
        <v>22</v>
      </c>
      <c r="F818" t="s">
        <v>429</v>
      </c>
      <c r="G818" t="s">
        <v>40</v>
      </c>
      <c r="H818" t="s">
        <v>29</v>
      </c>
      <c r="I818" t="s">
        <v>58</v>
      </c>
      <c r="J818">
        <v>1</v>
      </c>
      <c r="K818">
        <v>1</v>
      </c>
      <c r="L818">
        <v>0</v>
      </c>
      <c r="M818">
        <v>1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1</v>
      </c>
      <c r="T818">
        <v>0</v>
      </c>
      <c r="U818">
        <v>0</v>
      </c>
      <c r="V818">
        <v>0</v>
      </c>
      <c r="W818">
        <v>2</v>
      </c>
      <c r="X818">
        <v>971.99</v>
      </c>
      <c r="Y818">
        <v>1100</v>
      </c>
      <c r="Z818">
        <f>AVERAGEIFS(Table1[FinalElo], Table1[Country], Table1[[#This Row],[Country]])</f>
        <v>969.45666666666659</v>
      </c>
      <c r="AA818" cm="1">
        <f t="array" ref="AA818">IF(COUNTIFS(Table1[Country],Table1[[#This Row],[Country]])=1,0, _xlfn.STDEV.S(IF(Table1[Country]=Table1[[#This Row],[Country]],Table1[FinalElo])))</f>
        <v>71.282681674209385</v>
      </c>
      <c r="AB818">
        <f>IF(Table1[[#This Row],[CStd]]=0,0, (Table1[[#This Row],[FinalElo]]-Table1[[#This Row],[CAvg]]) / Table1[[#This Row],[CStd]])</f>
        <v>3.5539254049276263E-2</v>
      </c>
      <c r="AC818" t="str">
        <f>IF(Table1[[#This Row],[CStd]]=0,"Normal", IF(ABS(Table1[[#This Row],[CZscore]])&gt;2,"Outlier","Normal"))</f>
        <v>Normal</v>
      </c>
    </row>
    <row r="819" spans="1:29" x14ac:dyDescent="0.35">
      <c r="A819" t="s">
        <v>1403</v>
      </c>
      <c r="B819">
        <v>93</v>
      </c>
      <c r="C819">
        <v>184</v>
      </c>
      <c r="D819" t="s">
        <v>32</v>
      </c>
      <c r="E819">
        <v>38</v>
      </c>
      <c r="F819" t="s">
        <v>1404</v>
      </c>
      <c r="G819" t="s">
        <v>40</v>
      </c>
      <c r="H819" t="s">
        <v>29</v>
      </c>
      <c r="I819" t="s">
        <v>297</v>
      </c>
      <c r="J819">
        <v>6</v>
      </c>
      <c r="K819">
        <v>4</v>
      </c>
      <c r="L819">
        <v>0</v>
      </c>
      <c r="M819">
        <v>3</v>
      </c>
      <c r="N819">
        <v>0</v>
      </c>
      <c r="O819">
        <v>0</v>
      </c>
      <c r="P819">
        <v>1</v>
      </c>
      <c r="Q819">
        <v>0</v>
      </c>
      <c r="R819">
        <v>0</v>
      </c>
      <c r="S819">
        <v>0</v>
      </c>
      <c r="T819">
        <v>0</v>
      </c>
      <c r="U819">
        <v>1</v>
      </c>
      <c r="V819">
        <v>1</v>
      </c>
      <c r="W819">
        <v>10</v>
      </c>
      <c r="X819">
        <v>973.92</v>
      </c>
      <c r="Y819">
        <v>1226.17</v>
      </c>
      <c r="Z819">
        <f>AVERAGEIFS(Table1[FinalElo], Table1[Country], Table1[[#This Row],[Country]])</f>
        <v>1025.3786885245902</v>
      </c>
      <c r="AA819" cm="1">
        <f t="array" ref="AA819">IF(COUNTIFS(Table1[Country],Table1[[#This Row],[Country]])=1,0, _xlfn.STDEV.S(IF(Table1[Country]=Table1[[#This Row],[Country]],Table1[FinalElo])))</f>
        <v>144.71595558743479</v>
      </c>
      <c r="AB819">
        <f>IF(Table1[[#This Row],[CStd]]=0,0, (Table1[[#This Row],[FinalElo]]-Table1[[#This Row],[CAvg]]) / Table1[[#This Row],[CStd]])</f>
        <v>-0.35558407029624189</v>
      </c>
      <c r="AC819" t="str">
        <f>IF(Table1[[#This Row],[CStd]]=0,"Normal", IF(ABS(Table1[[#This Row],[CZscore]])&gt;2,"Outlier","Normal"))</f>
        <v>Normal</v>
      </c>
    </row>
    <row r="820" spans="1:29" x14ac:dyDescent="0.35">
      <c r="A820" t="s">
        <v>1401</v>
      </c>
      <c r="B820">
        <v>53</v>
      </c>
      <c r="C820">
        <v>165</v>
      </c>
      <c r="D820" t="s">
        <v>52</v>
      </c>
      <c r="E820">
        <v>23</v>
      </c>
      <c r="F820" t="s">
        <v>1402</v>
      </c>
      <c r="G820" t="s">
        <v>40</v>
      </c>
      <c r="H820" t="s">
        <v>29</v>
      </c>
      <c r="I820" t="s">
        <v>36</v>
      </c>
      <c r="J820">
        <v>0</v>
      </c>
      <c r="K820">
        <v>1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1</v>
      </c>
      <c r="S820">
        <v>0</v>
      </c>
      <c r="T820">
        <v>0</v>
      </c>
      <c r="U820">
        <v>0</v>
      </c>
      <c r="V820">
        <v>0</v>
      </c>
      <c r="W820">
        <v>1</v>
      </c>
      <c r="X820">
        <v>900</v>
      </c>
      <c r="Y820">
        <v>1000</v>
      </c>
      <c r="Z820">
        <f>AVERAGEIFS(Table1[FinalElo], Table1[Country], Table1[[#This Row],[Country]])</f>
        <v>1039.8985714285714</v>
      </c>
      <c r="AA820" cm="1">
        <f t="array" ref="AA820">IF(COUNTIFS(Table1[Country],Table1[[#This Row],[Country]])=1,0, _xlfn.STDEV.S(IF(Table1[Country]=Table1[[#This Row],[Country]],Table1[FinalElo])))</f>
        <v>194.01778111336392</v>
      </c>
      <c r="AB820">
        <f>IF(Table1[[#This Row],[CStd]]=0,0, (Table1[[#This Row],[FinalElo]]-Table1[[#This Row],[CAvg]]) / Table1[[#This Row],[CStd]])</f>
        <v>-0.72106056788078154</v>
      </c>
      <c r="AC820" t="str">
        <f>IF(Table1[[#This Row],[CStd]]=0,"Normal", IF(ABS(Table1[[#This Row],[CZscore]])&gt;2,"Outlier","Normal"))</f>
        <v>Normal</v>
      </c>
    </row>
    <row r="821" spans="1:29" x14ac:dyDescent="0.35">
      <c r="A821" t="s">
        <v>1397</v>
      </c>
      <c r="B821">
        <v>53.3</v>
      </c>
      <c r="C821">
        <v>160</v>
      </c>
      <c r="D821" t="s">
        <v>89</v>
      </c>
      <c r="E821">
        <v>24</v>
      </c>
      <c r="F821" t="s">
        <v>1398</v>
      </c>
      <c r="G821" t="s">
        <v>34</v>
      </c>
      <c r="H821" t="s">
        <v>29</v>
      </c>
      <c r="I821" t="s">
        <v>36</v>
      </c>
      <c r="J821">
        <v>0</v>
      </c>
      <c r="K821">
        <v>1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1</v>
      </c>
      <c r="W821">
        <v>1</v>
      </c>
      <c r="X821">
        <v>857.49</v>
      </c>
      <c r="Y821">
        <v>1000</v>
      </c>
      <c r="Z821">
        <f>AVERAGEIFS(Table1[FinalElo], Table1[Country], Table1[[#This Row],[Country]])</f>
        <v>1012.0629025423733</v>
      </c>
      <c r="AA821" cm="1">
        <f t="array" ref="AA821">IF(COUNTIFS(Table1[Country],Table1[[#This Row],[Country]])=1,0, _xlfn.STDEV.S(IF(Table1[Country]=Table1[[#This Row],[Country]],Table1[FinalElo])))</f>
        <v>148.42180446198614</v>
      </c>
      <c r="AB821">
        <f>IF(Table1[[#This Row],[CStd]]=0,0, (Table1[[#This Row],[FinalElo]]-Table1[[#This Row],[CAvg]]) / Table1[[#This Row],[CStd]])</f>
        <v>-1.041443358694393</v>
      </c>
      <c r="AC821" t="str">
        <f>IF(Table1[[#This Row],[CStd]]=0,"Normal", IF(ABS(Table1[[#This Row],[CZscore]])&gt;2,"Outlier","Normal"))</f>
        <v>Normal</v>
      </c>
    </row>
    <row r="822" spans="1:29" x14ac:dyDescent="0.35">
      <c r="A822" t="s">
        <v>1396</v>
      </c>
      <c r="B822">
        <v>59.874144000000001</v>
      </c>
      <c r="C822">
        <v>170</v>
      </c>
      <c r="D822" t="s">
        <v>116</v>
      </c>
      <c r="E822">
        <v>21</v>
      </c>
      <c r="F822" t="s">
        <v>1164</v>
      </c>
      <c r="G822" t="s">
        <v>28</v>
      </c>
      <c r="H822" t="s">
        <v>29</v>
      </c>
      <c r="I822" t="s">
        <v>58</v>
      </c>
      <c r="J822">
        <v>0</v>
      </c>
      <c r="K822">
        <v>1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1</v>
      </c>
      <c r="V822">
        <v>0</v>
      </c>
      <c r="W822">
        <v>1</v>
      </c>
      <c r="X822">
        <v>900</v>
      </c>
      <c r="Y822">
        <v>1000</v>
      </c>
      <c r="Z822">
        <f>AVERAGEIFS(Table1[FinalElo], Table1[Country], Table1[[#This Row],[Country]])</f>
        <v>980.88090909090931</v>
      </c>
      <c r="AA822" cm="1">
        <f t="array" ref="AA822">IF(COUNTIFS(Table1[Country],Table1[[#This Row],[Country]])=1,0, _xlfn.STDEV.S(IF(Table1[Country]=Table1[[#This Row],[Country]],Table1[FinalElo])))</f>
        <v>133.41794796376408</v>
      </c>
      <c r="AB822">
        <f>IF(Table1[[#This Row],[CStd]]=0,0, (Table1[[#This Row],[FinalElo]]-Table1[[#This Row],[CAvg]]) / Table1[[#This Row],[CStd]])</f>
        <v>-0.60622210373731977</v>
      </c>
      <c r="AC822" t="str">
        <f>IF(Table1[[#This Row],[CStd]]=0,"Normal", IF(ABS(Table1[[#This Row],[CZscore]])&gt;2,"Outlier","Normal"))</f>
        <v>Normal</v>
      </c>
    </row>
    <row r="823" spans="1:29" x14ac:dyDescent="0.35">
      <c r="A823" t="s">
        <v>1395</v>
      </c>
      <c r="B823">
        <v>58.1</v>
      </c>
      <c r="C823">
        <v>170</v>
      </c>
      <c r="D823" t="s">
        <v>89</v>
      </c>
      <c r="E823">
        <v>29</v>
      </c>
      <c r="F823" t="s">
        <v>154</v>
      </c>
      <c r="G823" t="s">
        <v>34</v>
      </c>
      <c r="H823" t="s">
        <v>29</v>
      </c>
      <c r="I823" t="s">
        <v>58</v>
      </c>
      <c r="J823">
        <v>4</v>
      </c>
      <c r="K823">
        <v>1</v>
      </c>
      <c r="L823">
        <v>0</v>
      </c>
      <c r="M823">
        <v>1</v>
      </c>
      <c r="N823">
        <v>0</v>
      </c>
      <c r="O823">
        <v>0</v>
      </c>
      <c r="P823">
        <v>2</v>
      </c>
      <c r="Q823">
        <v>0</v>
      </c>
      <c r="R823">
        <v>0</v>
      </c>
      <c r="S823">
        <v>0</v>
      </c>
      <c r="T823">
        <v>0</v>
      </c>
      <c r="U823">
        <v>1</v>
      </c>
      <c r="V823">
        <v>0</v>
      </c>
      <c r="W823">
        <v>5</v>
      </c>
      <c r="X823">
        <v>1207.04</v>
      </c>
      <c r="Y823">
        <v>1207.04</v>
      </c>
      <c r="Z823">
        <f>AVERAGEIFS(Table1[FinalElo], Table1[Country], Table1[[#This Row],[Country]])</f>
        <v>1012.0629025423733</v>
      </c>
      <c r="AA823" cm="1">
        <f t="array" ref="AA823">IF(COUNTIFS(Table1[Country],Table1[[#This Row],[Country]])=1,0, _xlfn.STDEV.S(IF(Table1[Country]=Table1[[#This Row],[Country]],Table1[FinalElo])))</f>
        <v>148.42180446198614</v>
      </c>
      <c r="AB823">
        <f>IF(Table1[[#This Row],[CStd]]=0,0, (Table1[[#This Row],[FinalElo]]-Table1[[#This Row],[CAvg]]) / Table1[[#This Row],[CStd]])</f>
        <v>1.3136688249034478</v>
      </c>
      <c r="AC823" t="str">
        <f>IF(Table1[[#This Row],[CStd]]=0,"Normal", IF(ABS(Table1[[#This Row],[CZscore]])&gt;2,"Outlier","Normal"))</f>
        <v>Normal</v>
      </c>
    </row>
    <row r="824" spans="1:29" x14ac:dyDescent="0.35">
      <c r="A824" t="s">
        <v>1394</v>
      </c>
      <c r="B824">
        <v>62.142104000000003</v>
      </c>
      <c r="C824">
        <v>169</v>
      </c>
      <c r="D824" t="s">
        <v>89</v>
      </c>
      <c r="E824">
        <v>27</v>
      </c>
      <c r="F824" t="s">
        <v>337</v>
      </c>
      <c r="G824" t="s">
        <v>34</v>
      </c>
      <c r="H824" t="s">
        <v>29</v>
      </c>
      <c r="I824" t="s">
        <v>73</v>
      </c>
      <c r="J824">
        <v>1</v>
      </c>
      <c r="K824">
        <v>1</v>
      </c>
      <c r="L824">
        <v>0</v>
      </c>
      <c r="M824">
        <v>0</v>
      </c>
      <c r="N824">
        <v>0</v>
      </c>
      <c r="O824">
        <v>0</v>
      </c>
      <c r="P824">
        <v>1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1</v>
      </c>
      <c r="W824">
        <v>2</v>
      </c>
      <c r="X824">
        <v>1101.1400000000001</v>
      </c>
      <c r="Y824">
        <v>1101.1400000000001</v>
      </c>
      <c r="Z824">
        <f>AVERAGEIFS(Table1[FinalElo], Table1[Country], Table1[[#This Row],[Country]])</f>
        <v>1012.0629025423733</v>
      </c>
      <c r="AA824" cm="1">
        <f t="array" ref="AA824">IF(COUNTIFS(Table1[Country],Table1[[#This Row],[Country]])=1,0, _xlfn.STDEV.S(IF(Table1[Country]=Table1[[#This Row],[Country]],Table1[FinalElo])))</f>
        <v>148.42180446198614</v>
      </c>
      <c r="AB824">
        <f>IF(Table1[[#This Row],[CStd]]=0,0, (Table1[[#This Row],[FinalElo]]-Table1[[#This Row],[CAvg]]) / Table1[[#This Row],[CStd]])</f>
        <v>0.60016180089254512</v>
      </c>
      <c r="AC824" t="str">
        <f>IF(Table1[[#This Row],[CStd]]=0,"Normal", IF(ABS(Table1[[#This Row],[CZscore]])&gt;2,"Outlier","Normal"))</f>
        <v>Normal</v>
      </c>
    </row>
    <row r="825" spans="1:29" x14ac:dyDescent="0.35">
      <c r="A825" t="s">
        <v>1392</v>
      </c>
      <c r="B825">
        <v>61.2</v>
      </c>
      <c r="C825">
        <v>167</v>
      </c>
      <c r="D825" t="s">
        <v>1366</v>
      </c>
      <c r="E825">
        <v>24</v>
      </c>
      <c r="F825" t="s">
        <v>1393</v>
      </c>
      <c r="G825" t="s">
        <v>34</v>
      </c>
      <c r="H825" t="s">
        <v>29</v>
      </c>
      <c r="I825" t="s">
        <v>58</v>
      </c>
      <c r="J825">
        <v>3</v>
      </c>
      <c r="K825">
        <v>2</v>
      </c>
      <c r="L825">
        <v>0</v>
      </c>
      <c r="M825">
        <v>1</v>
      </c>
      <c r="N825">
        <v>0</v>
      </c>
      <c r="O825">
        <v>0</v>
      </c>
      <c r="P825">
        <v>1</v>
      </c>
      <c r="Q825">
        <v>0</v>
      </c>
      <c r="R825">
        <v>0</v>
      </c>
      <c r="S825">
        <v>0</v>
      </c>
      <c r="T825">
        <v>0</v>
      </c>
      <c r="U825">
        <v>1</v>
      </c>
      <c r="V825">
        <v>0</v>
      </c>
      <c r="W825">
        <v>5</v>
      </c>
      <c r="X825">
        <v>1042.3699999999999</v>
      </c>
      <c r="Y825">
        <v>1100</v>
      </c>
      <c r="Z825">
        <f>AVERAGEIFS(Table1[FinalElo], Table1[Country], Table1[[#This Row],[Country]])</f>
        <v>956.19333333333327</v>
      </c>
      <c r="AA825" cm="1">
        <f t="array" ref="AA825">IF(COUNTIFS(Table1[Country],Table1[[#This Row],[Country]])=1,0, _xlfn.STDEV.S(IF(Table1[Country]=Table1[[#This Row],[Country]],Table1[FinalElo])))</f>
        <v>95.923712266571499</v>
      </c>
      <c r="AB825">
        <f>IF(Table1[[#This Row],[CStd]]=0,0, (Table1[[#This Row],[FinalElo]]-Table1[[#This Row],[CAvg]]) / Table1[[#This Row],[CStd]])</f>
        <v>0.89838752723812554</v>
      </c>
      <c r="AC825" t="str">
        <f>IF(Table1[[#This Row],[CStd]]=0,"Normal", IF(ABS(Table1[[#This Row],[CZscore]])&gt;2,"Outlier","Normal"))</f>
        <v>Normal</v>
      </c>
    </row>
    <row r="826" spans="1:29" x14ac:dyDescent="0.35">
      <c r="A826" t="s">
        <v>1390</v>
      </c>
      <c r="B826">
        <v>65.400000000000006</v>
      </c>
      <c r="C826">
        <v>178</v>
      </c>
      <c r="D826" t="s">
        <v>513</v>
      </c>
      <c r="E826">
        <v>30</v>
      </c>
      <c r="F826" t="s">
        <v>1391</v>
      </c>
      <c r="G826" t="s">
        <v>40</v>
      </c>
      <c r="H826" t="s">
        <v>29</v>
      </c>
      <c r="I826" t="s">
        <v>73</v>
      </c>
      <c r="J826">
        <v>9</v>
      </c>
      <c r="K826">
        <v>5</v>
      </c>
      <c r="L826">
        <v>0</v>
      </c>
      <c r="M826">
        <v>7</v>
      </c>
      <c r="N826">
        <v>0</v>
      </c>
      <c r="O826">
        <v>0</v>
      </c>
      <c r="P826">
        <v>0</v>
      </c>
      <c r="Q826">
        <v>0</v>
      </c>
      <c r="R826">
        <v>1</v>
      </c>
      <c r="S826">
        <v>2</v>
      </c>
      <c r="T826">
        <v>0</v>
      </c>
      <c r="U826">
        <v>1</v>
      </c>
      <c r="V826">
        <v>0</v>
      </c>
      <c r="W826">
        <v>14</v>
      </c>
      <c r="X826">
        <v>1297.4100000000001</v>
      </c>
      <c r="Y826">
        <v>1379.63</v>
      </c>
      <c r="Z826">
        <f>AVERAGEIFS(Table1[FinalElo], Table1[Country], Table1[[#This Row],[Country]])</f>
        <v>991.92857142857144</v>
      </c>
      <c r="AA826" cm="1">
        <f t="array" ref="AA826">IF(COUNTIFS(Table1[Country],Table1[[#This Row],[Country]])=1,0, _xlfn.STDEV.S(IF(Table1[Country]=Table1[[#This Row],[Country]],Table1[FinalElo])))</f>
        <v>154.84924955929111</v>
      </c>
      <c r="AB826">
        <f>IF(Table1[[#This Row],[CStd]]=0,0, (Table1[[#This Row],[FinalElo]]-Table1[[#This Row],[CAvg]]) / Table1[[#This Row],[CStd]])</f>
        <v>1.9727666064953135</v>
      </c>
      <c r="AC826" t="str">
        <f>IF(Table1[[#This Row],[CStd]]=0,"Normal", IF(ABS(Table1[[#This Row],[CZscore]])&gt;2,"Outlier","Normal"))</f>
        <v>Normal</v>
      </c>
    </row>
    <row r="827" spans="1:29" x14ac:dyDescent="0.35">
      <c r="A827" t="s">
        <v>1389</v>
      </c>
      <c r="B827">
        <v>52.16</v>
      </c>
      <c r="C827">
        <v>157</v>
      </c>
      <c r="D827" t="s">
        <v>89</v>
      </c>
      <c r="E827">
        <v>18</v>
      </c>
      <c r="F827" t="s">
        <v>1252</v>
      </c>
      <c r="G827" t="s">
        <v>34</v>
      </c>
      <c r="H827" t="s">
        <v>29</v>
      </c>
      <c r="I827" t="s">
        <v>36</v>
      </c>
      <c r="J827">
        <v>0</v>
      </c>
      <c r="K827">
        <v>1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1</v>
      </c>
      <c r="V827">
        <v>0</v>
      </c>
      <c r="W827">
        <v>1</v>
      </c>
      <c r="X827">
        <v>928.01</v>
      </c>
      <c r="Y827">
        <v>1000</v>
      </c>
      <c r="Z827">
        <f>AVERAGEIFS(Table1[FinalElo], Table1[Country], Table1[[#This Row],[Country]])</f>
        <v>1012.0629025423733</v>
      </c>
      <c r="AA827" cm="1">
        <f t="array" ref="AA827">IF(COUNTIFS(Table1[Country],Table1[[#This Row],[Country]])=1,0, _xlfn.STDEV.S(IF(Table1[Country]=Table1[[#This Row],[Country]],Table1[FinalElo])))</f>
        <v>148.42180446198614</v>
      </c>
      <c r="AB827">
        <f>IF(Table1[[#This Row],[CStd]]=0,0, (Table1[[#This Row],[FinalElo]]-Table1[[#This Row],[CAvg]]) / Table1[[#This Row],[CStd]])</f>
        <v>-0.56631101371564974</v>
      </c>
      <c r="AC827" t="str">
        <f>IF(Table1[[#This Row],[CStd]]=0,"Normal", IF(ABS(Table1[[#This Row],[CZscore]])&gt;2,"Outlier","Normal"))</f>
        <v>Normal</v>
      </c>
    </row>
    <row r="828" spans="1:29" x14ac:dyDescent="0.35">
      <c r="A828" t="s">
        <v>1387</v>
      </c>
      <c r="B828">
        <v>54.1</v>
      </c>
      <c r="C828">
        <v>165</v>
      </c>
      <c r="D828" t="s">
        <v>89</v>
      </c>
      <c r="E828">
        <v>30</v>
      </c>
      <c r="F828" t="s">
        <v>1388</v>
      </c>
      <c r="G828" t="s">
        <v>34</v>
      </c>
      <c r="H828" t="s">
        <v>29</v>
      </c>
      <c r="I828" t="s">
        <v>36</v>
      </c>
      <c r="J828">
        <v>1</v>
      </c>
      <c r="K828">
        <v>1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1</v>
      </c>
      <c r="W828">
        <v>2</v>
      </c>
      <c r="X828">
        <v>1028.01</v>
      </c>
      <c r="Y828">
        <v>1028.01</v>
      </c>
      <c r="Z828">
        <f>AVERAGEIFS(Table1[FinalElo], Table1[Country], Table1[[#This Row],[Country]])</f>
        <v>1012.0629025423733</v>
      </c>
      <c r="AA828" cm="1">
        <f t="array" ref="AA828">IF(COUNTIFS(Table1[Country],Table1[[#This Row],[Country]])=1,0, _xlfn.STDEV.S(IF(Table1[Country]=Table1[[#This Row],[Country]],Table1[FinalElo])))</f>
        <v>148.42180446198614</v>
      </c>
      <c r="AB828">
        <f>IF(Table1[[#This Row],[CStd]]=0,0, (Table1[[#This Row],[FinalElo]]-Table1[[#This Row],[CAvg]]) / Table1[[#This Row],[CStd]])</f>
        <v>0.10744443860814978</v>
      </c>
      <c r="AC828" t="str">
        <f>IF(Table1[[#This Row],[CStd]]=0,"Normal", IF(ABS(Table1[[#This Row],[CZscore]])&gt;2,"Outlier","Normal"))</f>
        <v>Normal</v>
      </c>
    </row>
    <row r="829" spans="1:29" x14ac:dyDescent="0.35">
      <c r="A829" t="s">
        <v>1386</v>
      </c>
      <c r="B829">
        <v>53.977448000000003</v>
      </c>
      <c r="C829">
        <v>164</v>
      </c>
      <c r="D829" t="s">
        <v>82</v>
      </c>
      <c r="E829">
        <v>28</v>
      </c>
      <c r="F829" t="s">
        <v>996</v>
      </c>
      <c r="G829" t="s">
        <v>28</v>
      </c>
      <c r="H829" t="s">
        <v>29</v>
      </c>
      <c r="I829" t="s">
        <v>36</v>
      </c>
      <c r="J829">
        <v>0</v>
      </c>
      <c r="K829">
        <v>2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2</v>
      </c>
      <c r="X829">
        <v>828.01</v>
      </c>
      <c r="Y829">
        <v>1000</v>
      </c>
      <c r="Z829">
        <f>AVERAGEIFS(Table1[FinalElo], Table1[Country], Table1[[#This Row],[Country]])</f>
        <v>1012.5275373134326</v>
      </c>
      <c r="AA829" cm="1">
        <f t="array" ref="AA829">IF(COUNTIFS(Table1[Country],Table1[[#This Row],[Country]])=1,0, _xlfn.STDEV.S(IF(Table1[Country]=Table1[[#This Row],[Country]],Table1[FinalElo])))</f>
        <v>135.61062237674741</v>
      </c>
      <c r="AB829">
        <f>IF(Table1[[#This Row],[CStd]]=0,0, (Table1[[#This Row],[FinalElo]]-Table1[[#This Row],[CAvg]]) / Table1[[#This Row],[CStd]])</f>
        <v>-1.3606422128261766</v>
      </c>
      <c r="AC829" t="str">
        <f>IF(Table1[[#This Row],[CStd]]=0,"Normal", IF(ABS(Table1[[#This Row],[CZscore]])&gt;2,"Outlier","Normal"))</f>
        <v>Normal</v>
      </c>
    </row>
    <row r="830" spans="1:29" x14ac:dyDescent="0.35">
      <c r="A830" t="s">
        <v>1385</v>
      </c>
      <c r="B830">
        <v>77.099999999999994</v>
      </c>
      <c r="C830">
        <v>180</v>
      </c>
      <c r="D830" t="s">
        <v>116</v>
      </c>
      <c r="E830">
        <v>29</v>
      </c>
      <c r="F830" t="s">
        <v>927</v>
      </c>
      <c r="G830" t="s">
        <v>40</v>
      </c>
      <c r="H830" t="s">
        <v>29</v>
      </c>
      <c r="I830" t="s">
        <v>30</v>
      </c>
      <c r="J830">
        <v>0</v>
      </c>
      <c r="K830">
        <v>2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1</v>
      </c>
      <c r="S830">
        <v>0</v>
      </c>
      <c r="T830">
        <v>0</v>
      </c>
      <c r="U830">
        <v>1</v>
      </c>
      <c r="V830">
        <v>0</v>
      </c>
      <c r="W830">
        <v>2</v>
      </c>
      <c r="X830">
        <v>828.01</v>
      </c>
      <c r="Y830">
        <v>1000</v>
      </c>
      <c r="Z830">
        <f>AVERAGEIFS(Table1[FinalElo], Table1[Country], Table1[[#This Row],[Country]])</f>
        <v>980.88090909090931</v>
      </c>
      <c r="AA830" cm="1">
        <f t="array" ref="AA830">IF(COUNTIFS(Table1[Country],Table1[[#This Row],[Country]])=1,0, _xlfn.STDEV.S(IF(Table1[Country]=Table1[[#This Row],[Country]],Table1[FinalElo])))</f>
        <v>133.41794796376408</v>
      </c>
      <c r="AB830">
        <f>IF(Table1[[#This Row],[CStd]]=0,0, (Table1[[#This Row],[FinalElo]]-Table1[[#This Row],[CAvg]]) / Table1[[#This Row],[CStd]])</f>
        <v>-1.1458046793856296</v>
      </c>
      <c r="AC830" t="str">
        <f>IF(Table1[[#This Row],[CStd]]=0,"Normal", IF(ABS(Table1[[#This Row],[CZscore]])&gt;2,"Outlier","Normal"))</f>
        <v>Normal</v>
      </c>
    </row>
    <row r="831" spans="1:29" x14ac:dyDescent="0.35">
      <c r="A831" t="s">
        <v>1384</v>
      </c>
      <c r="B831">
        <v>70.31</v>
      </c>
      <c r="C831">
        <v>178</v>
      </c>
      <c r="D831" t="s">
        <v>38</v>
      </c>
      <c r="E831">
        <v>26</v>
      </c>
      <c r="F831" t="s">
        <v>133</v>
      </c>
      <c r="G831" t="s">
        <v>40</v>
      </c>
      <c r="H831" t="s">
        <v>29</v>
      </c>
      <c r="I831" t="s">
        <v>30</v>
      </c>
      <c r="J831">
        <v>0</v>
      </c>
      <c r="K831">
        <v>1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1</v>
      </c>
      <c r="V831">
        <v>0</v>
      </c>
      <c r="W831">
        <v>1</v>
      </c>
      <c r="X831">
        <v>928.01</v>
      </c>
      <c r="Y831">
        <v>1000</v>
      </c>
      <c r="Z831">
        <f>AVERAGEIFS(Table1[FinalElo], Table1[Country], Table1[[#This Row],[Country]])</f>
        <v>1057.4495402298851</v>
      </c>
      <c r="AA831" cm="1">
        <f t="array" ref="AA831">IF(COUNTIFS(Table1[Country],Table1[[#This Row],[Country]])=1,0, _xlfn.STDEV.S(IF(Table1[Country]=Table1[[#This Row],[Country]],Table1[FinalElo])))</f>
        <v>156.98667602259493</v>
      </c>
      <c r="AB831">
        <f>IF(Table1[[#This Row],[CStd]]=0,0, (Table1[[#This Row],[FinalElo]]-Table1[[#This Row],[CAvg]]) / Table1[[#This Row],[CStd]])</f>
        <v>-0.82452564452829735</v>
      </c>
      <c r="AC831" t="str">
        <f>IF(Table1[[#This Row],[CStd]]=0,"Normal", IF(ABS(Table1[[#This Row],[CZscore]])&gt;2,"Outlier","Normal"))</f>
        <v>Normal</v>
      </c>
    </row>
    <row r="832" spans="1:29" x14ac:dyDescent="0.35">
      <c r="A832" t="s">
        <v>1382</v>
      </c>
      <c r="B832">
        <v>65.8</v>
      </c>
      <c r="C832">
        <v>168</v>
      </c>
      <c r="D832" t="s">
        <v>89</v>
      </c>
      <c r="E832">
        <v>26</v>
      </c>
      <c r="F832" t="s">
        <v>1383</v>
      </c>
      <c r="G832" t="s">
        <v>34</v>
      </c>
      <c r="H832" t="s">
        <v>29</v>
      </c>
      <c r="I832" t="s">
        <v>48</v>
      </c>
      <c r="J832">
        <v>10</v>
      </c>
      <c r="K832">
        <v>5</v>
      </c>
      <c r="L832">
        <v>1</v>
      </c>
      <c r="M832">
        <v>2</v>
      </c>
      <c r="N832">
        <v>0</v>
      </c>
      <c r="O832">
        <v>0</v>
      </c>
      <c r="P832">
        <v>4</v>
      </c>
      <c r="Q832">
        <v>0</v>
      </c>
      <c r="R832">
        <v>0</v>
      </c>
      <c r="S832">
        <v>0</v>
      </c>
      <c r="T832">
        <v>0</v>
      </c>
      <c r="U832">
        <v>2</v>
      </c>
      <c r="V832">
        <v>0</v>
      </c>
      <c r="W832">
        <v>16</v>
      </c>
      <c r="X832">
        <v>1430.13</v>
      </c>
      <c r="Y832">
        <v>1430.13</v>
      </c>
      <c r="Z832">
        <f>AVERAGEIFS(Table1[FinalElo], Table1[Country], Table1[[#This Row],[Country]])</f>
        <v>1012.0629025423733</v>
      </c>
      <c r="AA832" cm="1">
        <f t="array" ref="AA832">IF(COUNTIFS(Table1[Country],Table1[[#This Row],[Country]])=1,0, _xlfn.STDEV.S(IF(Table1[Country]=Table1[[#This Row],[Country]],Table1[FinalElo])))</f>
        <v>148.42180446198614</v>
      </c>
      <c r="AB832">
        <f>IF(Table1[[#This Row],[CStd]]=0,0, (Table1[[#This Row],[FinalElo]]-Table1[[#This Row],[CAvg]]) / Table1[[#This Row],[CStd]])</f>
        <v>2.8167498634926131</v>
      </c>
      <c r="AC832" t="str">
        <f>IF(Table1[[#This Row],[CStd]]=0,"Normal", IF(ABS(Table1[[#This Row],[CZscore]])&gt;2,"Outlier","Normal"))</f>
        <v>Outlier</v>
      </c>
    </row>
    <row r="833" spans="1:29" x14ac:dyDescent="0.35">
      <c r="A833" t="s">
        <v>1381</v>
      </c>
      <c r="B833">
        <v>52.16</v>
      </c>
      <c r="C833">
        <v>-1</v>
      </c>
      <c r="D833" t="s">
        <v>89</v>
      </c>
      <c r="E833">
        <v>-1</v>
      </c>
      <c r="F833" t="s">
        <v>99</v>
      </c>
      <c r="G833" t="s">
        <v>34</v>
      </c>
      <c r="H833" t="s">
        <v>29</v>
      </c>
      <c r="I833" t="s">
        <v>36</v>
      </c>
      <c r="J833">
        <v>2</v>
      </c>
      <c r="K833">
        <v>4</v>
      </c>
      <c r="L833">
        <v>0</v>
      </c>
      <c r="M833">
        <v>0</v>
      </c>
      <c r="N833">
        <v>0</v>
      </c>
      <c r="O833">
        <v>0</v>
      </c>
      <c r="P833">
        <v>1</v>
      </c>
      <c r="Q833">
        <v>0</v>
      </c>
      <c r="R833">
        <v>1</v>
      </c>
      <c r="S833">
        <v>0</v>
      </c>
      <c r="T833">
        <v>0</v>
      </c>
      <c r="U833">
        <v>1</v>
      </c>
      <c r="V833">
        <v>0</v>
      </c>
      <c r="W833">
        <v>6</v>
      </c>
      <c r="X833">
        <v>1006.46</v>
      </c>
      <c r="Y833">
        <v>1058.92</v>
      </c>
      <c r="Z833">
        <f>AVERAGEIFS(Table1[FinalElo], Table1[Country], Table1[[#This Row],[Country]])</f>
        <v>1012.0629025423733</v>
      </c>
      <c r="AA833" cm="1">
        <f t="array" ref="AA833">IF(COUNTIFS(Table1[Country],Table1[[#This Row],[Country]])=1,0, _xlfn.STDEV.S(IF(Table1[Country]=Table1[[#This Row],[Country]],Table1[FinalElo])))</f>
        <v>148.42180446198614</v>
      </c>
      <c r="AB833">
        <f>IF(Table1[[#This Row],[CStd]]=0,0, (Table1[[#This Row],[FinalElo]]-Table1[[#This Row],[CAvg]]) / Table1[[#This Row],[CStd]])</f>
        <v>-3.7749861367628701E-2</v>
      </c>
      <c r="AC833" t="str">
        <f>IF(Table1[[#This Row],[CStd]]=0,"Normal", IF(ABS(Table1[[#This Row],[CZscore]])&gt;2,"Outlier","Normal"))</f>
        <v>Normal</v>
      </c>
    </row>
    <row r="834" spans="1:29" x14ac:dyDescent="0.35">
      <c r="A834" t="s">
        <v>1379</v>
      </c>
      <c r="B834">
        <v>63.5</v>
      </c>
      <c r="C834">
        <v>170</v>
      </c>
      <c r="D834" t="s">
        <v>89</v>
      </c>
      <c r="E834">
        <v>24</v>
      </c>
      <c r="F834" t="s">
        <v>1380</v>
      </c>
      <c r="G834" t="s">
        <v>34</v>
      </c>
      <c r="H834" t="s">
        <v>29</v>
      </c>
      <c r="I834" t="s">
        <v>73</v>
      </c>
      <c r="J834">
        <v>1</v>
      </c>
      <c r="K834">
        <v>1</v>
      </c>
      <c r="L834">
        <v>0</v>
      </c>
      <c r="M834">
        <v>0</v>
      </c>
      <c r="N834">
        <v>0</v>
      </c>
      <c r="O834">
        <v>0</v>
      </c>
      <c r="P834">
        <v>1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1</v>
      </c>
      <c r="W834">
        <v>2</v>
      </c>
      <c r="X834">
        <v>1033.1500000000001</v>
      </c>
      <c r="Y834">
        <v>1119.1300000000001</v>
      </c>
      <c r="Z834">
        <f>AVERAGEIFS(Table1[FinalElo], Table1[Country], Table1[[#This Row],[Country]])</f>
        <v>1012.0629025423733</v>
      </c>
      <c r="AA834" cm="1">
        <f t="array" ref="AA834">IF(COUNTIFS(Table1[Country],Table1[[#This Row],[Country]])=1,0, _xlfn.STDEV.S(IF(Table1[Country]=Table1[[#This Row],[Country]],Table1[FinalElo])))</f>
        <v>148.42180446198614</v>
      </c>
      <c r="AB834">
        <f>IF(Table1[[#This Row],[CStd]]=0,0, (Table1[[#This Row],[FinalElo]]-Table1[[#This Row],[CAvg]]) / Table1[[#This Row],[CStd]])</f>
        <v>0.14207546885759376</v>
      </c>
      <c r="AC834" t="str">
        <f>IF(Table1[[#This Row],[CStd]]=0,"Normal", IF(ABS(Table1[[#This Row],[CZscore]])&gt;2,"Outlier","Normal"))</f>
        <v>Normal</v>
      </c>
    </row>
    <row r="835" spans="1:29" x14ac:dyDescent="0.35">
      <c r="A835" t="s">
        <v>1378</v>
      </c>
      <c r="B835">
        <v>63.7</v>
      </c>
      <c r="C835">
        <v>175</v>
      </c>
      <c r="D835" t="s">
        <v>82</v>
      </c>
      <c r="E835">
        <v>23</v>
      </c>
      <c r="F835" t="s">
        <v>99</v>
      </c>
      <c r="G835" t="s">
        <v>34</v>
      </c>
      <c r="H835" t="s">
        <v>29</v>
      </c>
      <c r="I835" t="s">
        <v>73</v>
      </c>
      <c r="J835">
        <v>0</v>
      </c>
      <c r="K835">
        <v>1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1</v>
      </c>
      <c r="X835">
        <v>900</v>
      </c>
      <c r="Y835">
        <v>1000</v>
      </c>
      <c r="Z835">
        <f>AVERAGEIFS(Table1[FinalElo], Table1[Country], Table1[[#This Row],[Country]])</f>
        <v>1012.5275373134326</v>
      </c>
      <c r="AA835" cm="1">
        <f t="array" ref="AA835">IF(COUNTIFS(Table1[Country],Table1[[#This Row],[Country]])=1,0, _xlfn.STDEV.S(IF(Table1[Country]=Table1[[#This Row],[Country]],Table1[FinalElo])))</f>
        <v>135.61062237674741</v>
      </c>
      <c r="AB835">
        <f>IF(Table1[[#This Row],[CStd]]=0,0, (Table1[[#This Row],[FinalElo]]-Table1[[#This Row],[CAvg]]) / Table1[[#This Row],[CStd]])</f>
        <v>-0.82978409317238888</v>
      </c>
      <c r="AC835" t="str">
        <f>IF(Table1[[#This Row],[CStd]]=0,"Normal", IF(ABS(Table1[[#This Row],[CZscore]])&gt;2,"Outlier","Normal"))</f>
        <v>Normal</v>
      </c>
    </row>
    <row r="836" spans="1:29" x14ac:dyDescent="0.35">
      <c r="A836" t="s">
        <v>1376</v>
      </c>
      <c r="B836">
        <v>61.23</v>
      </c>
      <c r="C836">
        <v>173</v>
      </c>
      <c r="D836" t="s">
        <v>244</v>
      </c>
      <c r="E836">
        <v>28</v>
      </c>
      <c r="F836" t="s">
        <v>1377</v>
      </c>
      <c r="G836" t="s">
        <v>40</v>
      </c>
      <c r="H836" t="s">
        <v>29</v>
      </c>
      <c r="I836" t="s">
        <v>73</v>
      </c>
      <c r="J836">
        <v>0</v>
      </c>
      <c r="K836">
        <v>1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1</v>
      </c>
      <c r="T836">
        <v>0</v>
      </c>
      <c r="U836">
        <v>0</v>
      </c>
      <c r="V836">
        <v>0</v>
      </c>
      <c r="W836">
        <v>1</v>
      </c>
      <c r="X836">
        <v>900</v>
      </c>
      <c r="Y836">
        <v>1000</v>
      </c>
      <c r="Z836">
        <f>AVERAGEIFS(Table1[FinalElo], Table1[Country], Table1[[#This Row],[Country]])</f>
        <v>1041.2214285714285</v>
      </c>
      <c r="AA836" cm="1">
        <f t="array" ref="AA836">IF(COUNTIFS(Table1[Country],Table1[[#This Row],[Country]])=1,0, _xlfn.STDEV.S(IF(Table1[Country]=Table1[[#This Row],[Country]],Table1[FinalElo])))</f>
        <v>242.01065578665347</v>
      </c>
      <c r="AB836">
        <f>IF(Table1[[#This Row],[CStd]]=0,0, (Table1[[#This Row],[FinalElo]]-Table1[[#This Row],[CAvg]]) / Table1[[#This Row],[CStd]])</f>
        <v>-0.58353392792722103</v>
      </c>
      <c r="AC836" t="str">
        <f>IF(Table1[[#This Row],[CStd]]=0,"Normal", IF(ABS(Table1[[#This Row],[CZscore]])&gt;2,"Outlier","Normal"))</f>
        <v>Normal</v>
      </c>
    </row>
    <row r="837" spans="1:29" x14ac:dyDescent="0.35">
      <c r="A837" t="s">
        <v>1374</v>
      </c>
      <c r="B837">
        <v>60.3</v>
      </c>
      <c r="C837">
        <v>173</v>
      </c>
      <c r="D837" t="s">
        <v>89</v>
      </c>
      <c r="E837">
        <v>23</v>
      </c>
      <c r="F837" t="s">
        <v>1375</v>
      </c>
      <c r="G837" t="s">
        <v>34</v>
      </c>
      <c r="H837" t="s">
        <v>29</v>
      </c>
      <c r="I837" t="s">
        <v>58</v>
      </c>
      <c r="J837">
        <v>2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2</v>
      </c>
      <c r="X837">
        <v>1197.74</v>
      </c>
      <c r="Y837">
        <v>1197.74</v>
      </c>
      <c r="Z837">
        <f>AVERAGEIFS(Table1[FinalElo], Table1[Country], Table1[[#This Row],[Country]])</f>
        <v>1012.0629025423733</v>
      </c>
      <c r="AA837" cm="1">
        <f t="array" ref="AA837">IF(COUNTIFS(Table1[Country],Table1[[#This Row],[Country]])=1,0, _xlfn.STDEV.S(IF(Table1[Country]=Table1[[#This Row],[Country]],Table1[FinalElo])))</f>
        <v>148.42180446198614</v>
      </c>
      <c r="AB837">
        <f>IF(Table1[[#This Row],[CStd]]=0,0, (Table1[[#This Row],[FinalElo]]-Table1[[#This Row],[CAvg]]) / Table1[[#This Row],[CStd]])</f>
        <v>1.2510095678373347</v>
      </c>
      <c r="AC837" t="str">
        <f>IF(Table1[[#This Row],[CStd]]=0,"Normal", IF(ABS(Table1[[#This Row],[CZscore]])&gt;2,"Outlier","Normal"))</f>
        <v>Normal</v>
      </c>
    </row>
    <row r="838" spans="1:29" x14ac:dyDescent="0.35">
      <c r="A838" t="s">
        <v>1373</v>
      </c>
      <c r="B838">
        <v>69.900000000000006</v>
      </c>
      <c r="C838">
        <v>174</v>
      </c>
      <c r="D838" t="s">
        <v>1086</v>
      </c>
      <c r="E838">
        <v>31</v>
      </c>
      <c r="F838" t="s">
        <v>33</v>
      </c>
      <c r="G838" t="s">
        <v>40</v>
      </c>
      <c r="H838" t="s">
        <v>29</v>
      </c>
      <c r="I838" t="s">
        <v>48</v>
      </c>
      <c r="J838">
        <v>0</v>
      </c>
      <c r="K838">
        <v>2</v>
      </c>
      <c r="L838">
        <v>1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1</v>
      </c>
      <c r="V838">
        <v>1</v>
      </c>
      <c r="W838">
        <v>3</v>
      </c>
      <c r="X838">
        <v>828.01</v>
      </c>
      <c r="Y838">
        <v>1000</v>
      </c>
      <c r="Z838">
        <f>AVERAGEIFS(Table1[FinalElo], Table1[Country], Table1[[#This Row],[Country]])</f>
        <v>958.61333333333334</v>
      </c>
      <c r="AA838" cm="1">
        <f t="array" ref="AA838">IF(COUNTIFS(Table1[Country],Table1[[#This Row],[Country]])=1,0, _xlfn.STDEV.S(IF(Table1[Country]=Table1[[#This Row],[Country]],Table1[FinalElo])))</f>
        <v>120.13982700725606</v>
      </c>
      <c r="AB838">
        <f>IF(Table1[[#This Row],[CStd]]=0,0, (Table1[[#This Row],[FinalElo]]-Table1[[#This Row],[CAvg]]) / Table1[[#This Row],[CStd]])</f>
        <v>-1.0870944014714232</v>
      </c>
      <c r="AC838" t="str">
        <f>IF(Table1[[#This Row],[CStd]]=0,"Normal", IF(ABS(Table1[[#This Row],[CZscore]])&gt;2,"Outlier","Normal"))</f>
        <v>Normal</v>
      </c>
    </row>
    <row r="839" spans="1:29" x14ac:dyDescent="0.35">
      <c r="A839" t="s">
        <v>1372</v>
      </c>
      <c r="B839">
        <v>61.1</v>
      </c>
      <c r="C839">
        <v>170</v>
      </c>
      <c r="D839" t="s">
        <v>89</v>
      </c>
      <c r="E839">
        <v>28</v>
      </c>
      <c r="F839" t="s">
        <v>535</v>
      </c>
      <c r="G839" t="s">
        <v>34</v>
      </c>
      <c r="H839" t="s">
        <v>29</v>
      </c>
      <c r="I839" t="s">
        <v>58</v>
      </c>
      <c r="J839">
        <v>11</v>
      </c>
      <c r="K839">
        <v>3</v>
      </c>
      <c r="L839">
        <v>0</v>
      </c>
      <c r="M839">
        <v>0</v>
      </c>
      <c r="N839">
        <v>0</v>
      </c>
      <c r="O839">
        <v>0</v>
      </c>
      <c r="P839">
        <v>6</v>
      </c>
      <c r="Q839">
        <v>1</v>
      </c>
      <c r="R839">
        <v>0</v>
      </c>
      <c r="S839">
        <v>0</v>
      </c>
      <c r="T839">
        <v>0</v>
      </c>
      <c r="U839">
        <v>3</v>
      </c>
      <c r="V839">
        <v>0</v>
      </c>
      <c r="W839">
        <v>14</v>
      </c>
      <c r="X839">
        <v>1397.69</v>
      </c>
      <c r="Y839">
        <v>1569.57</v>
      </c>
      <c r="Z839">
        <f>AVERAGEIFS(Table1[FinalElo], Table1[Country], Table1[[#This Row],[Country]])</f>
        <v>1012.0629025423733</v>
      </c>
      <c r="AA839" cm="1">
        <f t="array" ref="AA839">IF(COUNTIFS(Table1[Country],Table1[[#This Row],[Country]])=1,0, _xlfn.STDEV.S(IF(Table1[Country]=Table1[[#This Row],[Country]],Table1[FinalElo])))</f>
        <v>148.42180446198614</v>
      </c>
      <c r="AB839">
        <f>IF(Table1[[#This Row],[CStd]]=0,0, (Table1[[#This Row],[FinalElo]]-Table1[[#This Row],[CAvg]]) / Table1[[#This Row],[CStd]])</f>
        <v>2.5981835947587721</v>
      </c>
      <c r="AC839" t="str">
        <f>IF(Table1[[#This Row],[CStd]]=0,"Normal", IF(ABS(Table1[[#This Row],[CZscore]])&gt;2,"Outlier","Normal"))</f>
        <v>Outlier</v>
      </c>
    </row>
    <row r="840" spans="1:29" x14ac:dyDescent="0.35">
      <c r="A840" t="s">
        <v>1370</v>
      </c>
      <c r="B840">
        <v>70.7</v>
      </c>
      <c r="C840">
        <v>180</v>
      </c>
      <c r="D840" t="s">
        <v>89</v>
      </c>
      <c r="E840">
        <v>29</v>
      </c>
      <c r="F840" t="s">
        <v>1371</v>
      </c>
      <c r="G840" t="s">
        <v>34</v>
      </c>
      <c r="H840" t="s">
        <v>29</v>
      </c>
      <c r="I840" t="s">
        <v>30</v>
      </c>
      <c r="J840">
        <v>0</v>
      </c>
      <c r="K840">
        <v>1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1</v>
      </c>
      <c r="X840">
        <v>900</v>
      </c>
      <c r="Y840">
        <v>1000</v>
      </c>
      <c r="Z840">
        <f>AVERAGEIFS(Table1[FinalElo], Table1[Country], Table1[[#This Row],[Country]])</f>
        <v>1012.0629025423733</v>
      </c>
      <c r="AA840" cm="1">
        <f t="array" ref="AA840">IF(COUNTIFS(Table1[Country],Table1[[#This Row],[Country]])=1,0, _xlfn.STDEV.S(IF(Table1[Country]=Table1[[#This Row],[Country]],Table1[FinalElo])))</f>
        <v>148.42180446198614</v>
      </c>
      <c r="AB840">
        <f>IF(Table1[[#This Row],[CStd]]=0,0, (Table1[[#This Row],[FinalElo]]-Table1[[#This Row],[CAvg]]) / Table1[[#This Row],[CStd]])</f>
        <v>-0.75502991591154589</v>
      </c>
      <c r="AC840" t="str">
        <f>IF(Table1[[#This Row],[CStd]]=0,"Normal", IF(ABS(Table1[[#This Row],[CZscore]])&gt;2,"Outlier","Normal"))</f>
        <v>Normal</v>
      </c>
    </row>
    <row r="841" spans="1:29" hidden="1" x14ac:dyDescent="0.35">
      <c r="A841" t="s">
        <v>1570</v>
      </c>
      <c r="B841">
        <v>58.6</v>
      </c>
      <c r="C841">
        <v>170</v>
      </c>
      <c r="D841" t="s">
        <v>226</v>
      </c>
      <c r="E841">
        <v>32</v>
      </c>
      <c r="F841" t="s">
        <v>1571</v>
      </c>
      <c r="G841" t="s">
        <v>34</v>
      </c>
      <c r="H841" t="s">
        <v>35</v>
      </c>
      <c r="I841" t="s">
        <v>58</v>
      </c>
      <c r="J841">
        <v>1</v>
      </c>
      <c r="K841">
        <v>1</v>
      </c>
      <c r="L841">
        <v>0</v>
      </c>
      <c r="M841">
        <v>0</v>
      </c>
      <c r="N841">
        <v>0</v>
      </c>
      <c r="O841">
        <v>0</v>
      </c>
      <c r="P841">
        <v>1</v>
      </c>
      <c r="Q841">
        <v>0</v>
      </c>
      <c r="R841">
        <v>0</v>
      </c>
      <c r="S841">
        <v>0</v>
      </c>
      <c r="T841">
        <v>0</v>
      </c>
      <c r="U841">
        <v>1</v>
      </c>
      <c r="V841">
        <v>0</v>
      </c>
      <c r="W841">
        <v>2</v>
      </c>
      <c r="X841">
        <v>982.68</v>
      </c>
      <c r="Y841">
        <v>1041.9000000000001</v>
      </c>
      <c r="Z841">
        <f>AVERAGEIFS(Table1[FinalElo], Table1[Country], Table1[[#This Row],[Country]])</f>
        <v>961.00176470588235</v>
      </c>
      <c r="AA841" cm="1">
        <f t="array" ref="AA841">IF(COUNTIFS(Table1[Country],Table1[[#This Row],[Country]])=1,0, _xlfn.STDEV.S(IF(Table1[Country]=Table1[[#This Row],[Country]],Table1[FinalElo])))</f>
        <v>117.15877454523515</v>
      </c>
      <c r="AB841">
        <f>IF(Table1[[#This Row],[CStd]]=0,0, (Table1[[#This Row],[FinalElo]]-Table1[[#This Row],[CAvg]]) / Table1[[#This Row],[CStd]])</f>
        <v>0.18503296384128365</v>
      </c>
      <c r="AC841" t="str">
        <f>IF(Table1[[#This Row],[CStd]]=0,"Normal", IF(ABS(Table1[[#This Row],[CZscore]])&gt;2,"Outlier","Normal"))</f>
        <v>Normal</v>
      </c>
    </row>
    <row r="842" spans="1:29" x14ac:dyDescent="0.35">
      <c r="A842" t="s">
        <v>1369</v>
      </c>
      <c r="B842">
        <v>52.8</v>
      </c>
      <c r="C842">
        <v>168</v>
      </c>
      <c r="D842" t="s">
        <v>89</v>
      </c>
      <c r="E842">
        <v>21</v>
      </c>
      <c r="F842" t="s">
        <v>718</v>
      </c>
      <c r="G842" t="s">
        <v>34</v>
      </c>
      <c r="H842" t="s">
        <v>29</v>
      </c>
      <c r="I842" t="s">
        <v>36</v>
      </c>
      <c r="J842">
        <v>1</v>
      </c>
      <c r="K842">
        <v>1</v>
      </c>
      <c r="L842">
        <v>0</v>
      </c>
      <c r="M842">
        <v>0</v>
      </c>
      <c r="N842">
        <v>0</v>
      </c>
      <c r="O842">
        <v>0</v>
      </c>
      <c r="P842">
        <v>1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2</v>
      </c>
      <c r="X842">
        <v>1027.8</v>
      </c>
      <c r="Y842">
        <v>1027.8</v>
      </c>
      <c r="Z842">
        <f>AVERAGEIFS(Table1[FinalElo], Table1[Country], Table1[[#This Row],[Country]])</f>
        <v>1012.0629025423733</v>
      </c>
      <c r="AA842" cm="1">
        <f t="array" ref="AA842">IF(COUNTIFS(Table1[Country],Table1[[#This Row],[Country]])=1,0, _xlfn.STDEV.S(IF(Table1[Country]=Table1[[#This Row],[Country]],Table1[FinalElo])))</f>
        <v>148.42180446198614</v>
      </c>
      <c r="AB842">
        <f>IF(Table1[[#This Row],[CStd]]=0,0, (Table1[[#This Row],[FinalElo]]-Table1[[#This Row],[CAvg]]) / Table1[[#This Row],[CStd]])</f>
        <v>0.10602955215826956</v>
      </c>
      <c r="AC842" t="str">
        <f>IF(Table1[[#This Row],[CStd]]=0,"Normal", IF(ABS(Table1[[#This Row],[CZscore]])&gt;2,"Outlier","Normal"))</f>
        <v>Normal</v>
      </c>
    </row>
    <row r="843" spans="1:29" x14ac:dyDescent="0.35">
      <c r="A843" t="s">
        <v>1368</v>
      </c>
      <c r="B843">
        <v>62.142104000000003</v>
      </c>
      <c r="C843">
        <v>170</v>
      </c>
      <c r="D843" t="s">
        <v>89</v>
      </c>
      <c r="E843">
        <v>25</v>
      </c>
      <c r="F843">
        <v>0</v>
      </c>
      <c r="G843" t="s">
        <v>34</v>
      </c>
      <c r="H843" t="s">
        <v>29</v>
      </c>
      <c r="I843" t="s">
        <v>73</v>
      </c>
      <c r="J843">
        <v>6</v>
      </c>
      <c r="K843">
        <v>4</v>
      </c>
      <c r="L843">
        <v>0</v>
      </c>
      <c r="M843">
        <v>0</v>
      </c>
      <c r="N843">
        <v>0</v>
      </c>
      <c r="O843">
        <v>0</v>
      </c>
      <c r="P843">
        <v>5</v>
      </c>
      <c r="Q843">
        <v>1</v>
      </c>
      <c r="R843">
        <v>0</v>
      </c>
      <c r="S843">
        <v>0</v>
      </c>
      <c r="T843">
        <v>0</v>
      </c>
      <c r="U843">
        <v>2</v>
      </c>
      <c r="V843">
        <v>1</v>
      </c>
      <c r="W843">
        <v>10</v>
      </c>
      <c r="X843">
        <v>1035.5</v>
      </c>
      <c r="Y843">
        <v>1284.27</v>
      </c>
      <c r="Z843">
        <f>AVERAGEIFS(Table1[FinalElo], Table1[Country], Table1[[#This Row],[Country]])</f>
        <v>1012.0629025423733</v>
      </c>
      <c r="AA843" cm="1">
        <f t="array" ref="AA843">IF(COUNTIFS(Table1[Country],Table1[[#This Row],[Country]])=1,0, _xlfn.STDEV.S(IF(Table1[Country]=Table1[[#This Row],[Country]],Table1[FinalElo])))</f>
        <v>148.42180446198614</v>
      </c>
      <c r="AB843">
        <f>IF(Table1[[#This Row],[CStd]]=0,0, (Table1[[#This Row],[FinalElo]]-Table1[[#This Row],[CAvg]]) / Table1[[#This Row],[CStd]])</f>
        <v>0.15790872198720243</v>
      </c>
      <c r="AC843" t="str">
        <f>IF(Table1[[#This Row],[CStd]]=0,"Normal", IF(ABS(Table1[[#This Row],[CZscore]])&gt;2,"Outlier","Normal"))</f>
        <v>Normal</v>
      </c>
    </row>
    <row r="844" spans="1:29" x14ac:dyDescent="0.35">
      <c r="A844" t="s">
        <v>1365</v>
      </c>
      <c r="B844">
        <v>53.977448000000003</v>
      </c>
      <c r="C844">
        <v>168</v>
      </c>
      <c r="D844" t="s">
        <v>1366</v>
      </c>
      <c r="E844">
        <v>20</v>
      </c>
      <c r="F844" t="s">
        <v>1367</v>
      </c>
      <c r="G844" t="s">
        <v>34</v>
      </c>
      <c r="H844" t="s">
        <v>29</v>
      </c>
      <c r="I844" t="s">
        <v>36</v>
      </c>
      <c r="J844">
        <v>0</v>
      </c>
      <c r="K844">
        <v>2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1</v>
      </c>
      <c r="V844">
        <v>0</v>
      </c>
      <c r="W844">
        <v>2</v>
      </c>
      <c r="X844">
        <v>798.47</v>
      </c>
      <c r="Y844">
        <v>1000</v>
      </c>
      <c r="Z844">
        <f>AVERAGEIFS(Table1[FinalElo], Table1[Country], Table1[[#This Row],[Country]])</f>
        <v>956.19333333333327</v>
      </c>
      <c r="AA844" cm="1">
        <f t="array" ref="AA844">IF(COUNTIFS(Table1[Country],Table1[[#This Row],[Country]])=1,0, _xlfn.STDEV.S(IF(Table1[Country]=Table1[[#This Row],[Country]],Table1[FinalElo])))</f>
        <v>95.923712266571499</v>
      </c>
      <c r="AB844">
        <f>IF(Table1[[#This Row],[CStd]]=0,0, (Table1[[#This Row],[FinalElo]]-Table1[[#This Row],[CAvg]]) / Table1[[#This Row],[CStd]])</f>
        <v>-1.6442580213641118</v>
      </c>
      <c r="AC844" t="str">
        <f>IF(Table1[[#This Row],[CStd]]=0,"Normal", IF(ABS(Table1[[#This Row],[CZscore]])&gt;2,"Outlier","Normal"))</f>
        <v>Normal</v>
      </c>
    </row>
    <row r="845" spans="1:29" x14ac:dyDescent="0.35">
      <c r="A845" t="s">
        <v>1364</v>
      </c>
      <c r="B845">
        <v>63.956471999999998</v>
      </c>
      <c r="C845">
        <v>173</v>
      </c>
      <c r="D845" t="s">
        <v>89</v>
      </c>
      <c r="E845">
        <v>19</v>
      </c>
      <c r="F845" t="s">
        <v>104</v>
      </c>
      <c r="G845" t="s">
        <v>34</v>
      </c>
      <c r="H845" t="s">
        <v>29</v>
      </c>
      <c r="I845" t="s">
        <v>73</v>
      </c>
      <c r="J845">
        <v>2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1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2</v>
      </c>
      <c r="X845">
        <v>1169.5899999999999</v>
      </c>
      <c r="Y845">
        <v>1169.5899999999999</v>
      </c>
      <c r="Z845">
        <f>AVERAGEIFS(Table1[FinalElo], Table1[Country], Table1[[#This Row],[Country]])</f>
        <v>1012.0629025423733</v>
      </c>
      <c r="AA845" cm="1">
        <f t="array" ref="AA845">IF(COUNTIFS(Table1[Country],Table1[[#This Row],[Country]])=1,0, _xlfn.STDEV.S(IF(Table1[Country]=Table1[[#This Row],[Country]],Table1[FinalElo])))</f>
        <v>148.42180446198614</v>
      </c>
      <c r="AB845">
        <f>IF(Table1[[#This Row],[CStd]]=0,0, (Table1[[#This Row],[FinalElo]]-Table1[[#This Row],[CAvg]]) / Table1[[#This Row],[CStd]])</f>
        <v>1.0613474080081846</v>
      </c>
      <c r="AC845" t="str">
        <f>IF(Table1[[#This Row],[CStd]]=0,"Normal", IF(ABS(Table1[[#This Row],[CZscore]])&gt;2,"Outlier","Normal"))</f>
        <v>Normal</v>
      </c>
    </row>
    <row r="846" spans="1:29" x14ac:dyDescent="0.35">
      <c r="A846" t="s">
        <v>1363</v>
      </c>
      <c r="B846">
        <v>63</v>
      </c>
      <c r="C846">
        <v>175</v>
      </c>
      <c r="D846" t="s">
        <v>89</v>
      </c>
      <c r="E846">
        <v>26</v>
      </c>
      <c r="F846" t="s">
        <v>535</v>
      </c>
      <c r="G846" t="s">
        <v>34</v>
      </c>
      <c r="H846" t="s">
        <v>29</v>
      </c>
      <c r="I846" t="s">
        <v>73</v>
      </c>
      <c r="J846">
        <v>3</v>
      </c>
      <c r="K846">
        <v>6</v>
      </c>
      <c r="L846">
        <v>0</v>
      </c>
      <c r="M846">
        <v>1</v>
      </c>
      <c r="N846">
        <v>0</v>
      </c>
      <c r="O846">
        <v>0</v>
      </c>
      <c r="P846">
        <v>0</v>
      </c>
      <c r="Q846">
        <v>0</v>
      </c>
      <c r="R846">
        <v>2</v>
      </c>
      <c r="S846">
        <v>0</v>
      </c>
      <c r="T846">
        <v>0</v>
      </c>
      <c r="U846">
        <v>2</v>
      </c>
      <c r="V846">
        <v>0</v>
      </c>
      <c r="W846">
        <v>9</v>
      </c>
      <c r="X846">
        <v>864.65</v>
      </c>
      <c r="Y846">
        <v>1052.82</v>
      </c>
      <c r="Z846">
        <f>AVERAGEIFS(Table1[FinalElo], Table1[Country], Table1[[#This Row],[Country]])</f>
        <v>1012.0629025423733</v>
      </c>
      <c r="AA846" cm="1">
        <f t="array" ref="AA846">IF(COUNTIFS(Table1[Country],Table1[[#This Row],[Country]])=1,0, _xlfn.STDEV.S(IF(Table1[Country]=Table1[[#This Row],[Country]],Table1[FinalElo])))</f>
        <v>148.42180446198614</v>
      </c>
      <c r="AB846">
        <f>IF(Table1[[#This Row],[CStd]]=0,0, (Table1[[#This Row],[FinalElo]]-Table1[[#This Row],[CAvg]]) / Table1[[#This Row],[CStd]])</f>
        <v>-0.99320246830800918</v>
      </c>
      <c r="AC846" t="str">
        <f>IF(Table1[[#This Row],[CStd]]=0,"Normal", IF(ABS(Table1[[#This Row],[CZscore]])&gt;2,"Outlier","Normal"))</f>
        <v>Normal</v>
      </c>
    </row>
    <row r="847" spans="1:29" x14ac:dyDescent="0.35">
      <c r="A847" t="s">
        <v>1361</v>
      </c>
      <c r="B847">
        <v>50.802303999999999</v>
      </c>
      <c r="C847">
        <v>166</v>
      </c>
      <c r="D847" t="s">
        <v>89</v>
      </c>
      <c r="E847">
        <v>21</v>
      </c>
      <c r="F847" t="s">
        <v>1362</v>
      </c>
      <c r="G847" t="s">
        <v>34</v>
      </c>
      <c r="H847" t="s">
        <v>29</v>
      </c>
      <c r="I847" t="s">
        <v>55</v>
      </c>
      <c r="J847">
        <v>1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1</v>
      </c>
      <c r="X847">
        <v>1075.18</v>
      </c>
      <c r="Y847">
        <v>1075.18</v>
      </c>
      <c r="Z847">
        <f>AVERAGEIFS(Table1[FinalElo], Table1[Country], Table1[[#This Row],[Country]])</f>
        <v>1012.0629025423733</v>
      </c>
      <c r="AA847" cm="1">
        <f t="array" ref="AA847">IF(COUNTIFS(Table1[Country],Table1[[#This Row],[Country]])=1,0, _xlfn.STDEV.S(IF(Table1[Country]=Table1[[#This Row],[Country]],Table1[FinalElo])))</f>
        <v>148.42180446198614</v>
      </c>
      <c r="AB847">
        <f>IF(Table1[[#This Row],[CStd]]=0,0, (Table1[[#This Row],[FinalElo]]-Table1[[#This Row],[CAvg]]) / Table1[[#This Row],[CStd]])</f>
        <v>0.42525488546928653</v>
      </c>
      <c r="AC847" t="str">
        <f>IF(Table1[[#This Row],[CStd]]=0,"Normal", IF(ABS(Table1[[#This Row],[CZscore]])&gt;2,"Outlier","Normal"))</f>
        <v>Normal</v>
      </c>
    </row>
    <row r="848" spans="1:29" x14ac:dyDescent="0.35">
      <c r="A848" t="s">
        <v>1360</v>
      </c>
      <c r="B848">
        <v>52.16</v>
      </c>
      <c r="C848">
        <v>170</v>
      </c>
      <c r="D848" t="s">
        <v>89</v>
      </c>
      <c r="E848">
        <v>22</v>
      </c>
      <c r="F848" t="s">
        <v>593</v>
      </c>
      <c r="G848" t="s">
        <v>34</v>
      </c>
      <c r="H848" t="s">
        <v>29</v>
      </c>
      <c r="I848" t="s">
        <v>36</v>
      </c>
      <c r="J848">
        <v>8</v>
      </c>
      <c r="K848">
        <v>6</v>
      </c>
      <c r="L848">
        <v>0</v>
      </c>
      <c r="M848">
        <v>0</v>
      </c>
      <c r="N848">
        <v>0</v>
      </c>
      <c r="O848">
        <v>0</v>
      </c>
      <c r="P848">
        <v>5</v>
      </c>
      <c r="Q848">
        <v>0</v>
      </c>
      <c r="R848">
        <v>1</v>
      </c>
      <c r="S848">
        <v>0</v>
      </c>
      <c r="T848">
        <v>0</v>
      </c>
      <c r="U848">
        <v>5</v>
      </c>
      <c r="V848">
        <v>0</v>
      </c>
      <c r="W848">
        <v>14</v>
      </c>
      <c r="X848">
        <v>1140.8599999999999</v>
      </c>
      <c r="Y848">
        <v>1292.02</v>
      </c>
      <c r="Z848">
        <f>AVERAGEIFS(Table1[FinalElo], Table1[Country], Table1[[#This Row],[Country]])</f>
        <v>1012.0629025423733</v>
      </c>
      <c r="AA848" cm="1">
        <f t="array" ref="AA848">IF(COUNTIFS(Table1[Country],Table1[[#This Row],[Country]])=1,0, _xlfn.STDEV.S(IF(Table1[Country]=Table1[[#This Row],[Country]],Table1[FinalElo])))</f>
        <v>148.42180446198614</v>
      </c>
      <c r="AB848">
        <f>IF(Table1[[#This Row],[CStd]]=0,0, (Table1[[#This Row],[FinalElo]]-Table1[[#This Row],[CAvg]]) / Table1[[#This Row],[CStd]])</f>
        <v>0.86777746655555699</v>
      </c>
      <c r="AC848" t="str">
        <f>IF(Table1[[#This Row],[CStd]]=0,"Normal", IF(ABS(Table1[[#This Row],[CZscore]])&gt;2,"Outlier","Normal"))</f>
        <v>Normal</v>
      </c>
    </row>
    <row r="849" spans="1:29" x14ac:dyDescent="0.35">
      <c r="A849" t="s">
        <v>1358</v>
      </c>
      <c r="B849">
        <v>51.255896</v>
      </c>
      <c r="C849">
        <v>162</v>
      </c>
      <c r="D849" t="s">
        <v>89</v>
      </c>
      <c r="E849">
        <v>25</v>
      </c>
      <c r="F849" t="s">
        <v>1359</v>
      </c>
      <c r="G849" t="s">
        <v>34</v>
      </c>
      <c r="H849" t="s">
        <v>29</v>
      </c>
      <c r="I849" t="s">
        <v>55</v>
      </c>
      <c r="J849">
        <v>1</v>
      </c>
      <c r="K849">
        <v>1</v>
      </c>
      <c r="L849">
        <v>0</v>
      </c>
      <c r="M849">
        <v>0</v>
      </c>
      <c r="N849">
        <v>0</v>
      </c>
      <c r="O849">
        <v>0</v>
      </c>
      <c r="P849">
        <v>1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2</v>
      </c>
      <c r="X849">
        <v>1066.08</v>
      </c>
      <c r="Y849">
        <v>1066.08</v>
      </c>
      <c r="Z849">
        <f>AVERAGEIFS(Table1[FinalElo], Table1[Country], Table1[[#This Row],[Country]])</f>
        <v>1012.0629025423733</v>
      </c>
      <c r="AA849" cm="1">
        <f t="array" ref="AA849">IF(COUNTIFS(Table1[Country],Table1[[#This Row],[Country]])=1,0, _xlfn.STDEV.S(IF(Table1[Country]=Table1[[#This Row],[Country]],Table1[FinalElo])))</f>
        <v>148.42180446198614</v>
      </c>
      <c r="AB849">
        <f>IF(Table1[[#This Row],[CStd]]=0,0, (Table1[[#This Row],[FinalElo]]-Table1[[#This Row],[CAvg]]) / Table1[[#This Row],[CStd]])</f>
        <v>0.36394313930781985</v>
      </c>
      <c r="AC849" t="str">
        <f>IF(Table1[[#This Row],[CStd]]=0,"Normal", IF(ABS(Table1[[#This Row],[CZscore]])&gt;2,"Outlier","Normal"))</f>
        <v>Normal</v>
      </c>
    </row>
    <row r="850" spans="1:29" x14ac:dyDescent="0.35">
      <c r="A850" t="s">
        <v>1357</v>
      </c>
      <c r="B850">
        <v>60.9</v>
      </c>
      <c r="C850">
        <v>170</v>
      </c>
      <c r="D850" t="s">
        <v>384</v>
      </c>
      <c r="E850">
        <v>24</v>
      </c>
      <c r="F850" t="s">
        <v>400</v>
      </c>
      <c r="G850" t="s">
        <v>40</v>
      </c>
      <c r="H850" t="s">
        <v>29</v>
      </c>
      <c r="I850" t="s">
        <v>58</v>
      </c>
      <c r="J850">
        <v>1</v>
      </c>
      <c r="K850">
        <v>1</v>
      </c>
      <c r="L850">
        <v>0</v>
      </c>
      <c r="M850">
        <v>0</v>
      </c>
      <c r="N850">
        <v>0</v>
      </c>
      <c r="O850">
        <v>0</v>
      </c>
      <c r="P850">
        <v>1</v>
      </c>
      <c r="Q850">
        <v>0</v>
      </c>
      <c r="R850">
        <v>0</v>
      </c>
      <c r="S850">
        <v>1</v>
      </c>
      <c r="T850">
        <v>0</v>
      </c>
      <c r="U850">
        <v>0</v>
      </c>
      <c r="V850">
        <v>0</v>
      </c>
      <c r="W850">
        <v>2</v>
      </c>
      <c r="X850">
        <v>1000</v>
      </c>
      <c r="Y850">
        <v>1100</v>
      </c>
      <c r="Z850">
        <f>AVERAGEIFS(Table1[FinalElo], Table1[Country], Table1[[#This Row],[Country]])</f>
        <v>1054.6869565217391</v>
      </c>
      <c r="AA850" cm="1">
        <f t="array" ref="AA850">IF(COUNTIFS(Table1[Country],Table1[[#This Row],[Country]])=1,0, _xlfn.STDEV.S(IF(Table1[Country]=Table1[[#This Row],[Country]],Table1[FinalElo])))</f>
        <v>191.2923801275472</v>
      </c>
      <c r="AB850">
        <f>IF(Table1[[#This Row],[CStd]]=0,0, (Table1[[#This Row],[FinalElo]]-Table1[[#This Row],[CAvg]]) / Table1[[#This Row],[CStd]])</f>
        <v>-0.28588152066107264</v>
      </c>
      <c r="AC850" t="str">
        <f>IF(Table1[[#This Row],[CStd]]=0,"Normal", IF(ABS(Table1[[#This Row],[CZscore]])&gt;2,"Outlier","Normal"))</f>
        <v>Normal</v>
      </c>
    </row>
    <row r="851" spans="1:29" x14ac:dyDescent="0.35">
      <c r="A851" t="s">
        <v>1355</v>
      </c>
      <c r="B851">
        <v>56.3</v>
      </c>
      <c r="C851">
        <v>170</v>
      </c>
      <c r="D851" t="s">
        <v>89</v>
      </c>
      <c r="E851">
        <v>25</v>
      </c>
      <c r="F851" t="s">
        <v>1356</v>
      </c>
      <c r="G851" t="s">
        <v>34</v>
      </c>
      <c r="H851" t="s">
        <v>29</v>
      </c>
      <c r="I851" t="s">
        <v>36</v>
      </c>
      <c r="J851">
        <v>7</v>
      </c>
      <c r="K851">
        <v>3</v>
      </c>
      <c r="L851">
        <v>0</v>
      </c>
      <c r="M851">
        <v>1</v>
      </c>
      <c r="N851">
        <v>0</v>
      </c>
      <c r="O851">
        <v>0</v>
      </c>
      <c r="P851">
        <v>6</v>
      </c>
      <c r="Q851">
        <v>0</v>
      </c>
      <c r="R851">
        <v>0</v>
      </c>
      <c r="S851">
        <v>0</v>
      </c>
      <c r="T851">
        <v>0</v>
      </c>
      <c r="U851">
        <v>1</v>
      </c>
      <c r="V851">
        <v>0</v>
      </c>
      <c r="W851">
        <v>10</v>
      </c>
      <c r="X851">
        <v>1347.76</v>
      </c>
      <c r="Y851">
        <v>1363.77</v>
      </c>
      <c r="Z851">
        <f>AVERAGEIFS(Table1[FinalElo], Table1[Country], Table1[[#This Row],[Country]])</f>
        <v>1012.0629025423733</v>
      </c>
      <c r="AA851" cm="1">
        <f t="array" ref="AA851">IF(COUNTIFS(Table1[Country],Table1[[#This Row],[Country]])=1,0, _xlfn.STDEV.S(IF(Table1[Country]=Table1[[#This Row],[Country]],Table1[FinalElo])))</f>
        <v>148.42180446198614</v>
      </c>
      <c r="AB851">
        <f>IF(Table1[[#This Row],[CStd]]=0,0, (Table1[[#This Row],[FinalElo]]-Table1[[#This Row],[CAvg]]) / Table1[[#This Row],[CStd]])</f>
        <v>2.2617774974134988</v>
      </c>
      <c r="AC851" t="str">
        <f>IF(Table1[[#This Row],[CStd]]=0,"Normal", IF(ABS(Table1[[#This Row],[CZscore]])&gt;2,"Outlier","Normal"))</f>
        <v>Outlier</v>
      </c>
    </row>
    <row r="852" spans="1:29" x14ac:dyDescent="0.35">
      <c r="A852" t="s">
        <v>1353</v>
      </c>
      <c r="B852">
        <v>51.709488</v>
      </c>
      <c r="C852">
        <v>163</v>
      </c>
      <c r="D852" t="s">
        <v>89</v>
      </c>
      <c r="E852">
        <v>29</v>
      </c>
      <c r="F852" t="s">
        <v>1354</v>
      </c>
      <c r="G852" t="s">
        <v>34</v>
      </c>
      <c r="H852" t="s">
        <v>29</v>
      </c>
      <c r="I852" t="s">
        <v>55</v>
      </c>
      <c r="J852">
        <v>0</v>
      </c>
      <c r="K852">
        <v>1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1</v>
      </c>
      <c r="X852">
        <v>928.01</v>
      </c>
      <c r="Y852">
        <v>1000</v>
      </c>
      <c r="Z852">
        <f>AVERAGEIFS(Table1[FinalElo], Table1[Country], Table1[[#This Row],[Country]])</f>
        <v>1012.0629025423733</v>
      </c>
      <c r="AA852" cm="1">
        <f t="array" ref="AA852">IF(COUNTIFS(Table1[Country],Table1[[#This Row],[Country]])=1,0, _xlfn.STDEV.S(IF(Table1[Country]=Table1[[#This Row],[Country]],Table1[FinalElo])))</f>
        <v>148.42180446198614</v>
      </c>
      <c r="AB852">
        <f>IF(Table1[[#This Row],[CStd]]=0,0, (Table1[[#This Row],[FinalElo]]-Table1[[#This Row],[CAvg]]) / Table1[[#This Row],[CStd]])</f>
        <v>-0.56631101371564974</v>
      </c>
      <c r="AC852" t="str">
        <f>IF(Table1[[#This Row],[CStd]]=0,"Normal", IF(ABS(Table1[[#This Row],[CZscore]])&gt;2,"Outlier","Normal"))</f>
        <v>Normal</v>
      </c>
    </row>
    <row r="853" spans="1:29" x14ac:dyDescent="0.35">
      <c r="A853" t="s">
        <v>1352</v>
      </c>
      <c r="B853">
        <v>64.7</v>
      </c>
      <c r="C853">
        <v>165</v>
      </c>
      <c r="D853" t="s">
        <v>89</v>
      </c>
      <c r="E853">
        <v>26</v>
      </c>
      <c r="F853" t="s">
        <v>653</v>
      </c>
      <c r="G853" t="s">
        <v>34</v>
      </c>
      <c r="H853" t="s">
        <v>29</v>
      </c>
      <c r="I853" t="s">
        <v>73</v>
      </c>
      <c r="J853">
        <v>7</v>
      </c>
      <c r="K853">
        <v>4</v>
      </c>
      <c r="L853">
        <v>0</v>
      </c>
      <c r="M853">
        <v>0</v>
      </c>
      <c r="N853">
        <v>0</v>
      </c>
      <c r="O853">
        <v>0</v>
      </c>
      <c r="P853">
        <v>2</v>
      </c>
      <c r="Q853">
        <v>3</v>
      </c>
      <c r="R853">
        <v>1</v>
      </c>
      <c r="S853">
        <v>0</v>
      </c>
      <c r="T853">
        <v>0</v>
      </c>
      <c r="U853">
        <v>3</v>
      </c>
      <c r="V853">
        <v>0</v>
      </c>
      <c r="W853">
        <v>11</v>
      </c>
      <c r="X853">
        <v>1048.82</v>
      </c>
      <c r="Y853">
        <v>1301.58</v>
      </c>
      <c r="Z853">
        <f>AVERAGEIFS(Table1[FinalElo], Table1[Country], Table1[[#This Row],[Country]])</f>
        <v>1012.0629025423733</v>
      </c>
      <c r="AA853" cm="1">
        <f t="array" ref="AA853">IF(COUNTIFS(Table1[Country],Table1[[#This Row],[Country]])=1,0, _xlfn.STDEV.S(IF(Table1[Country]=Table1[[#This Row],[Country]],Table1[FinalElo])))</f>
        <v>148.42180446198614</v>
      </c>
      <c r="AB853">
        <f>IF(Table1[[#This Row],[CStd]]=0,0, (Table1[[#This Row],[FinalElo]]-Table1[[#This Row],[CAvg]]) / Table1[[#This Row],[CStd]])</f>
        <v>0.24765294823673212</v>
      </c>
      <c r="AC853" t="str">
        <f>IF(Table1[[#This Row],[CStd]]=0,"Normal", IF(ABS(Table1[[#This Row],[CZscore]])&gt;2,"Outlier","Normal"))</f>
        <v>Normal</v>
      </c>
    </row>
    <row r="854" spans="1:29" x14ac:dyDescent="0.35">
      <c r="A854" t="s">
        <v>1350</v>
      </c>
      <c r="B854">
        <v>53.070264000000002</v>
      </c>
      <c r="C854">
        <v>160</v>
      </c>
      <c r="D854" t="s">
        <v>82</v>
      </c>
      <c r="E854">
        <v>23</v>
      </c>
      <c r="F854" t="s">
        <v>1351</v>
      </c>
      <c r="G854" t="s">
        <v>34</v>
      </c>
      <c r="H854" t="s">
        <v>29</v>
      </c>
      <c r="I854" t="s">
        <v>36</v>
      </c>
      <c r="J854">
        <v>1</v>
      </c>
      <c r="K854">
        <v>1</v>
      </c>
      <c r="L854">
        <v>0</v>
      </c>
      <c r="M854">
        <v>0</v>
      </c>
      <c r="N854">
        <v>0</v>
      </c>
      <c r="O854">
        <v>0</v>
      </c>
      <c r="P854">
        <v>1</v>
      </c>
      <c r="Q854">
        <v>0</v>
      </c>
      <c r="R854">
        <v>0</v>
      </c>
      <c r="S854">
        <v>0</v>
      </c>
      <c r="T854">
        <v>0</v>
      </c>
      <c r="U854">
        <v>1</v>
      </c>
      <c r="V854">
        <v>0</v>
      </c>
      <c r="W854">
        <v>2</v>
      </c>
      <c r="X854">
        <v>971.99</v>
      </c>
      <c r="Y854">
        <v>1100</v>
      </c>
      <c r="Z854">
        <f>AVERAGEIFS(Table1[FinalElo], Table1[Country], Table1[[#This Row],[Country]])</f>
        <v>1012.5275373134326</v>
      </c>
      <c r="AA854" cm="1">
        <f t="array" ref="AA854">IF(COUNTIFS(Table1[Country],Table1[[#This Row],[Country]])=1,0, _xlfn.STDEV.S(IF(Table1[Country]=Table1[[#This Row],[Country]],Table1[FinalElo])))</f>
        <v>135.61062237674741</v>
      </c>
      <c r="AB854">
        <f>IF(Table1[[#This Row],[CStd]]=0,0, (Table1[[#This Row],[FinalElo]]-Table1[[#This Row],[CAvg]]) / Table1[[#This Row],[CStd]])</f>
        <v>-0.29892597351860106</v>
      </c>
      <c r="AC854" t="str">
        <f>IF(Table1[[#This Row],[CStd]]=0,"Normal", IF(ABS(Table1[[#This Row],[CZscore]])&gt;2,"Outlier","Normal"))</f>
        <v>Normal</v>
      </c>
    </row>
    <row r="855" spans="1:29" x14ac:dyDescent="0.35">
      <c r="A855" t="s">
        <v>1348</v>
      </c>
      <c r="B855">
        <v>47.63</v>
      </c>
      <c r="C855">
        <v>166</v>
      </c>
      <c r="D855" t="s">
        <v>89</v>
      </c>
      <c r="E855">
        <v>28</v>
      </c>
      <c r="F855" t="s">
        <v>1349</v>
      </c>
      <c r="G855" t="s">
        <v>34</v>
      </c>
      <c r="H855" t="s">
        <v>29</v>
      </c>
      <c r="I855" t="s">
        <v>55</v>
      </c>
      <c r="J855">
        <v>2</v>
      </c>
      <c r="K855">
        <v>3</v>
      </c>
      <c r="L855">
        <v>0</v>
      </c>
      <c r="M855">
        <v>0</v>
      </c>
      <c r="N855">
        <v>0</v>
      </c>
      <c r="O855">
        <v>0</v>
      </c>
      <c r="P855">
        <v>1</v>
      </c>
      <c r="Q855">
        <v>0</v>
      </c>
      <c r="R855">
        <v>1</v>
      </c>
      <c r="S855">
        <v>0</v>
      </c>
      <c r="T855">
        <v>0</v>
      </c>
      <c r="U855">
        <v>2</v>
      </c>
      <c r="V855">
        <v>0</v>
      </c>
      <c r="W855">
        <v>5</v>
      </c>
      <c r="X855">
        <v>1155.44</v>
      </c>
      <c r="Y855">
        <v>1155.44</v>
      </c>
      <c r="Z855">
        <f>AVERAGEIFS(Table1[FinalElo], Table1[Country], Table1[[#This Row],[Country]])</f>
        <v>1012.0629025423733</v>
      </c>
      <c r="AA855" cm="1">
        <f t="array" ref="AA855">IF(COUNTIFS(Table1[Country],Table1[[#This Row],[Country]])=1,0, _xlfn.STDEV.S(IF(Table1[Country]=Table1[[#This Row],[Country]],Table1[FinalElo])))</f>
        <v>148.42180446198614</v>
      </c>
      <c r="AB855">
        <f>IF(Table1[[#This Row],[CStd]]=0,0, (Table1[[#This Row],[FinalElo]]-Table1[[#This Row],[CAvg]]) / Table1[[#This Row],[CStd]])</f>
        <v>0.96601101150436797</v>
      </c>
      <c r="AC855" t="str">
        <f>IF(Table1[[#This Row],[CStd]]=0,"Normal", IF(ABS(Table1[[#This Row],[CZscore]])&gt;2,"Outlier","Normal"))</f>
        <v>Normal</v>
      </c>
    </row>
    <row r="856" spans="1:29" x14ac:dyDescent="0.35">
      <c r="A856" t="s">
        <v>1346</v>
      </c>
      <c r="B856">
        <v>64.599999999999994</v>
      </c>
      <c r="C856">
        <v>175</v>
      </c>
      <c r="D856" t="s">
        <v>82</v>
      </c>
      <c r="E856">
        <v>28</v>
      </c>
      <c r="F856" t="s">
        <v>1347</v>
      </c>
      <c r="G856" t="s">
        <v>34</v>
      </c>
      <c r="H856" t="s">
        <v>29</v>
      </c>
      <c r="I856" t="s">
        <v>73</v>
      </c>
      <c r="J856">
        <v>0</v>
      </c>
      <c r="K856">
        <v>1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1</v>
      </c>
      <c r="V856">
        <v>0</v>
      </c>
      <c r="W856">
        <v>1</v>
      </c>
      <c r="X856">
        <v>844.08</v>
      </c>
      <c r="Y856">
        <v>1000</v>
      </c>
      <c r="Z856">
        <f>AVERAGEIFS(Table1[FinalElo], Table1[Country], Table1[[#This Row],[Country]])</f>
        <v>1012.5275373134326</v>
      </c>
      <c r="AA856" cm="1">
        <f t="array" ref="AA856">IF(COUNTIFS(Table1[Country],Table1[[#This Row],[Country]])=1,0, _xlfn.STDEV.S(IF(Table1[Country]=Table1[[#This Row],[Country]],Table1[FinalElo])))</f>
        <v>135.61062237674741</v>
      </c>
      <c r="AB856">
        <f>IF(Table1[[#This Row],[CStd]]=0,0, (Table1[[#This Row],[FinalElo]]-Table1[[#This Row],[CAvg]]) / Table1[[#This Row],[CStd]])</f>
        <v>-1.2421411712532304</v>
      </c>
      <c r="AC856" t="str">
        <f>IF(Table1[[#This Row],[CStd]]=0,"Normal", IF(ABS(Table1[[#This Row],[CZscore]])&gt;2,"Outlier","Normal"))</f>
        <v>Normal</v>
      </c>
    </row>
    <row r="857" spans="1:29" x14ac:dyDescent="0.35">
      <c r="A857" t="s">
        <v>1345</v>
      </c>
      <c r="B857">
        <v>52.16</v>
      </c>
      <c r="C857">
        <v>165</v>
      </c>
      <c r="D857" t="s">
        <v>82</v>
      </c>
      <c r="E857">
        <v>25</v>
      </c>
      <c r="F857" t="s">
        <v>206</v>
      </c>
      <c r="G857" t="s">
        <v>28</v>
      </c>
      <c r="H857" t="s">
        <v>29</v>
      </c>
      <c r="I857" t="s">
        <v>36</v>
      </c>
      <c r="J857">
        <v>1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1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1</v>
      </c>
      <c r="X857">
        <v>1119.5899999999999</v>
      </c>
      <c r="Y857">
        <v>1119.5899999999999</v>
      </c>
      <c r="Z857">
        <f>AVERAGEIFS(Table1[FinalElo], Table1[Country], Table1[[#This Row],[Country]])</f>
        <v>1012.5275373134326</v>
      </c>
      <c r="AA857" cm="1">
        <f t="array" ref="AA857">IF(COUNTIFS(Table1[Country],Table1[[#This Row],[Country]])=1,0, _xlfn.STDEV.S(IF(Table1[Country]=Table1[[#This Row],[Country]],Table1[FinalElo])))</f>
        <v>135.61062237674741</v>
      </c>
      <c r="AB857">
        <f>IF(Table1[[#This Row],[CStd]]=0,0, (Table1[[#This Row],[FinalElo]]-Table1[[#This Row],[CAvg]]) / Table1[[#This Row],[CStd]])</f>
        <v>0.78948433987074496</v>
      </c>
      <c r="AC857" t="str">
        <f>IF(Table1[[#This Row],[CStd]]=0,"Normal", IF(ABS(Table1[[#This Row],[CZscore]])&gt;2,"Outlier","Normal"))</f>
        <v>Normal</v>
      </c>
    </row>
    <row r="858" spans="1:29" x14ac:dyDescent="0.35">
      <c r="A858" t="s">
        <v>1343</v>
      </c>
      <c r="B858">
        <v>54</v>
      </c>
      <c r="C858">
        <v>165</v>
      </c>
      <c r="D858" t="s">
        <v>82</v>
      </c>
      <c r="E858">
        <v>19</v>
      </c>
      <c r="F858" t="s">
        <v>1344</v>
      </c>
      <c r="G858" t="s">
        <v>28</v>
      </c>
      <c r="H858" t="s">
        <v>29</v>
      </c>
      <c r="I858" t="s">
        <v>36</v>
      </c>
      <c r="J858">
        <v>2</v>
      </c>
      <c r="K858">
        <v>0</v>
      </c>
      <c r="L858">
        <v>0</v>
      </c>
      <c r="M858">
        <v>1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2</v>
      </c>
      <c r="X858">
        <v>1171.99</v>
      </c>
      <c r="Y858">
        <v>1171.99</v>
      </c>
      <c r="Z858">
        <f>AVERAGEIFS(Table1[FinalElo], Table1[Country], Table1[[#This Row],[Country]])</f>
        <v>1012.5275373134326</v>
      </c>
      <c r="AA858" cm="1">
        <f t="array" ref="AA858">IF(COUNTIFS(Table1[Country],Table1[[#This Row],[Country]])=1,0, _xlfn.STDEV.S(IF(Table1[Country]=Table1[[#This Row],[Country]],Table1[FinalElo])))</f>
        <v>135.61062237674741</v>
      </c>
      <c r="AB858">
        <f>IF(Table1[[#This Row],[CStd]]=0,0, (Table1[[#This Row],[FinalElo]]-Table1[[#This Row],[CAvg]]) / Table1[[#This Row],[CStd]])</f>
        <v>1.1758847492311912</v>
      </c>
      <c r="AC858" t="str">
        <f>IF(Table1[[#This Row],[CStd]]=0,"Normal", IF(ABS(Table1[[#This Row],[CZscore]])&gt;2,"Outlier","Normal"))</f>
        <v>Normal</v>
      </c>
    </row>
    <row r="859" spans="1:29" x14ac:dyDescent="0.35">
      <c r="A859" t="s">
        <v>1341</v>
      </c>
      <c r="B859">
        <v>53.523856000000002</v>
      </c>
      <c r="C859">
        <v>156</v>
      </c>
      <c r="D859" t="s">
        <v>89</v>
      </c>
      <c r="E859">
        <v>20</v>
      </c>
      <c r="F859" t="s">
        <v>1342</v>
      </c>
      <c r="G859" t="s">
        <v>34</v>
      </c>
      <c r="H859" t="s">
        <v>29</v>
      </c>
      <c r="I859" t="s">
        <v>36</v>
      </c>
      <c r="J859">
        <v>1</v>
      </c>
      <c r="K859">
        <v>2</v>
      </c>
      <c r="L859">
        <v>0</v>
      </c>
      <c r="M859">
        <v>1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2</v>
      </c>
      <c r="V859">
        <v>0</v>
      </c>
      <c r="W859">
        <v>3</v>
      </c>
      <c r="X859">
        <v>934.59</v>
      </c>
      <c r="Y859">
        <v>1048.44</v>
      </c>
      <c r="Z859">
        <f>AVERAGEIFS(Table1[FinalElo], Table1[Country], Table1[[#This Row],[Country]])</f>
        <v>1012.0629025423733</v>
      </c>
      <c r="AA859" cm="1">
        <f t="array" ref="AA859">IF(COUNTIFS(Table1[Country],Table1[[#This Row],[Country]])=1,0, _xlfn.STDEV.S(IF(Table1[Country]=Table1[[#This Row],[Country]],Table1[FinalElo])))</f>
        <v>148.42180446198614</v>
      </c>
      <c r="AB859">
        <f>IF(Table1[[#This Row],[CStd]]=0,0, (Table1[[#This Row],[FinalElo]]-Table1[[#This Row],[CAvg]]) / Table1[[#This Row],[CStd]])</f>
        <v>-0.52197790495274343</v>
      </c>
      <c r="AC859" t="str">
        <f>IF(Table1[[#This Row],[CStd]]=0,"Normal", IF(ABS(Table1[[#This Row],[CZscore]])&gt;2,"Outlier","Normal"))</f>
        <v>Normal</v>
      </c>
    </row>
    <row r="860" spans="1:29" x14ac:dyDescent="0.35">
      <c r="A860" t="s">
        <v>1339</v>
      </c>
      <c r="B860">
        <v>52.16</v>
      </c>
      <c r="C860">
        <v>167</v>
      </c>
      <c r="D860" t="s">
        <v>82</v>
      </c>
      <c r="E860">
        <v>30</v>
      </c>
      <c r="F860" t="s">
        <v>1340</v>
      </c>
      <c r="G860" t="s">
        <v>40</v>
      </c>
      <c r="H860" t="s">
        <v>29</v>
      </c>
      <c r="I860" t="s">
        <v>36</v>
      </c>
      <c r="J860">
        <v>1</v>
      </c>
      <c r="K860">
        <v>1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1</v>
      </c>
      <c r="R860">
        <v>0</v>
      </c>
      <c r="S860">
        <v>1</v>
      </c>
      <c r="T860">
        <v>0</v>
      </c>
      <c r="U860">
        <v>0</v>
      </c>
      <c r="V860">
        <v>0</v>
      </c>
      <c r="W860">
        <v>2</v>
      </c>
      <c r="X860">
        <v>1005.56</v>
      </c>
      <c r="Y860">
        <v>1079.57</v>
      </c>
      <c r="Z860">
        <f>AVERAGEIFS(Table1[FinalElo], Table1[Country], Table1[[#This Row],[Country]])</f>
        <v>1012.5275373134326</v>
      </c>
      <c r="AA860" cm="1">
        <f t="array" ref="AA860">IF(COUNTIFS(Table1[Country],Table1[[#This Row],[Country]])=1,0, _xlfn.STDEV.S(IF(Table1[Country]=Table1[[#This Row],[Country]],Table1[FinalElo])))</f>
        <v>135.61062237674741</v>
      </c>
      <c r="AB860">
        <f>IF(Table1[[#This Row],[CStd]]=0,0, (Table1[[#This Row],[FinalElo]]-Table1[[#This Row],[CAvg]]) / Table1[[#This Row],[CStd]])</f>
        <v>-5.137899370504892E-2</v>
      </c>
      <c r="AC860" t="str">
        <f>IF(Table1[[#This Row],[CStd]]=0,"Normal", IF(ABS(Table1[[#This Row],[CZscore]])&gt;2,"Outlier","Normal"))</f>
        <v>Normal</v>
      </c>
    </row>
    <row r="861" spans="1:29" x14ac:dyDescent="0.35">
      <c r="A861" t="s">
        <v>1337</v>
      </c>
      <c r="B861">
        <v>70</v>
      </c>
      <c r="C861">
        <v>185</v>
      </c>
      <c r="D861" t="s">
        <v>82</v>
      </c>
      <c r="E861">
        <v>32</v>
      </c>
      <c r="F861" t="s">
        <v>1338</v>
      </c>
      <c r="G861" t="s">
        <v>40</v>
      </c>
      <c r="H861" t="s">
        <v>29</v>
      </c>
      <c r="I861" t="s">
        <v>48</v>
      </c>
      <c r="J861">
        <v>0</v>
      </c>
      <c r="K861">
        <v>1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1</v>
      </c>
      <c r="S861">
        <v>0</v>
      </c>
      <c r="T861">
        <v>0</v>
      </c>
      <c r="U861">
        <v>0</v>
      </c>
      <c r="V861">
        <v>0</v>
      </c>
      <c r="W861">
        <v>1</v>
      </c>
      <c r="X861">
        <v>900</v>
      </c>
      <c r="Y861">
        <v>1000</v>
      </c>
      <c r="Z861">
        <f>AVERAGEIFS(Table1[FinalElo], Table1[Country], Table1[[#This Row],[Country]])</f>
        <v>1012.5275373134326</v>
      </c>
      <c r="AA861" cm="1">
        <f t="array" ref="AA861">IF(COUNTIFS(Table1[Country],Table1[[#This Row],[Country]])=1,0, _xlfn.STDEV.S(IF(Table1[Country]=Table1[[#This Row],[Country]],Table1[FinalElo])))</f>
        <v>135.61062237674741</v>
      </c>
      <c r="AB861">
        <f>IF(Table1[[#This Row],[CStd]]=0,0, (Table1[[#This Row],[FinalElo]]-Table1[[#This Row],[CAvg]]) / Table1[[#This Row],[CStd]])</f>
        <v>-0.82978409317238888</v>
      </c>
      <c r="AC861" t="str">
        <f>IF(Table1[[#This Row],[CStd]]=0,"Normal", IF(ABS(Table1[[#This Row],[CZscore]])&gt;2,"Outlier","Normal"))</f>
        <v>Normal</v>
      </c>
    </row>
    <row r="862" spans="1:29" x14ac:dyDescent="0.35">
      <c r="A862" t="s">
        <v>1335</v>
      </c>
      <c r="B862">
        <v>65.3</v>
      </c>
      <c r="C862">
        <v>170</v>
      </c>
      <c r="D862" t="s">
        <v>82</v>
      </c>
      <c r="E862">
        <v>27</v>
      </c>
      <c r="F862" t="s">
        <v>1336</v>
      </c>
      <c r="G862" t="s">
        <v>34</v>
      </c>
      <c r="H862" t="s">
        <v>29</v>
      </c>
      <c r="I862" t="s">
        <v>73</v>
      </c>
      <c r="J862">
        <v>0</v>
      </c>
      <c r="K862">
        <v>1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1</v>
      </c>
      <c r="V862">
        <v>0</v>
      </c>
      <c r="W862">
        <v>1</v>
      </c>
      <c r="X862">
        <v>900</v>
      </c>
      <c r="Y862">
        <v>1000</v>
      </c>
      <c r="Z862">
        <f>AVERAGEIFS(Table1[FinalElo], Table1[Country], Table1[[#This Row],[Country]])</f>
        <v>1012.5275373134326</v>
      </c>
      <c r="AA862" cm="1">
        <f t="array" ref="AA862">IF(COUNTIFS(Table1[Country],Table1[[#This Row],[Country]])=1,0, _xlfn.STDEV.S(IF(Table1[Country]=Table1[[#This Row],[Country]],Table1[FinalElo])))</f>
        <v>135.61062237674741</v>
      </c>
      <c r="AB862">
        <f>IF(Table1[[#This Row],[CStd]]=0,0, (Table1[[#This Row],[FinalElo]]-Table1[[#This Row],[CAvg]]) / Table1[[#This Row],[CStd]])</f>
        <v>-0.82978409317238888</v>
      </c>
      <c r="AC862" t="str">
        <f>IF(Table1[[#This Row],[CStd]]=0,"Normal", IF(ABS(Table1[[#This Row],[CZscore]])&gt;2,"Outlier","Normal"))</f>
        <v>Normal</v>
      </c>
    </row>
    <row r="863" spans="1:29" x14ac:dyDescent="0.35">
      <c r="A863" t="s">
        <v>1334</v>
      </c>
      <c r="B863">
        <v>65.8</v>
      </c>
      <c r="C863">
        <v>173</v>
      </c>
      <c r="D863" t="s">
        <v>82</v>
      </c>
      <c r="E863">
        <v>33</v>
      </c>
      <c r="F863" t="s">
        <v>975</v>
      </c>
      <c r="G863" t="s">
        <v>40</v>
      </c>
      <c r="H863" t="s">
        <v>29</v>
      </c>
      <c r="I863" t="s">
        <v>48</v>
      </c>
      <c r="J863">
        <v>0</v>
      </c>
      <c r="K863">
        <v>1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1</v>
      </c>
      <c r="V863">
        <v>0</v>
      </c>
      <c r="W863">
        <v>1</v>
      </c>
      <c r="X863">
        <v>908.04</v>
      </c>
      <c r="Y863">
        <v>1000</v>
      </c>
      <c r="Z863">
        <f>AVERAGEIFS(Table1[FinalElo], Table1[Country], Table1[[#This Row],[Country]])</f>
        <v>1012.5275373134326</v>
      </c>
      <c r="AA863" cm="1">
        <f t="array" ref="AA863">IF(COUNTIFS(Table1[Country],Table1[[#This Row],[Country]])=1,0, _xlfn.STDEV.S(IF(Table1[Country]=Table1[[#This Row],[Country]],Table1[FinalElo])))</f>
        <v>135.61062237674741</v>
      </c>
      <c r="AB863">
        <f>IF(Table1[[#This Row],[CStd]]=0,0, (Table1[[#This Row],[FinalElo]]-Table1[[#This Row],[CAvg]]) / Table1[[#This Row],[CStd]])</f>
        <v>-0.77049670211784749</v>
      </c>
      <c r="AC863" t="str">
        <f>IF(Table1[[#This Row],[CStd]]=0,"Normal", IF(ABS(Table1[[#This Row],[CZscore]])&gt;2,"Outlier","Normal"))</f>
        <v>Normal</v>
      </c>
    </row>
    <row r="864" spans="1:29" x14ac:dyDescent="0.35">
      <c r="A864" t="s">
        <v>1332</v>
      </c>
      <c r="B864">
        <v>47.63</v>
      </c>
      <c r="C864">
        <v>165</v>
      </c>
      <c r="D864" t="s">
        <v>89</v>
      </c>
      <c r="E864">
        <v>28</v>
      </c>
      <c r="F864" t="s">
        <v>1333</v>
      </c>
      <c r="G864" t="s">
        <v>34</v>
      </c>
      <c r="H864" t="s">
        <v>29</v>
      </c>
      <c r="I864" t="s">
        <v>55</v>
      </c>
      <c r="J864">
        <v>1</v>
      </c>
      <c r="K864">
        <v>1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2</v>
      </c>
      <c r="X864">
        <v>1045.82</v>
      </c>
      <c r="Y864">
        <v>1100</v>
      </c>
      <c r="Z864">
        <f>AVERAGEIFS(Table1[FinalElo], Table1[Country], Table1[[#This Row],[Country]])</f>
        <v>1012.0629025423733</v>
      </c>
      <c r="AA864" cm="1">
        <f t="array" ref="AA864">IF(COUNTIFS(Table1[Country],Table1[[#This Row],[Country]])=1,0, _xlfn.STDEV.S(IF(Table1[Country]=Table1[[#This Row],[Country]],Table1[FinalElo])))</f>
        <v>148.42180446198614</v>
      </c>
      <c r="AB864">
        <f>IF(Table1[[#This Row],[CStd]]=0,0, (Table1[[#This Row],[FinalElo]]-Table1[[#This Row],[CAvg]]) / Table1[[#This Row],[CStd]])</f>
        <v>0.22744028466701813</v>
      </c>
      <c r="AC864" t="str">
        <f>IF(Table1[[#This Row],[CStd]]=0,"Normal", IF(ABS(Table1[[#This Row],[CZscore]])&gt;2,"Outlier","Normal"))</f>
        <v>Normal</v>
      </c>
    </row>
    <row r="865" spans="1:29" x14ac:dyDescent="0.35">
      <c r="A865" t="s">
        <v>1331</v>
      </c>
      <c r="B865">
        <v>52.16</v>
      </c>
      <c r="C865">
        <v>166</v>
      </c>
      <c r="D865" t="s">
        <v>89</v>
      </c>
      <c r="E865">
        <v>24</v>
      </c>
      <c r="F865" t="s">
        <v>555</v>
      </c>
      <c r="G865" t="s">
        <v>34</v>
      </c>
      <c r="H865" t="s">
        <v>29</v>
      </c>
      <c r="I865" t="s">
        <v>36</v>
      </c>
      <c r="J865">
        <v>0</v>
      </c>
      <c r="K865">
        <v>1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1</v>
      </c>
      <c r="V865">
        <v>0</v>
      </c>
      <c r="W865">
        <v>1</v>
      </c>
      <c r="X865">
        <v>879.23</v>
      </c>
      <c r="Y865">
        <v>1000</v>
      </c>
      <c r="Z865">
        <f>AVERAGEIFS(Table1[FinalElo], Table1[Country], Table1[[#This Row],[Country]])</f>
        <v>1012.0629025423733</v>
      </c>
      <c r="AA865" cm="1">
        <f t="array" ref="AA865">IF(COUNTIFS(Table1[Country],Table1[[#This Row],[Country]])=1,0, _xlfn.STDEV.S(IF(Table1[Country]=Table1[[#This Row],[Country]],Table1[FinalElo])))</f>
        <v>148.42180446198614</v>
      </c>
      <c r="AB865">
        <f>IF(Table1[[#This Row],[CStd]]=0,0, (Table1[[#This Row],[FinalElo]]-Table1[[#This Row],[CAvg]]) / Table1[[#This Row],[CStd]])</f>
        <v>-0.89496892335919898</v>
      </c>
      <c r="AC865" t="str">
        <f>IF(Table1[[#This Row],[CStd]]=0,"Normal", IF(ABS(Table1[[#This Row],[CZscore]])&gt;2,"Outlier","Normal"))</f>
        <v>Normal</v>
      </c>
    </row>
    <row r="866" spans="1:29" x14ac:dyDescent="0.35">
      <c r="A866" t="s">
        <v>1329</v>
      </c>
      <c r="B866">
        <v>65.400000000000006</v>
      </c>
      <c r="C866">
        <v>176</v>
      </c>
      <c r="D866" t="s">
        <v>38</v>
      </c>
      <c r="E866">
        <v>26</v>
      </c>
      <c r="F866" t="s">
        <v>1330</v>
      </c>
      <c r="G866" t="s">
        <v>34</v>
      </c>
      <c r="H866" t="s">
        <v>29</v>
      </c>
      <c r="I866" t="s">
        <v>73</v>
      </c>
      <c r="J866">
        <v>3</v>
      </c>
      <c r="K866">
        <v>2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1</v>
      </c>
      <c r="V866">
        <v>1</v>
      </c>
      <c r="W866">
        <v>5</v>
      </c>
      <c r="X866">
        <v>1096.8</v>
      </c>
      <c r="Y866">
        <v>1136.8499999999999</v>
      </c>
      <c r="Z866">
        <f>AVERAGEIFS(Table1[FinalElo], Table1[Country], Table1[[#This Row],[Country]])</f>
        <v>1057.4495402298851</v>
      </c>
      <c r="AA866" cm="1">
        <f t="array" ref="AA866">IF(COUNTIFS(Table1[Country],Table1[[#This Row],[Country]])=1,0, _xlfn.STDEV.S(IF(Table1[Country]=Table1[[#This Row],[Country]],Table1[FinalElo])))</f>
        <v>156.98667602259493</v>
      </c>
      <c r="AB866">
        <f>IF(Table1[[#This Row],[CStd]]=0,0, (Table1[[#This Row],[FinalElo]]-Table1[[#This Row],[CAvg]]) / Table1[[#This Row],[CStd]])</f>
        <v>0.25066114378045173</v>
      </c>
      <c r="AC866" t="str">
        <f>IF(Table1[[#This Row],[CStd]]=0,"Normal", IF(ABS(Table1[[#This Row],[CZscore]])&gt;2,"Outlier","Normal"))</f>
        <v>Normal</v>
      </c>
    </row>
    <row r="867" spans="1:29" x14ac:dyDescent="0.35">
      <c r="A867" t="s">
        <v>1327</v>
      </c>
      <c r="B867">
        <v>115</v>
      </c>
      <c r="C867">
        <v>193</v>
      </c>
      <c r="D867" t="s">
        <v>771</v>
      </c>
      <c r="E867">
        <v>34</v>
      </c>
      <c r="F867" t="s">
        <v>1328</v>
      </c>
      <c r="G867" t="s">
        <v>40</v>
      </c>
      <c r="H867" t="s">
        <v>29</v>
      </c>
      <c r="I867" t="s">
        <v>94</v>
      </c>
      <c r="J867">
        <v>5</v>
      </c>
      <c r="K867">
        <v>2</v>
      </c>
      <c r="L867">
        <v>0</v>
      </c>
      <c r="M867">
        <v>2</v>
      </c>
      <c r="N867">
        <v>0</v>
      </c>
      <c r="O867">
        <v>0</v>
      </c>
      <c r="P867">
        <v>3</v>
      </c>
      <c r="Q867">
        <v>0</v>
      </c>
      <c r="R867">
        <v>0</v>
      </c>
      <c r="S867">
        <v>1</v>
      </c>
      <c r="T867">
        <v>0</v>
      </c>
      <c r="U867">
        <v>0</v>
      </c>
      <c r="V867">
        <v>0</v>
      </c>
      <c r="W867">
        <v>7</v>
      </c>
      <c r="X867">
        <v>1291.7</v>
      </c>
      <c r="Y867">
        <v>1291.7</v>
      </c>
      <c r="Z867">
        <f>AVERAGEIFS(Table1[FinalElo], Table1[Country], Table1[[#This Row],[Country]])</f>
        <v>1087.95</v>
      </c>
      <c r="AA867" cm="1">
        <f t="array" ref="AA867">IF(COUNTIFS(Table1[Country],Table1[[#This Row],[Country]])=1,0, _xlfn.STDEV.S(IF(Table1[Country]=Table1[[#This Row],[Country]],Table1[FinalElo])))</f>
        <v>180.95070019206861</v>
      </c>
      <c r="AB867">
        <f>IF(Table1[[#This Row],[CStd]]=0,0, (Table1[[#This Row],[FinalElo]]-Table1[[#This Row],[CAvg]]) / Table1[[#This Row],[CStd]])</f>
        <v>1.1259973008323885</v>
      </c>
      <c r="AC867" t="str">
        <f>IF(Table1[[#This Row],[CStd]]=0,"Normal", IF(ABS(Table1[[#This Row],[CZscore]])&gt;2,"Outlier","Normal"))</f>
        <v>Normal</v>
      </c>
    </row>
    <row r="868" spans="1:29" x14ac:dyDescent="0.35">
      <c r="A868" t="s">
        <v>1325</v>
      </c>
      <c r="B868">
        <v>70.099999999999994</v>
      </c>
      <c r="C868">
        <v>177</v>
      </c>
      <c r="D868" t="s">
        <v>106</v>
      </c>
      <c r="E868">
        <v>31</v>
      </c>
      <c r="F868" t="s">
        <v>1326</v>
      </c>
      <c r="G868" t="s">
        <v>40</v>
      </c>
      <c r="H868" t="s">
        <v>29</v>
      </c>
      <c r="I868" t="s">
        <v>48</v>
      </c>
      <c r="J868">
        <v>1</v>
      </c>
      <c r="K868">
        <v>2</v>
      </c>
      <c r="L868">
        <v>0</v>
      </c>
      <c r="M868">
        <v>0</v>
      </c>
      <c r="N868">
        <v>0</v>
      </c>
      <c r="O868">
        <v>0</v>
      </c>
      <c r="P868">
        <v>1</v>
      </c>
      <c r="Q868">
        <v>0</v>
      </c>
      <c r="R868">
        <v>1</v>
      </c>
      <c r="S868">
        <v>0</v>
      </c>
      <c r="T868">
        <v>0</v>
      </c>
      <c r="U868">
        <v>0</v>
      </c>
      <c r="V868">
        <v>1</v>
      </c>
      <c r="W868">
        <v>3</v>
      </c>
      <c r="X868">
        <v>917.75</v>
      </c>
      <c r="Y868">
        <v>1013.3</v>
      </c>
      <c r="Z868">
        <f>AVERAGEIFS(Table1[FinalElo], Table1[Country], Table1[[#This Row],[Country]])</f>
        <v>1073.1599999999999</v>
      </c>
      <c r="AA868" cm="1">
        <f t="array" ref="AA868">IF(COUNTIFS(Table1[Country],Table1[[#This Row],[Country]])=1,0, _xlfn.STDEV.S(IF(Table1[Country]=Table1[[#This Row],[Country]],Table1[FinalElo])))</f>
        <v>207.614862425599</v>
      </c>
      <c r="AB868">
        <f>IF(Table1[[#This Row],[CStd]]=0,0, (Table1[[#This Row],[FinalElo]]-Table1[[#This Row],[CAvg]]) / Table1[[#This Row],[CStd]])</f>
        <v>-0.74854949296172224</v>
      </c>
      <c r="AC868" t="str">
        <f>IF(Table1[[#This Row],[CStd]]=0,"Normal", IF(ABS(Table1[[#This Row],[CZscore]])&gt;2,"Outlier","Normal"))</f>
        <v>Normal</v>
      </c>
    </row>
    <row r="869" spans="1:29" x14ac:dyDescent="0.35">
      <c r="A869" t="s">
        <v>1324</v>
      </c>
      <c r="B869">
        <v>60.8</v>
      </c>
      <c r="C869">
        <v>172</v>
      </c>
      <c r="D869" t="s">
        <v>82</v>
      </c>
      <c r="E869">
        <v>26</v>
      </c>
      <c r="F869">
        <v>1</v>
      </c>
      <c r="G869" t="s">
        <v>34</v>
      </c>
      <c r="H869" t="s">
        <v>29</v>
      </c>
      <c r="I869" t="s">
        <v>58</v>
      </c>
      <c r="J869">
        <v>1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1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1</v>
      </c>
      <c r="X869">
        <v>1065.8699999999999</v>
      </c>
      <c r="Y869">
        <v>1065.8699999999999</v>
      </c>
      <c r="Z869">
        <f>AVERAGEIFS(Table1[FinalElo], Table1[Country], Table1[[#This Row],[Country]])</f>
        <v>1012.5275373134326</v>
      </c>
      <c r="AA869" cm="1">
        <f t="array" ref="AA869">IF(COUNTIFS(Table1[Country],Table1[[#This Row],[Country]])=1,0, _xlfn.STDEV.S(IF(Table1[Country]=Table1[[#This Row],[Country]],Table1[FinalElo])))</f>
        <v>135.61062237674741</v>
      </c>
      <c r="AB869">
        <f>IF(Table1[[#This Row],[CStd]]=0,0, (Table1[[#This Row],[FinalElo]]-Table1[[#This Row],[CAvg]]) / Table1[[#This Row],[CStd]])</f>
        <v>0.39335017974015052</v>
      </c>
      <c r="AC869" t="str">
        <f>IF(Table1[[#This Row],[CStd]]=0,"Normal", IF(ABS(Table1[[#This Row],[CZscore]])&gt;2,"Outlier","Normal"))</f>
        <v>Normal</v>
      </c>
    </row>
    <row r="870" spans="1:29" x14ac:dyDescent="0.35">
      <c r="A870" t="s">
        <v>1322</v>
      </c>
      <c r="B870">
        <v>77</v>
      </c>
      <c r="C870">
        <v>179</v>
      </c>
      <c r="D870" t="s">
        <v>513</v>
      </c>
      <c r="E870">
        <v>34</v>
      </c>
      <c r="F870" t="s">
        <v>1323</v>
      </c>
      <c r="G870" t="s">
        <v>40</v>
      </c>
      <c r="H870" t="s">
        <v>29</v>
      </c>
      <c r="I870" t="s">
        <v>30</v>
      </c>
      <c r="J870">
        <v>0</v>
      </c>
      <c r="K870">
        <v>2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1</v>
      </c>
      <c r="S870">
        <v>0</v>
      </c>
      <c r="T870">
        <v>0</v>
      </c>
      <c r="U870">
        <v>1</v>
      </c>
      <c r="V870">
        <v>0</v>
      </c>
      <c r="W870">
        <v>2</v>
      </c>
      <c r="X870">
        <v>783.77</v>
      </c>
      <c r="Y870">
        <v>1000</v>
      </c>
      <c r="Z870">
        <f>AVERAGEIFS(Table1[FinalElo], Table1[Country], Table1[[#This Row],[Country]])</f>
        <v>991.92857142857144</v>
      </c>
      <c r="AA870" cm="1">
        <f t="array" ref="AA870">IF(COUNTIFS(Table1[Country],Table1[[#This Row],[Country]])=1,0, _xlfn.STDEV.S(IF(Table1[Country]=Table1[[#This Row],[Country]],Table1[FinalElo])))</f>
        <v>154.84924955929111</v>
      </c>
      <c r="AB870">
        <f>IF(Table1[[#This Row],[CStd]]=0,0, (Table1[[#This Row],[FinalElo]]-Table1[[#This Row],[CAvg]]) / Table1[[#This Row],[CStd]])</f>
        <v>-1.3442659361992479</v>
      </c>
      <c r="AC870" t="str">
        <f>IF(Table1[[#This Row],[CStd]]=0,"Normal", IF(ABS(Table1[[#This Row],[CZscore]])&gt;2,"Outlier","Normal"))</f>
        <v>Normal</v>
      </c>
    </row>
    <row r="871" spans="1:29" x14ac:dyDescent="0.35">
      <c r="A871" t="s">
        <v>1321</v>
      </c>
      <c r="B871">
        <v>65.5</v>
      </c>
      <c r="C871">
        <v>173</v>
      </c>
      <c r="D871" t="s">
        <v>513</v>
      </c>
      <c r="E871">
        <v>32</v>
      </c>
      <c r="F871" t="s">
        <v>514</v>
      </c>
      <c r="G871" t="s">
        <v>40</v>
      </c>
      <c r="H871" t="s">
        <v>29</v>
      </c>
      <c r="I871" t="s">
        <v>73</v>
      </c>
      <c r="J871">
        <v>4</v>
      </c>
      <c r="K871">
        <v>5</v>
      </c>
      <c r="L871">
        <v>0</v>
      </c>
      <c r="M871">
        <v>3</v>
      </c>
      <c r="N871">
        <v>0</v>
      </c>
      <c r="O871">
        <v>0</v>
      </c>
      <c r="P871">
        <v>0</v>
      </c>
      <c r="Q871">
        <v>0</v>
      </c>
      <c r="R871">
        <v>2</v>
      </c>
      <c r="S871">
        <v>1</v>
      </c>
      <c r="T871">
        <v>0</v>
      </c>
      <c r="U871">
        <v>1</v>
      </c>
      <c r="V871">
        <v>0</v>
      </c>
      <c r="W871">
        <v>9</v>
      </c>
      <c r="X871">
        <v>1001.63</v>
      </c>
      <c r="Y871">
        <v>1258.32</v>
      </c>
      <c r="Z871">
        <f>AVERAGEIFS(Table1[FinalElo], Table1[Country], Table1[[#This Row],[Country]])</f>
        <v>991.92857142857144</v>
      </c>
      <c r="AA871" cm="1">
        <f t="array" ref="AA871">IF(COUNTIFS(Table1[Country],Table1[[#This Row],[Country]])=1,0, _xlfn.STDEV.S(IF(Table1[Country]=Table1[[#This Row],[Country]],Table1[FinalElo])))</f>
        <v>154.84924955929111</v>
      </c>
      <c r="AB871">
        <f>IF(Table1[[#This Row],[CStd]]=0,0, (Table1[[#This Row],[FinalElo]]-Table1[[#This Row],[CAvg]]) / Table1[[#This Row],[CStd]])</f>
        <v>6.2650794879789945E-2</v>
      </c>
      <c r="AC871" t="str">
        <f>IF(Table1[[#This Row],[CStd]]=0,"Normal", IF(ABS(Table1[[#This Row],[CZscore]])&gt;2,"Outlier","Normal"))</f>
        <v>Normal</v>
      </c>
    </row>
    <row r="872" spans="1:29" x14ac:dyDescent="0.35">
      <c r="A872" t="s">
        <v>1320</v>
      </c>
      <c r="B872">
        <v>56.7</v>
      </c>
      <c r="C872">
        <v>174</v>
      </c>
      <c r="D872" t="s">
        <v>52</v>
      </c>
      <c r="E872">
        <v>31</v>
      </c>
      <c r="F872" t="s">
        <v>653</v>
      </c>
      <c r="G872" t="s">
        <v>34</v>
      </c>
      <c r="H872" t="s">
        <v>29</v>
      </c>
      <c r="I872" t="s">
        <v>58</v>
      </c>
      <c r="J872">
        <v>0</v>
      </c>
      <c r="K872">
        <v>1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1</v>
      </c>
      <c r="V872">
        <v>0</v>
      </c>
      <c r="W872">
        <v>1</v>
      </c>
      <c r="X872">
        <v>912.13</v>
      </c>
      <c r="Y872">
        <v>1000</v>
      </c>
      <c r="Z872">
        <f>AVERAGEIFS(Table1[FinalElo], Table1[Country], Table1[[#This Row],[Country]])</f>
        <v>1039.8985714285714</v>
      </c>
      <c r="AA872" cm="1">
        <f t="array" ref="AA872">IF(COUNTIFS(Table1[Country],Table1[[#This Row],[Country]])=1,0, _xlfn.STDEV.S(IF(Table1[Country]=Table1[[#This Row],[Country]],Table1[FinalElo])))</f>
        <v>194.01778111336392</v>
      </c>
      <c r="AB872">
        <f>IF(Table1[[#This Row],[CStd]]=0,0, (Table1[[#This Row],[FinalElo]]-Table1[[#This Row],[CAvg]]) / Table1[[#This Row],[CStd]])</f>
        <v>-0.65854052497341276</v>
      </c>
      <c r="AC872" t="str">
        <f>IF(Table1[[#This Row],[CStd]]=0,"Normal", IF(ABS(Table1[[#This Row],[CZscore]])&gt;2,"Outlier","Normal"))</f>
        <v>Normal</v>
      </c>
    </row>
    <row r="873" spans="1:29" x14ac:dyDescent="0.35">
      <c r="A873" t="s">
        <v>1318</v>
      </c>
      <c r="B873">
        <v>77.099999999999994</v>
      </c>
      <c r="C873">
        <v>179</v>
      </c>
      <c r="D873" t="s">
        <v>165</v>
      </c>
      <c r="E873">
        <v>36</v>
      </c>
      <c r="F873" t="s">
        <v>1319</v>
      </c>
      <c r="G873" t="s">
        <v>40</v>
      </c>
      <c r="H873" t="s">
        <v>29</v>
      </c>
      <c r="I873" t="s">
        <v>30</v>
      </c>
      <c r="J873">
        <v>1</v>
      </c>
      <c r="K873">
        <v>2</v>
      </c>
      <c r="L873">
        <v>0</v>
      </c>
      <c r="M873">
        <v>1</v>
      </c>
      <c r="N873">
        <v>0</v>
      </c>
      <c r="O873">
        <v>0</v>
      </c>
      <c r="P873">
        <v>0</v>
      </c>
      <c r="Q873">
        <v>0</v>
      </c>
      <c r="R873">
        <v>2</v>
      </c>
      <c r="S873">
        <v>0</v>
      </c>
      <c r="T873">
        <v>0</v>
      </c>
      <c r="U873">
        <v>0</v>
      </c>
      <c r="V873">
        <v>0</v>
      </c>
      <c r="W873">
        <v>3</v>
      </c>
      <c r="X873">
        <v>880.03</v>
      </c>
      <c r="Y873">
        <v>1100</v>
      </c>
      <c r="Z873">
        <f>AVERAGEIFS(Table1[FinalElo], Table1[Country], Table1[[#This Row],[Country]])</f>
        <v>902.68</v>
      </c>
      <c r="AA873" cm="1">
        <f t="array" ref="AA873">IF(COUNTIFS(Table1[Country],Table1[[#This Row],[Country]])=1,0, _xlfn.STDEV.S(IF(Table1[Country]=Table1[[#This Row],[Country]],Table1[FinalElo])))</f>
        <v>24.102010289600333</v>
      </c>
      <c r="AB873">
        <f>IF(Table1[[#This Row],[CStd]]=0,0, (Table1[[#This Row],[FinalElo]]-Table1[[#This Row],[CAvg]]) / Table1[[#This Row],[CStd]])</f>
        <v>-0.93975563564393316</v>
      </c>
      <c r="AC873" t="str">
        <f>IF(Table1[[#This Row],[CStd]]=0,"Normal", IF(ABS(Table1[[#This Row],[CZscore]])&gt;2,"Outlier","Normal"))</f>
        <v>Normal</v>
      </c>
    </row>
    <row r="874" spans="1:29" x14ac:dyDescent="0.35">
      <c r="A874" t="s">
        <v>1317</v>
      </c>
      <c r="B874">
        <v>61.23</v>
      </c>
      <c r="C874">
        <v>178</v>
      </c>
      <c r="D874" t="s">
        <v>38</v>
      </c>
      <c r="E874">
        <v>30</v>
      </c>
      <c r="F874" t="s">
        <v>252</v>
      </c>
      <c r="G874" t="s">
        <v>34</v>
      </c>
      <c r="H874" t="s">
        <v>29</v>
      </c>
      <c r="I874" t="s">
        <v>73</v>
      </c>
      <c r="J874">
        <v>4</v>
      </c>
      <c r="K874">
        <v>0</v>
      </c>
      <c r="L874">
        <v>1</v>
      </c>
      <c r="M874">
        <v>0</v>
      </c>
      <c r="N874">
        <v>0</v>
      </c>
      <c r="O874">
        <v>0</v>
      </c>
      <c r="P874">
        <v>3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5</v>
      </c>
      <c r="X874">
        <v>1498.42</v>
      </c>
      <c r="Y874">
        <v>1498.42</v>
      </c>
      <c r="Z874">
        <f>AVERAGEIFS(Table1[FinalElo], Table1[Country], Table1[[#This Row],[Country]])</f>
        <v>1057.4495402298851</v>
      </c>
      <c r="AA874" cm="1">
        <f t="array" ref="AA874">IF(COUNTIFS(Table1[Country],Table1[[#This Row],[Country]])=1,0, _xlfn.STDEV.S(IF(Table1[Country]=Table1[[#This Row],[Country]],Table1[FinalElo])))</f>
        <v>156.98667602259493</v>
      </c>
      <c r="AB874">
        <f>IF(Table1[[#This Row],[CStd]]=0,0, (Table1[[#This Row],[FinalElo]]-Table1[[#This Row],[CAvg]]) / Table1[[#This Row],[CStd]])</f>
        <v>2.8089674292272204</v>
      </c>
      <c r="AC874" t="str">
        <f>IF(Table1[[#This Row],[CStd]]=0,"Normal", IF(ABS(Table1[[#This Row],[CZscore]])&gt;2,"Outlier","Normal"))</f>
        <v>Outlier</v>
      </c>
    </row>
    <row r="875" spans="1:29" x14ac:dyDescent="0.35">
      <c r="A875" t="s">
        <v>1316</v>
      </c>
      <c r="B875">
        <v>58.96696</v>
      </c>
      <c r="C875">
        <v>170</v>
      </c>
      <c r="D875" t="s">
        <v>384</v>
      </c>
      <c r="E875">
        <v>19</v>
      </c>
      <c r="F875" t="s">
        <v>87</v>
      </c>
      <c r="G875" t="s">
        <v>34</v>
      </c>
      <c r="H875" t="s">
        <v>29</v>
      </c>
      <c r="I875" t="s">
        <v>58</v>
      </c>
      <c r="J875">
        <v>1</v>
      </c>
      <c r="K875">
        <v>1</v>
      </c>
      <c r="L875">
        <v>0</v>
      </c>
      <c r="M875">
        <v>0</v>
      </c>
      <c r="N875">
        <v>0</v>
      </c>
      <c r="O875">
        <v>0</v>
      </c>
      <c r="P875">
        <v>1</v>
      </c>
      <c r="Q875">
        <v>0</v>
      </c>
      <c r="R875">
        <v>0</v>
      </c>
      <c r="S875">
        <v>0</v>
      </c>
      <c r="T875">
        <v>0</v>
      </c>
      <c r="U875">
        <v>1</v>
      </c>
      <c r="V875">
        <v>0</v>
      </c>
      <c r="W875">
        <v>2</v>
      </c>
      <c r="X875">
        <v>1048.44</v>
      </c>
      <c r="Y875">
        <v>1048.44</v>
      </c>
      <c r="Z875">
        <f>AVERAGEIFS(Table1[FinalElo], Table1[Country], Table1[[#This Row],[Country]])</f>
        <v>1054.6869565217391</v>
      </c>
      <c r="AA875" cm="1">
        <f t="array" ref="AA875">IF(COUNTIFS(Table1[Country],Table1[[#This Row],[Country]])=1,0, _xlfn.STDEV.S(IF(Table1[Country]=Table1[[#This Row],[Country]],Table1[FinalElo])))</f>
        <v>191.2923801275472</v>
      </c>
      <c r="AB875">
        <f>IF(Table1[[#This Row],[CStd]]=0,0, (Table1[[#This Row],[FinalElo]]-Table1[[#This Row],[CAvg]]) / Table1[[#This Row],[CStd]])</f>
        <v>-3.2656588399254782E-2</v>
      </c>
      <c r="AC875" t="str">
        <f>IF(Table1[[#This Row],[CStd]]=0,"Normal", IF(ABS(Table1[[#This Row],[CZscore]])&gt;2,"Outlier","Normal"))</f>
        <v>Normal</v>
      </c>
    </row>
    <row r="876" spans="1:29" x14ac:dyDescent="0.35">
      <c r="A876" t="s">
        <v>1315</v>
      </c>
      <c r="B876">
        <v>79.832192000000006</v>
      </c>
      <c r="C876">
        <v>187</v>
      </c>
      <c r="D876" t="s">
        <v>384</v>
      </c>
      <c r="E876">
        <v>23</v>
      </c>
      <c r="F876" t="s">
        <v>400</v>
      </c>
      <c r="G876" t="s">
        <v>40</v>
      </c>
      <c r="H876" t="s">
        <v>29</v>
      </c>
      <c r="I876" t="s">
        <v>50</v>
      </c>
      <c r="J876">
        <v>0</v>
      </c>
      <c r="K876">
        <v>1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1</v>
      </c>
      <c r="S876">
        <v>0</v>
      </c>
      <c r="T876">
        <v>0</v>
      </c>
      <c r="U876">
        <v>0</v>
      </c>
      <c r="V876">
        <v>0</v>
      </c>
      <c r="W876">
        <v>1</v>
      </c>
      <c r="X876">
        <v>928.01</v>
      </c>
      <c r="Y876">
        <v>1000</v>
      </c>
      <c r="Z876">
        <f>AVERAGEIFS(Table1[FinalElo], Table1[Country], Table1[[#This Row],[Country]])</f>
        <v>1054.6869565217391</v>
      </c>
      <c r="AA876" cm="1">
        <f t="array" ref="AA876">IF(COUNTIFS(Table1[Country],Table1[[#This Row],[Country]])=1,0, _xlfn.STDEV.S(IF(Table1[Country]=Table1[[#This Row],[Country]],Table1[FinalElo])))</f>
        <v>191.2923801275472</v>
      </c>
      <c r="AB876">
        <f>IF(Table1[[#This Row],[CStd]]=0,0, (Table1[[#This Row],[FinalElo]]-Table1[[#This Row],[CAvg]]) / Table1[[#This Row],[CStd]])</f>
        <v>-0.66221642721615626</v>
      </c>
      <c r="AC876" t="str">
        <f>IF(Table1[[#This Row],[CStd]]=0,"Normal", IF(ABS(Table1[[#This Row],[CZscore]])&gt;2,"Outlier","Normal"))</f>
        <v>Normal</v>
      </c>
    </row>
    <row r="877" spans="1:29" x14ac:dyDescent="0.35">
      <c r="A877" t="s">
        <v>1313</v>
      </c>
      <c r="B877">
        <v>91.5</v>
      </c>
      <c r="C877">
        <v>178</v>
      </c>
      <c r="D877" t="s">
        <v>384</v>
      </c>
      <c r="E877">
        <v>29</v>
      </c>
      <c r="F877" t="s">
        <v>1314</v>
      </c>
      <c r="G877" t="s">
        <v>40</v>
      </c>
      <c r="H877" t="s">
        <v>29</v>
      </c>
      <c r="I877" t="s">
        <v>41</v>
      </c>
      <c r="J877">
        <v>0</v>
      </c>
      <c r="K877">
        <v>1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1</v>
      </c>
      <c r="S877">
        <v>0</v>
      </c>
      <c r="T877">
        <v>0</v>
      </c>
      <c r="U877">
        <v>0</v>
      </c>
      <c r="V877">
        <v>0</v>
      </c>
      <c r="W877">
        <v>1</v>
      </c>
      <c r="X877">
        <v>928.01</v>
      </c>
      <c r="Y877">
        <v>1000</v>
      </c>
      <c r="Z877">
        <f>AVERAGEIFS(Table1[FinalElo], Table1[Country], Table1[[#This Row],[Country]])</f>
        <v>1054.6869565217391</v>
      </c>
      <c r="AA877" cm="1">
        <f t="array" ref="AA877">IF(COUNTIFS(Table1[Country],Table1[[#This Row],[Country]])=1,0, _xlfn.STDEV.S(IF(Table1[Country]=Table1[[#This Row],[Country]],Table1[FinalElo])))</f>
        <v>191.2923801275472</v>
      </c>
      <c r="AB877">
        <f>IF(Table1[[#This Row],[CStd]]=0,0, (Table1[[#This Row],[FinalElo]]-Table1[[#This Row],[CAvg]]) / Table1[[#This Row],[CStd]])</f>
        <v>-0.66221642721615626</v>
      </c>
      <c r="AC877" t="str">
        <f>IF(Table1[[#This Row],[CStd]]=0,"Normal", IF(ABS(Table1[[#This Row],[CZscore]])&gt;2,"Outlier","Normal"))</f>
        <v>Normal</v>
      </c>
    </row>
    <row r="878" spans="1:29" x14ac:dyDescent="0.35">
      <c r="A878" t="s">
        <v>1312</v>
      </c>
      <c r="B878">
        <v>51.3</v>
      </c>
      <c r="C878">
        <v>160</v>
      </c>
      <c r="D878" t="s">
        <v>89</v>
      </c>
      <c r="E878">
        <v>21</v>
      </c>
      <c r="F878" t="s">
        <v>154</v>
      </c>
      <c r="G878" t="s">
        <v>34</v>
      </c>
      <c r="H878" t="s">
        <v>29</v>
      </c>
      <c r="I878" t="s">
        <v>55</v>
      </c>
      <c r="J878">
        <v>6</v>
      </c>
      <c r="K878">
        <v>5</v>
      </c>
      <c r="L878">
        <v>0</v>
      </c>
      <c r="M878">
        <v>0</v>
      </c>
      <c r="N878">
        <v>0</v>
      </c>
      <c r="O878">
        <v>0</v>
      </c>
      <c r="P878">
        <v>1</v>
      </c>
      <c r="Q878">
        <v>0</v>
      </c>
      <c r="R878">
        <v>2</v>
      </c>
      <c r="S878">
        <v>0</v>
      </c>
      <c r="T878">
        <v>0</v>
      </c>
      <c r="U878">
        <v>3</v>
      </c>
      <c r="V878">
        <v>0</v>
      </c>
      <c r="W878">
        <v>11</v>
      </c>
      <c r="X878">
        <v>887.44</v>
      </c>
      <c r="Y878">
        <v>1237.9000000000001</v>
      </c>
      <c r="Z878">
        <f>AVERAGEIFS(Table1[FinalElo], Table1[Country], Table1[[#This Row],[Country]])</f>
        <v>1012.0629025423733</v>
      </c>
      <c r="AA878" cm="1">
        <f t="array" ref="AA878">IF(COUNTIFS(Table1[Country],Table1[[#This Row],[Country]])=1,0, _xlfn.STDEV.S(IF(Table1[Country]=Table1[[#This Row],[Country]],Table1[FinalElo])))</f>
        <v>148.42180446198614</v>
      </c>
      <c r="AB878">
        <f>IF(Table1[[#This Row],[CStd]]=0,0, (Table1[[#This Row],[FinalElo]]-Table1[[#This Row],[CAvg]]) / Table1[[#This Row],[CStd]])</f>
        <v>-0.83965360072341477</v>
      </c>
      <c r="AC878" t="str">
        <f>IF(Table1[[#This Row],[CStd]]=0,"Normal", IF(ABS(Table1[[#This Row],[CZscore]])&gt;2,"Outlier","Normal"))</f>
        <v>Normal</v>
      </c>
    </row>
    <row r="879" spans="1:29" x14ac:dyDescent="0.35">
      <c r="A879" t="s">
        <v>1310</v>
      </c>
      <c r="B879">
        <v>47.63</v>
      </c>
      <c r="C879">
        <v>165</v>
      </c>
      <c r="D879" t="s">
        <v>89</v>
      </c>
      <c r="E879">
        <v>20</v>
      </c>
      <c r="F879" t="s">
        <v>1311</v>
      </c>
      <c r="G879" t="s">
        <v>34</v>
      </c>
      <c r="H879" t="s">
        <v>29</v>
      </c>
      <c r="I879" t="s">
        <v>55</v>
      </c>
      <c r="J879">
        <v>3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3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3</v>
      </c>
      <c r="X879">
        <v>1211.4100000000001</v>
      </c>
      <c r="Y879">
        <v>1211.4100000000001</v>
      </c>
      <c r="Z879">
        <f>AVERAGEIFS(Table1[FinalElo], Table1[Country], Table1[[#This Row],[Country]])</f>
        <v>1012.0629025423733</v>
      </c>
      <c r="AA879" cm="1">
        <f t="array" ref="AA879">IF(COUNTIFS(Table1[Country],Table1[[#This Row],[Country]])=1,0, _xlfn.STDEV.S(IF(Table1[Country]=Table1[[#This Row],[Country]],Table1[FinalElo])))</f>
        <v>148.42180446198614</v>
      </c>
      <c r="AB879">
        <f>IF(Table1[[#This Row],[CStd]]=0,0, (Table1[[#This Row],[FinalElo]]-Table1[[#This Row],[CAvg]]) / Table1[[#This Row],[CStd]])</f>
        <v>1.3431119381699987</v>
      </c>
      <c r="AC879" t="str">
        <f>IF(Table1[[#This Row],[CStd]]=0,"Normal", IF(ABS(Table1[[#This Row],[CZscore]])&gt;2,"Outlier","Normal"))</f>
        <v>Normal</v>
      </c>
    </row>
    <row r="880" spans="1:29" x14ac:dyDescent="0.35">
      <c r="A880" t="s">
        <v>1309</v>
      </c>
      <c r="B880">
        <v>70</v>
      </c>
      <c r="C880">
        <v>179</v>
      </c>
      <c r="D880" t="s">
        <v>89</v>
      </c>
      <c r="E880">
        <v>25</v>
      </c>
      <c r="F880" t="s">
        <v>96</v>
      </c>
      <c r="G880" t="s">
        <v>34</v>
      </c>
      <c r="H880" t="s">
        <v>29</v>
      </c>
      <c r="I880" t="s">
        <v>48</v>
      </c>
      <c r="J880">
        <v>4</v>
      </c>
      <c r="K880">
        <v>1</v>
      </c>
      <c r="L880">
        <v>0</v>
      </c>
      <c r="M880">
        <v>0</v>
      </c>
      <c r="N880">
        <v>0</v>
      </c>
      <c r="O880">
        <v>0</v>
      </c>
      <c r="P880">
        <v>3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5</v>
      </c>
      <c r="X880">
        <v>1248.6099999999999</v>
      </c>
      <c r="Y880">
        <v>1248.6099999999999</v>
      </c>
      <c r="Z880">
        <f>AVERAGEIFS(Table1[FinalElo], Table1[Country], Table1[[#This Row],[Country]])</f>
        <v>1012.0629025423733</v>
      </c>
      <c r="AA880" cm="1">
        <f t="array" ref="AA880">IF(COUNTIFS(Table1[Country],Table1[[#This Row],[Country]])=1,0, _xlfn.STDEV.S(IF(Table1[Country]=Table1[[#This Row],[Country]],Table1[FinalElo])))</f>
        <v>148.42180446198614</v>
      </c>
      <c r="AB880">
        <f>IF(Table1[[#This Row],[CStd]]=0,0, (Table1[[#This Row],[FinalElo]]-Table1[[#This Row],[CAvg]]) / Table1[[#This Row],[CStd]])</f>
        <v>1.5937489664344509</v>
      </c>
      <c r="AC880" t="str">
        <f>IF(Table1[[#This Row],[CStd]]=0,"Normal", IF(ABS(Table1[[#This Row],[CZscore]])&gt;2,"Outlier","Normal"))</f>
        <v>Normal</v>
      </c>
    </row>
    <row r="881" spans="1:29" x14ac:dyDescent="0.35">
      <c r="A881" t="s">
        <v>1308</v>
      </c>
      <c r="B881">
        <v>61.3</v>
      </c>
      <c r="C881">
        <v>170</v>
      </c>
      <c r="D881" t="s">
        <v>89</v>
      </c>
      <c r="E881">
        <v>32</v>
      </c>
      <c r="F881" t="s">
        <v>535</v>
      </c>
      <c r="G881" t="s">
        <v>34</v>
      </c>
      <c r="H881" t="s">
        <v>29</v>
      </c>
      <c r="I881" t="s">
        <v>73</v>
      </c>
      <c r="J881">
        <v>7</v>
      </c>
      <c r="K881">
        <v>2</v>
      </c>
      <c r="L881">
        <v>0</v>
      </c>
      <c r="M881">
        <v>0</v>
      </c>
      <c r="N881">
        <v>0</v>
      </c>
      <c r="O881">
        <v>0</v>
      </c>
      <c r="P881">
        <v>3</v>
      </c>
      <c r="Q881">
        <v>1</v>
      </c>
      <c r="R881">
        <v>1</v>
      </c>
      <c r="S881">
        <v>0</v>
      </c>
      <c r="T881">
        <v>0</v>
      </c>
      <c r="U881">
        <v>0</v>
      </c>
      <c r="V881">
        <v>0</v>
      </c>
      <c r="W881">
        <v>9</v>
      </c>
      <c r="X881">
        <v>1352.61</v>
      </c>
      <c r="Y881">
        <v>1352.61</v>
      </c>
      <c r="Z881">
        <f>AVERAGEIFS(Table1[FinalElo], Table1[Country], Table1[[#This Row],[Country]])</f>
        <v>1012.0629025423733</v>
      </c>
      <c r="AA881" cm="1">
        <f t="array" ref="AA881">IF(COUNTIFS(Table1[Country],Table1[[#This Row],[Country]])=1,0, _xlfn.STDEV.S(IF(Table1[Country]=Table1[[#This Row],[Country]],Table1[FinalElo])))</f>
        <v>148.42180446198614</v>
      </c>
      <c r="AB881">
        <f>IF(Table1[[#This Row],[CStd]]=0,0, (Table1[[#This Row],[FinalElo]]-Table1[[#This Row],[CAvg]]) / Table1[[#This Row],[CStd]])</f>
        <v>2.2944546368512024</v>
      </c>
      <c r="AC881" t="str">
        <f>IF(Table1[[#This Row],[CStd]]=0,"Normal", IF(ABS(Table1[[#This Row],[CZscore]])&gt;2,"Outlier","Normal"))</f>
        <v>Outlier</v>
      </c>
    </row>
    <row r="882" spans="1:29" x14ac:dyDescent="0.35">
      <c r="A882" t="s">
        <v>1306</v>
      </c>
      <c r="B882">
        <v>55.2</v>
      </c>
      <c r="C882">
        <v>165</v>
      </c>
      <c r="D882" t="s">
        <v>89</v>
      </c>
      <c r="E882">
        <v>18</v>
      </c>
      <c r="F882" t="s">
        <v>1307</v>
      </c>
      <c r="G882" t="s">
        <v>34</v>
      </c>
      <c r="H882" t="s">
        <v>29</v>
      </c>
      <c r="I882" t="s">
        <v>36</v>
      </c>
      <c r="J882">
        <v>2</v>
      </c>
      <c r="K882">
        <v>0</v>
      </c>
      <c r="L882">
        <v>0</v>
      </c>
      <c r="M882">
        <v>1</v>
      </c>
      <c r="N882">
        <v>0</v>
      </c>
      <c r="O882">
        <v>0</v>
      </c>
      <c r="P882">
        <v>0</v>
      </c>
      <c r="Q882">
        <v>1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2</v>
      </c>
      <c r="X882">
        <v>1171.99</v>
      </c>
      <c r="Y882">
        <v>1171.99</v>
      </c>
      <c r="Z882">
        <f>AVERAGEIFS(Table1[FinalElo], Table1[Country], Table1[[#This Row],[Country]])</f>
        <v>1012.0629025423733</v>
      </c>
      <c r="AA882" cm="1">
        <f t="array" ref="AA882">IF(COUNTIFS(Table1[Country],Table1[[#This Row],[Country]])=1,0, _xlfn.STDEV.S(IF(Table1[Country]=Table1[[#This Row],[Country]],Table1[FinalElo])))</f>
        <v>148.42180446198614</v>
      </c>
      <c r="AB882">
        <f>IF(Table1[[#This Row],[CStd]]=0,0, (Table1[[#This Row],[FinalElo]]-Table1[[#This Row],[CAvg]]) / Table1[[#This Row],[CStd]])</f>
        <v>1.0775175388639564</v>
      </c>
      <c r="AC882" t="str">
        <f>IF(Table1[[#This Row],[CStd]]=0,"Normal", IF(ABS(Table1[[#This Row],[CZscore]])&gt;2,"Outlier","Normal"))</f>
        <v>Normal</v>
      </c>
    </row>
    <row r="883" spans="1:29" x14ac:dyDescent="0.35">
      <c r="A883" t="s">
        <v>1305</v>
      </c>
      <c r="B883">
        <v>58.513368</v>
      </c>
      <c r="C883">
        <v>179</v>
      </c>
      <c r="D883" t="s">
        <v>89</v>
      </c>
      <c r="E883">
        <v>19</v>
      </c>
      <c r="F883" t="s">
        <v>835</v>
      </c>
      <c r="G883" t="s">
        <v>34</v>
      </c>
      <c r="H883" t="s">
        <v>29</v>
      </c>
      <c r="I883" t="s">
        <v>58</v>
      </c>
      <c r="J883">
        <v>1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1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1</v>
      </c>
      <c r="X883">
        <v>1068.0999999999999</v>
      </c>
      <c r="Y883">
        <v>1068.0999999999999</v>
      </c>
      <c r="Z883">
        <f>AVERAGEIFS(Table1[FinalElo], Table1[Country], Table1[[#This Row],[Country]])</f>
        <v>1012.0629025423733</v>
      </c>
      <c r="AA883" cm="1">
        <f t="array" ref="AA883">IF(COUNTIFS(Table1[Country],Table1[[#This Row],[Country]])=1,0, _xlfn.STDEV.S(IF(Table1[Country]=Table1[[#This Row],[Country]],Table1[FinalElo])))</f>
        <v>148.42180446198614</v>
      </c>
      <c r="AB883">
        <f>IF(Table1[[#This Row],[CStd]]=0,0, (Table1[[#This Row],[FinalElo]]-Table1[[#This Row],[CAvg]]) / Table1[[#This Row],[CStd]])</f>
        <v>0.37755299944476045</v>
      </c>
      <c r="AC883" t="str">
        <f>IF(Table1[[#This Row],[CStd]]=0,"Normal", IF(ABS(Table1[[#This Row],[CZscore]])&gt;2,"Outlier","Normal"))</f>
        <v>Normal</v>
      </c>
    </row>
    <row r="884" spans="1:29" x14ac:dyDescent="0.35">
      <c r="A884" t="s">
        <v>1304</v>
      </c>
      <c r="B884">
        <v>57.8</v>
      </c>
      <c r="C884">
        <v>165</v>
      </c>
      <c r="D884" t="s">
        <v>89</v>
      </c>
      <c r="E884">
        <v>27</v>
      </c>
      <c r="F884" t="s">
        <v>99</v>
      </c>
      <c r="G884" t="s">
        <v>34</v>
      </c>
      <c r="H884" t="s">
        <v>29</v>
      </c>
      <c r="I884" t="s">
        <v>58</v>
      </c>
      <c r="J884">
        <v>0</v>
      </c>
      <c r="K884">
        <v>1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1</v>
      </c>
      <c r="V884">
        <v>0</v>
      </c>
      <c r="W884">
        <v>1</v>
      </c>
      <c r="X884">
        <v>867.94</v>
      </c>
      <c r="Y884">
        <v>1000</v>
      </c>
      <c r="Z884">
        <f>AVERAGEIFS(Table1[FinalElo], Table1[Country], Table1[[#This Row],[Country]])</f>
        <v>1012.0629025423733</v>
      </c>
      <c r="AA884" cm="1">
        <f t="array" ref="AA884">IF(COUNTIFS(Table1[Country],Table1[[#This Row],[Country]])=1,0, _xlfn.STDEV.S(IF(Table1[Country]=Table1[[#This Row],[Country]],Table1[FinalElo])))</f>
        <v>148.42180446198614</v>
      </c>
      <c r="AB884">
        <f>IF(Table1[[#This Row],[CStd]]=0,0, (Table1[[#This Row],[FinalElo]]-Table1[[#This Row],[CAvg]]) / Table1[[#This Row],[CStd]])</f>
        <v>-0.97103591392655564</v>
      </c>
      <c r="AC884" t="str">
        <f>IF(Table1[[#This Row],[CStd]]=0,"Normal", IF(ABS(Table1[[#This Row],[CZscore]])&gt;2,"Outlier","Normal"))</f>
        <v>Normal</v>
      </c>
    </row>
    <row r="885" spans="1:29" x14ac:dyDescent="0.35">
      <c r="A885" t="s">
        <v>1303</v>
      </c>
      <c r="B885">
        <v>59.7</v>
      </c>
      <c r="C885">
        <v>170</v>
      </c>
      <c r="D885" t="s">
        <v>89</v>
      </c>
      <c r="E885">
        <v>20</v>
      </c>
      <c r="F885" t="s">
        <v>99</v>
      </c>
      <c r="G885" t="s">
        <v>34</v>
      </c>
      <c r="H885" t="s">
        <v>29</v>
      </c>
      <c r="I885" t="s">
        <v>58</v>
      </c>
      <c r="J885">
        <v>1</v>
      </c>
      <c r="K885">
        <v>1</v>
      </c>
      <c r="L885">
        <v>0</v>
      </c>
      <c r="M885">
        <v>1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2</v>
      </c>
      <c r="X885">
        <v>998.18</v>
      </c>
      <c r="Y885">
        <v>1135.26</v>
      </c>
      <c r="Z885">
        <f>AVERAGEIFS(Table1[FinalElo], Table1[Country], Table1[[#This Row],[Country]])</f>
        <v>1012.0629025423733</v>
      </c>
      <c r="AA885" cm="1">
        <f t="array" ref="AA885">IF(COUNTIFS(Table1[Country],Table1[[#This Row],[Country]])=1,0, _xlfn.STDEV.S(IF(Table1[Country]=Table1[[#This Row],[Country]],Table1[FinalElo])))</f>
        <v>148.42180446198614</v>
      </c>
      <c r="AB885">
        <f>IF(Table1[[#This Row],[CStd]]=0,0, (Table1[[#This Row],[FinalElo]]-Table1[[#This Row],[CAvg]]) / Table1[[#This Row],[CStd]])</f>
        <v>-9.353681282003988E-2</v>
      </c>
      <c r="AC885" t="str">
        <f>IF(Table1[[#This Row],[CStd]]=0,"Normal", IF(ABS(Table1[[#This Row],[CZscore]])&gt;2,"Outlier","Normal"))</f>
        <v>Normal</v>
      </c>
    </row>
    <row r="886" spans="1:29" x14ac:dyDescent="0.35">
      <c r="A886" t="s">
        <v>1301</v>
      </c>
      <c r="B886">
        <v>61.2</v>
      </c>
      <c r="C886">
        <v>164</v>
      </c>
      <c r="D886" t="s">
        <v>289</v>
      </c>
      <c r="E886">
        <v>38</v>
      </c>
      <c r="F886" t="s">
        <v>1302</v>
      </c>
      <c r="G886" t="s">
        <v>40</v>
      </c>
      <c r="H886" t="s">
        <v>29</v>
      </c>
      <c r="I886" t="s">
        <v>58</v>
      </c>
      <c r="J886">
        <v>1</v>
      </c>
      <c r="K886">
        <v>5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1</v>
      </c>
      <c r="R886">
        <v>1</v>
      </c>
      <c r="S886">
        <v>4</v>
      </c>
      <c r="T886">
        <v>0</v>
      </c>
      <c r="U886">
        <v>0</v>
      </c>
      <c r="V886">
        <v>0</v>
      </c>
      <c r="W886">
        <v>6</v>
      </c>
      <c r="X886">
        <v>771.18</v>
      </c>
      <c r="Y886">
        <v>1000</v>
      </c>
      <c r="Z886">
        <f>AVERAGEIFS(Table1[FinalElo], Table1[Country], Table1[[#This Row],[Country]])</f>
        <v>905.81399999999996</v>
      </c>
      <c r="AA886" cm="1">
        <f t="array" ref="AA886">IF(COUNTIFS(Table1[Country],Table1[[#This Row],[Country]])=1,0, _xlfn.STDEV.S(IF(Table1[Country]=Table1[[#This Row],[Country]],Table1[FinalElo])))</f>
        <v>92.302429437149769</v>
      </c>
      <c r="AB886">
        <f>IF(Table1[[#This Row],[CStd]]=0,0, (Table1[[#This Row],[FinalElo]]-Table1[[#This Row],[CAvg]]) / Table1[[#This Row],[CStd]])</f>
        <v>-1.4586181622843903</v>
      </c>
      <c r="AC886" t="str">
        <f>IF(Table1[[#This Row],[CStd]]=0,"Normal", IF(ABS(Table1[[#This Row],[CZscore]])&gt;2,"Outlier","Normal"))</f>
        <v>Normal</v>
      </c>
    </row>
    <row r="887" spans="1:29" x14ac:dyDescent="0.35">
      <c r="A887" t="s">
        <v>1300</v>
      </c>
      <c r="B887">
        <v>73.8</v>
      </c>
      <c r="C887">
        <v>170</v>
      </c>
      <c r="D887" t="s">
        <v>384</v>
      </c>
      <c r="E887">
        <v>26</v>
      </c>
      <c r="F887" t="s">
        <v>400</v>
      </c>
      <c r="G887" t="s">
        <v>40</v>
      </c>
      <c r="H887" t="s">
        <v>29</v>
      </c>
      <c r="I887" t="s">
        <v>30</v>
      </c>
      <c r="J887">
        <v>0</v>
      </c>
      <c r="K887">
        <v>1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1</v>
      </c>
      <c r="S887">
        <v>0</v>
      </c>
      <c r="T887">
        <v>0</v>
      </c>
      <c r="U887">
        <v>0</v>
      </c>
      <c r="V887">
        <v>0</v>
      </c>
      <c r="W887">
        <v>1</v>
      </c>
      <c r="X887">
        <v>900</v>
      </c>
      <c r="Y887">
        <v>1000</v>
      </c>
      <c r="Z887">
        <f>AVERAGEIFS(Table1[FinalElo], Table1[Country], Table1[[#This Row],[Country]])</f>
        <v>1054.6869565217391</v>
      </c>
      <c r="AA887" cm="1">
        <f t="array" ref="AA887">IF(COUNTIFS(Table1[Country],Table1[[#This Row],[Country]])=1,0, _xlfn.STDEV.S(IF(Table1[Country]=Table1[[#This Row],[Country]],Table1[FinalElo])))</f>
        <v>191.2923801275472</v>
      </c>
      <c r="AB887">
        <f>IF(Table1[[#This Row],[CStd]]=0,0, (Table1[[#This Row],[FinalElo]]-Table1[[#This Row],[CAvg]]) / Table1[[#This Row],[CStd]])</f>
        <v>-0.80864149642865646</v>
      </c>
      <c r="AC887" t="str">
        <f>IF(Table1[[#This Row],[CStd]]=0,"Normal", IF(ABS(Table1[[#This Row],[CZscore]])&gt;2,"Outlier","Normal"))</f>
        <v>Normal</v>
      </c>
    </row>
    <row r="888" spans="1:29" x14ac:dyDescent="0.35">
      <c r="A888" t="s">
        <v>1299</v>
      </c>
      <c r="B888">
        <v>57.152591999999999</v>
      </c>
      <c r="C888">
        <v>170</v>
      </c>
      <c r="D888" t="s">
        <v>384</v>
      </c>
      <c r="E888">
        <v>19</v>
      </c>
      <c r="F888" t="s">
        <v>87</v>
      </c>
      <c r="G888" t="s">
        <v>34</v>
      </c>
      <c r="H888" t="s">
        <v>29</v>
      </c>
      <c r="I888" t="s">
        <v>58</v>
      </c>
      <c r="J888">
        <v>2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1</v>
      </c>
      <c r="Q888">
        <v>1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2</v>
      </c>
      <c r="X888">
        <v>1222.94</v>
      </c>
      <c r="Y888">
        <v>1222.94</v>
      </c>
      <c r="Z888">
        <f>AVERAGEIFS(Table1[FinalElo], Table1[Country], Table1[[#This Row],[Country]])</f>
        <v>1054.6869565217391</v>
      </c>
      <c r="AA888" cm="1">
        <f t="array" ref="AA888">IF(COUNTIFS(Table1[Country],Table1[[#This Row],[Country]])=1,0, _xlfn.STDEV.S(IF(Table1[Country]=Table1[[#This Row],[Country]],Table1[FinalElo])))</f>
        <v>191.2923801275472</v>
      </c>
      <c r="AB888">
        <f>IF(Table1[[#This Row],[CStd]]=0,0, (Table1[[#This Row],[FinalElo]]-Table1[[#This Row],[CAvg]]) / Table1[[#This Row],[CStd]])</f>
        <v>0.87955956931517887</v>
      </c>
      <c r="AC888" t="str">
        <f>IF(Table1[[#This Row],[CStd]]=0,"Normal", IF(ABS(Table1[[#This Row],[CZscore]])&gt;2,"Outlier","Normal"))</f>
        <v>Normal</v>
      </c>
    </row>
    <row r="889" spans="1:29" x14ac:dyDescent="0.35">
      <c r="A889" t="s">
        <v>1297</v>
      </c>
      <c r="B889">
        <v>70.31</v>
      </c>
      <c r="C889">
        <v>180</v>
      </c>
      <c r="D889" t="s">
        <v>38</v>
      </c>
      <c r="E889">
        <v>37</v>
      </c>
      <c r="F889" t="s">
        <v>1298</v>
      </c>
      <c r="G889" t="s">
        <v>40</v>
      </c>
      <c r="H889" t="s">
        <v>29</v>
      </c>
      <c r="I889" t="s">
        <v>30</v>
      </c>
      <c r="J889">
        <v>0</v>
      </c>
      <c r="K889">
        <v>1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1</v>
      </c>
      <c r="T889">
        <v>0</v>
      </c>
      <c r="U889">
        <v>0</v>
      </c>
      <c r="V889">
        <v>0</v>
      </c>
      <c r="W889">
        <v>1</v>
      </c>
      <c r="X889">
        <v>928.01</v>
      </c>
      <c r="Y889">
        <v>1000</v>
      </c>
      <c r="Z889">
        <f>AVERAGEIFS(Table1[FinalElo], Table1[Country], Table1[[#This Row],[Country]])</f>
        <v>1057.4495402298851</v>
      </c>
      <c r="AA889" cm="1">
        <f t="array" ref="AA889">IF(COUNTIFS(Table1[Country],Table1[[#This Row],[Country]])=1,0, _xlfn.STDEV.S(IF(Table1[Country]=Table1[[#This Row],[Country]],Table1[FinalElo])))</f>
        <v>156.98667602259493</v>
      </c>
      <c r="AB889">
        <f>IF(Table1[[#This Row],[CStd]]=0,0, (Table1[[#This Row],[FinalElo]]-Table1[[#This Row],[CAvg]]) / Table1[[#This Row],[CStd]])</f>
        <v>-0.82452564452829735</v>
      </c>
      <c r="AC889" t="str">
        <f>IF(Table1[[#This Row],[CStd]]=0,"Normal", IF(ABS(Table1[[#This Row],[CZscore]])&gt;2,"Outlier","Normal"))</f>
        <v>Normal</v>
      </c>
    </row>
    <row r="890" spans="1:29" x14ac:dyDescent="0.35">
      <c r="A890" t="s">
        <v>1295</v>
      </c>
      <c r="B890">
        <v>60.9</v>
      </c>
      <c r="C890">
        <v>170</v>
      </c>
      <c r="D890" t="s">
        <v>1296</v>
      </c>
      <c r="E890">
        <v>26</v>
      </c>
      <c r="F890" t="s">
        <v>252</v>
      </c>
      <c r="G890" t="s">
        <v>40</v>
      </c>
      <c r="H890" t="s">
        <v>29</v>
      </c>
      <c r="I890" t="s">
        <v>58</v>
      </c>
      <c r="J890">
        <v>2</v>
      </c>
      <c r="K890">
        <v>0</v>
      </c>
      <c r="L890">
        <v>0</v>
      </c>
      <c r="M890">
        <v>1</v>
      </c>
      <c r="N890">
        <v>0</v>
      </c>
      <c r="O890">
        <v>0</v>
      </c>
      <c r="P890">
        <v>1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2</v>
      </c>
      <c r="X890">
        <v>1192.75</v>
      </c>
      <c r="Y890">
        <v>1192.75</v>
      </c>
      <c r="Z890">
        <f>AVERAGEIFS(Table1[FinalElo], Table1[Country], Table1[[#This Row],[Country]])</f>
        <v>1192.75</v>
      </c>
      <c r="AA890" cm="1">
        <f t="array" ref="AA890">IF(COUNTIFS(Table1[Country],Table1[[#This Row],[Country]])=1,0, _xlfn.STDEV.S(IF(Table1[Country]=Table1[[#This Row],[Country]],Table1[FinalElo])))</f>
        <v>0</v>
      </c>
      <c r="AB890">
        <f>IF(Table1[[#This Row],[CStd]]=0,0, (Table1[[#This Row],[FinalElo]]-Table1[[#This Row],[CAvg]]) / Table1[[#This Row],[CStd]])</f>
        <v>0</v>
      </c>
      <c r="AC890" t="str">
        <f>IF(Table1[[#This Row],[CStd]]=0,"Normal", IF(ABS(Table1[[#This Row],[CZscore]])&gt;2,"Outlier","Normal"))</f>
        <v>Normal</v>
      </c>
    </row>
    <row r="891" spans="1:29" x14ac:dyDescent="0.35">
      <c r="A891" t="s">
        <v>1294</v>
      </c>
      <c r="B891">
        <v>65.8</v>
      </c>
      <c r="C891">
        <v>165</v>
      </c>
      <c r="D891" t="s">
        <v>60</v>
      </c>
      <c r="E891">
        <v>37</v>
      </c>
      <c r="F891" t="s">
        <v>78</v>
      </c>
      <c r="G891" t="s">
        <v>40</v>
      </c>
      <c r="H891" t="s">
        <v>29</v>
      </c>
      <c r="I891" t="s">
        <v>48</v>
      </c>
      <c r="J891">
        <v>11</v>
      </c>
      <c r="K891">
        <v>11</v>
      </c>
      <c r="L891">
        <v>0</v>
      </c>
      <c r="M891">
        <v>3</v>
      </c>
      <c r="N891">
        <v>1</v>
      </c>
      <c r="O891">
        <v>0</v>
      </c>
      <c r="P891">
        <v>4</v>
      </c>
      <c r="Q891">
        <v>1</v>
      </c>
      <c r="R891">
        <v>2</v>
      </c>
      <c r="S891">
        <v>4</v>
      </c>
      <c r="T891">
        <v>1</v>
      </c>
      <c r="U891">
        <v>2</v>
      </c>
      <c r="V891">
        <v>1</v>
      </c>
      <c r="W891">
        <v>22</v>
      </c>
      <c r="X891">
        <v>975.61</v>
      </c>
      <c r="Y891">
        <v>1616.64</v>
      </c>
      <c r="Z891">
        <f>AVERAGEIFS(Table1[FinalElo], Table1[Country], Table1[[#This Row],[Country]])</f>
        <v>1034.681315789474</v>
      </c>
      <c r="AA891" cm="1">
        <f t="array" ref="AA891">IF(COUNTIFS(Table1[Country],Table1[[#This Row],[Country]])=1,0, _xlfn.STDEV.S(IF(Table1[Country]=Table1[[#This Row],[Country]],Table1[FinalElo])))</f>
        <v>152.902810204692</v>
      </c>
      <c r="AB891">
        <f>IF(Table1[[#This Row],[CStd]]=0,0, (Table1[[#This Row],[FinalElo]]-Table1[[#This Row],[CAvg]]) / Table1[[#This Row],[CStd]])</f>
        <v>-0.3863324402631631</v>
      </c>
      <c r="AC891" t="str">
        <f>IF(Table1[[#This Row],[CStd]]=0,"Normal", IF(ABS(Table1[[#This Row],[CZscore]])&gt;2,"Outlier","Normal"))</f>
        <v>Normal</v>
      </c>
    </row>
    <row r="892" spans="1:29" x14ac:dyDescent="0.35">
      <c r="A892" t="s">
        <v>1293</v>
      </c>
      <c r="B892">
        <v>64.900000000000006</v>
      </c>
      <c r="C892">
        <v>182</v>
      </c>
      <c r="D892" t="s">
        <v>52</v>
      </c>
      <c r="E892">
        <v>25</v>
      </c>
      <c r="F892" t="s">
        <v>110</v>
      </c>
      <c r="G892" t="s">
        <v>34</v>
      </c>
      <c r="H892" t="s">
        <v>29</v>
      </c>
      <c r="I892" t="s">
        <v>73</v>
      </c>
      <c r="J892">
        <v>2</v>
      </c>
      <c r="K892">
        <v>2</v>
      </c>
      <c r="L892">
        <v>0</v>
      </c>
      <c r="M892">
        <v>0</v>
      </c>
      <c r="N892">
        <v>0</v>
      </c>
      <c r="O892">
        <v>0</v>
      </c>
      <c r="P892">
        <v>1</v>
      </c>
      <c r="Q892">
        <v>0</v>
      </c>
      <c r="R892">
        <v>1</v>
      </c>
      <c r="S892">
        <v>0</v>
      </c>
      <c r="T892">
        <v>0</v>
      </c>
      <c r="U892">
        <v>1</v>
      </c>
      <c r="V892">
        <v>0</v>
      </c>
      <c r="W892">
        <v>4</v>
      </c>
      <c r="X892">
        <v>938.72</v>
      </c>
      <c r="Y892">
        <v>1177.3399999999999</v>
      </c>
      <c r="Z892">
        <f>AVERAGEIFS(Table1[FinalElo], Table1[Country], Table1[[#This Row],[Country]])</f>
        <v>1039.8985714285714</v>
      </c>
      <c r="AA892" cm="1">
        <f t="array" ref="AA892">IF(COUNTIFS(Table1[Country],Table1[[#This Row],[Country]])=1,0, _xlfn.STDEV.S(IF(Table1[Country]=Table1[[#This Row],[Country]],Table1[FinalElo])))</f>
        <v>194.01778111336392</v>
      </c>
      <c r="AB892">
        <f>IF(Table1[[#This Row],[CStd]]=0,0, (Table1[[#This Row],[FinalElo]]-Table1[[#This Row],[CAvg]]) / Table1[[#This Row],[CStd]])</f>
        <v>-0.52149123058702052</v>
      </c>
      <c r="AC892" t="str">
        <f>IF(Table1[[#This Row],[CStd]]=0,"Normal", IF(ABS(Table1[[#This Row],[CZscore]])&gt;2,"Outlier","Normal"))</f>
        <v>Normal</v>
      </c>
    </row>
    <row r="893" spans="1:29" x14ac:dyDescent="0.35">
      <c r="A893" t="s">
        <v>1290</v>
      </c>
      <c r="B893">
        <v>73</v>
      </c>
      <c r="C893">
        <v>180</v>
      </c>
      <c r="D893" t="s">
        <v>1291</v>
      </c>
      <c r="E893">
        <v>22</v>
      </c>
      <c r="F893" t="s">
        <v>1292</v>
      </c>
      <c r="G893" t="s">
        <v>34</v>
      </c>
      <c r="H893" t="s">
        <v>29</v>
      </c>
      <c r="I893" t="s">
        <v>30</v>
      </c>
      <c r="J893">
        <v>0</v>
      </c>
      <c r="K893">
        <v>1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1</v>
      </c>
      <c r="X893">
        <v>945.82</v>
      </c>
      <c r="Y893">
        <v>1000</v>
      </c>
      <c r="Z893">
        <f>AVERAGEIFS(Table1[FinalElo], Table1[Country], Table1[[#This Row],[Country]])</f>
        <v>922.91000000000008</v>
      </c>
      <c r="AA893" cm="1">
        <f t="array" ref="AA893">IF(COUNTIFS(Table1[Country],Table1[[#This Row],[Country]])=1,0, _xlfn.STDEV.S(IF(Table1[Country]=Table1[[#This Row],[Country]],Table1[FinalElo])))</f>
        <v>32.399632713967641</v>
      </c>
      <c r="AB893">
        <f>IF(Table1[[#This Row],[CStd]]=0,0, (Table1[[#This Row],[FinalElo]]-Table1[[#This Row],[CAvg]]) / Table1[[#This Row],[CStd]])</f>
        <v>0.7071067811865458</v>
      </c>
      <c r="AC893" t="str">
        <f>IF(Table1[[#This Row],[CStd]]=0,"Normal", IF(ABS(Table1[[#This Row],[CZscore]])&gt;2,"Outlier","Normal"))</f>
        <v>Normal</v>
      </c>
    </row>
    <row r="894" spans="1:29" x14ac:dyDescent="0.35">
      <c r="A894" t="s">
        <v>1289</v>
      </c>
      <c r="B894">
        <v>80.285784000000007</v>
      </c>
      <c r="C894">
        <v>180</v>
      </c>
      <c r="D894" t="s">
        <v>146</v>
      </c>
      <c r="E894">
        <v>34</v>
      </c>
      <c r="F894" t="s">
        <v>133</v>
      </c>
      <c r="G894" t="s">
        <v>34</v>
      </c>
      <c r="H894" t="s">
        <v>29</v>
      </c>
      <c r="I894" t="s">
        <v>50</v>
      </c>
      <c r="J894">
        <v>0</v>
      </c>
      <c r="K894">
        <v>1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1</v>
      </c>
      <c r="V894">
        <v>0</v>
      </c>
      <c r="W894">
        <v>1</v>
      </c>
      <c r="X894">
        <v>900</v>
      </c>
      <c r="Y894">
        <v>1000</v>
      </c>
      <c r="Z894">
        <f>AVERAGEIFS(Table1[FinalElo], Table1[Country], Table1[[#This Row],[Country]])</f>
        <v>971.46103448275846</v>
      </c>
      <c r="AA894" cm="1">
        <f t="array" ref="AA894">IF(COUNTIFS(Table1[Country],Table1[[#This Row],[Country]])=1,0, _xlfn.STDEV.S(IF(Table1[Country]=Table1[[#This Row],[Country]],Table1[FinalElo])))</f>
        <v>107.62263899334665</v>
      </c>
      <c r="AB894">
        <f>IF(Table1[[#This Row],[CStd]]=0,0, (Table1[[#This Row],[FinalElo]]-Table1[[#This Row],[CAvg]]) / Table1[[#This Row],[CStd]])</f>
        <v>-0.66399630366967921</v>
      </c>
      <c r="AC894" t="str">
        <f>IF(Table1[[#This Row],[CStd]]=0,"Normal", IF(ABS(Table1[[#This Row],[CZscore]])&gt;2,"Outlier","Normal"))</f>
        <v>Normal</v>
      </c>
    </row>
    <row r="895" spans="1:29" x14ac:dyDescent="0.35">
      <c r="A895" t="s">
        <v>1287</v>
      </c>
      <c r="B895">
        <v>56.2</v>
      </c>
      <c r="C895">
        <v>155</v>
      </c>
      <c r="D895" t="s">
        <v>82</v>
      </c>
      <c r="E895">
        <v>29</v>
      </c>
      <c r="F895" t="s">
        <v>1288</v>
      </c>
      <c r="G895" t="s">
        <v>40</v>
      </c>
      <c r="H895" t="s">
        <v>29</v>
      </c>
      <c r="I895" t="s">
        <v>36</v>
      </c>
      <c r="J895">
        <v>4</v>
      </c>
      <c r="K895">
        <v>1</v>
      </c>
      <c r="L895">
        <v>0</v>
      </c>
      <c r="M895">
        <v>0</v>
      </c>
      <c r="N895">
        <v>1</v>
      </c>
      <c r="O895">
        <v>0</v>
      </c>
      <c r="P895">
        <v>2</v>
      </c>
      <c r="Q895">
        <v>1</v>
      </c>
      <c r="R895">
        <v>0</v>
      </c>
      <c r="S895">
        <v>0</v>
      </c>
      <c r="T895">
        <v>0</v>
      </c>
      <c r="U895">
        <v>1</v>
      </c>
      <c r="V895">
        <v>0</v>
      </c>
      <c r="W895">
        <v>5</v>
      </c>
      <c r="X895">
        <v>1343.13</v>
      </c>
      <c r="Y895">
        <v>1343.13</v>
      </c>
      <c r="Z895">
        <f>AVERAGEIFS(Table1[FinalElo], Table1[Country], Table1[[#This Row],[Country]])</f>
        <v>1012.5275373134326</v>
      </c>
      <c r="AA895" cm="1">
        <f t="array" ref="AA895">IF(COUNTIFS(Table1[Country],Table1[[#This Row],[Country]])=1,0, _xlfn.STDEV.S(IF(Table1[Country]=Table1[[#This Row],[Country]],Table1[FinalElo])))</f>
        <v>135.61062237674741</v>
      </c>
      <c r="AB895">
        <f>IF(Table1[[#This Row],[CStd]]=0,0, (Table1[[#This Row],[FinalElo]]-Table1[[#This Row],[CAvg]]) / Table1[[#This Row],[CStd]])</f>
        <v>2.4378802846881893</v>
      </c>
      <c r="AC895" t="str">
        <f>IF(Table1[[#This Row],[CStd]]=0,"Normal", IF(ABS(Table1[[#This Row],[CZscore]])&gt;2,"Outlier","Normal"))</f>
        <v>Outlier</v>
      </c>
    </row>
    <row r="896" spans="1:29" x14ac:dyDescent="0.35">
      <c r="A896" t="s">
        <v>1285</v>
      </c>
      <c r="B896">
        <v>65.77</v>
      </c>
      <c r="C896">
        <v>167</v>
      </c>
      <c r="D896" t="s">
        <v>82</v>
      </c>
      <c r="E896">
        <v>26</v>
      </c>
      <c r="F896" t="s">
        <v>1286</v>
      </c>
      <c r="G896" t="s">
        <v>40</v>
      </c>
      <c r="H896" t="s">
        <v>29</v>
      </c>
      <c r="I896" t="s">
        <v>48</v>
      </c>
      <c r="J896">
        <v>0</v>
      </c>
      <c r="K896">
        <v>1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1</v>
      </c>
      <c r="V896">
        <v>0</v>
      </c>
      <c r="W896">
        <v>1</v>
      </c>
      <c r="X896">
        <v>928.01</v>
      </c>
      <c r="Y896">
        <v>1000</v>
      </c>
      <c r="Z896">
        <f>AVERAGEIFS(Table1[FinalElo], Table1[Country], Table1[[#This Row],[Country]])</f>
        <v>1012.5275373134326</v>
      </c>
      <c r="AA896" cm="1">
        <f t="array" ref="AA896">IF(COUNTIFS(Table1[Country],Table1[[#This Row],[Country]])=1,0, _xlfn.STDEV.S(IF(Table1[Country]=Table1[[#This Row],[Country]],Table1[FinalElo])))</f>
        <v>135.61062237674741</v>
      </c>
      <c r="AB896">
        <f>IF(Table1[[#This Row],[CStd]]=0,0, (Table1[[#This Row],[FinalElo]]-Table1[[#This Row],[CAvg]]) / Table1[[#This Row],[CStd]])</f>
        <v>-0.62323685145128049</v>
      </c>
      <c r="AC896" t="str">
        <f>IF(Table1[[#This Row],[CStd]]=0,"Normal", IF(ABS(Table1[[#This Row],[CZscore]])&gt;2,"Outlier","Normal"))</f>
        <v>Normal</v>
      </c>
    </row>
    <row r="897" spans="1:29" x14ac:dyDescent="0.35">
      <c r="A897" t="s">
        <v>1283</v>
      </c>
      <c r="B897">
        <v>52.16</v>
      </c>
      <c r="C897">
        <v>173</v>
      </c>
      <c r="D897" t="s">
        <v>116</v>
      </c>
      <c r="E897">
        <v>27</v>
      </c>
      <c r="F897" t="s">
        <v>1284</v>
      </c>
      <c r="G897" t="s">
        <v>34</v>
      </c>
      <c r="H897" t="s">
        <v>29</v>
      </c>
      <c r="I897" t="s">
        <v>36</v>
      </c>
      <c r="J897">
        <v>0</v>
      </c>
      <c r="K897">
        <v>1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1</v>
      </c>
      <c r="X897">
        <v>900</v>
      </c>
      <c r="Y897">
        <v>1000</v>
      </c>
      <c r="Z897">
        <f>AVERAGEIFS(Table1[FinalElo], Table1[Country], Table1[[#This Row],[Country]])</f>
        <v>980.88090909090931</v>
      </c>
      <c r="AA897" cm="1">
        <f t="array" ref="AA897">IF(COUNTIFS(Table1[Country],Table1[[#This Row],[Country]])=1,0, _xlfn.STDEV.S(IF(Table1[Country]=Table1[[#This Row],[Country]],Table1[FinalElo])))</f>
        <v>133.41794796376408</v>
      </c>
      <c r="AB897">
        <f>IF(Table1[[#This Row],[CStd]]=0,0, (Table1[[#This Row],[FinalElo]]-Table1[[#This Row],[CAvg]]) / Table1[[#This Row],[CStd]])</f>
        <v>-0.60622210373731977</v>
      </c>
      <c r="AC897" t="str">
        <f>IF(Table1[[#This Row],[CStd]]=0,"Normal", IF(ABS(Table1[[#This Row],[CZscore]])&gt;2,"Outlier","Normal"))</f>
        <v>Normal</v>
      </c>
    </row>
    <row r="898" spans="1:29" x14ac:dyDescent="0.35">
      <c r="A898" t="s">
        <v>1281</v>
      </c>
      <c r="B898">
        <v>69.900000000000006</v>
      </c>
      <c r="C898">
        <v>171</v>
      </c>
      <c r="D898" t="s">
        <v>82</v>
      </c>
      <c r="E898">
        <v>35</v>
      </c>
      <c r="F898" t="s">
        <v>1282</v>
      </c>
      <c r="G898" t="s">
        <v>40</v>
      </c>
      <c r="H898" t="s">
        <v>29</v>
      </c>
      <c r="I898" t="s">
        <v>48</v>
      </c>
      <c r="J898">
        <v>0</v>
      </c>
      <c r="K898">
        <v>1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1</v>
      </c>
      <c r="X898">
        <v>900</v>
      </c>
      <c r="Y898">
        <v>1000</v>
      </c>
      <c r="Z898">
        <f>AVERAGEIFS(Table1[FinalElo], Table1[Country], Table1[[#This Row],[Country]])</f>
        <v>1012.5275373134326</v>
      </c>
      <c r="AA898" cm="1">
        <f t="array" ref="AA898">IF(COUNTIFS(Table1[Country],Table1[[#This Row],[Country]])=1,0, _xlfn.STDEV.S(IF(Table1[Country]=Table1[[#This Row],[Country]],Table1[FinalElo])))</f>
        <v>135.61062237674741</v>
      </c>
      <c r="AB898">
        <f>IF(Table1[[#This Row],[CStd]]=0,0, (Table1[[#This Row],[FinalElo]]-Table1[[#This Row],[CAvg]]) / Table1[[#This Row],[CStd]])</f>
        <v>-0.82978409317238888</v>
      </c>
      <c r="AC898" t="str">
        <f>IF(Table1[[#This Row],[CStd]]=0,"Normal", IF(ABS(Table1[[#This Row],[CZscore]])&gt;2,"Outlier","Normal"))</f>
        <v>Normal</v>
      </c>
    </row>
    <row r="899" spans="1:29" x14ac:dyDescent="0.35">
      <c r="A899" t="s">
        <v>1280</v>
      </c>
      <c r="B899">
        <v>63.956471999999998</v>
      </c>
      <c r="C899">
        <v>170</v>
      </c>
      <c r="D899" t="s">
        <v>82</v>
      </c>
      <c r="E899">
        <v>34</v>
      </c>
      <c r="F899" t="s">
        <v>1244</v>
      </c>
      <c r="G899" t="s">
        <v>34</v>
      </c>
      <c r="H899" t="s">
        <v>29</v>
      </c>
      <c r="I899" t="s">
        <v>73</v>
      </c>
      <c r="J899">
        <v>0</v>
      </c>
      <c r="K899">
        <v>1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1</v>
      </c>
      <c r="W899">
        <v>1</v>
      </c>
      <c r="X899">
        <v>928.01</v>
      </c>
      <c r="Y899">
        <v>1000</v>
      </c>
      <c r="Z899">
        <f>AVERAGEIFS(Table1[FinalElo], Table1[Country], Table1[[#This Row],[Country]])</f>
        <v>1012.5275373134326</v>
      </c>
      <c r="AA899" cm="1">
        <f t="array" ref="AA899">IF(COUNTIFS(Table1[Country],Table1[[#This Row],[Country]])=1,0, _xlfn.STDEV.S(IF(Table1[Country]=Table1[[#This Row],[Country]],Table1[FinalElo])))</f>
        <v>135.61062237674741</v>
      </c>
      <c r="AB899">
        <f>IF(Table1[[#This Row],[CStd]]=0,0, (Table1[[#This Row],[FinalElo]]-Table1[[#This Row],[CAvg]]) / Table1[[#This Row],[CStd]])</f>
        <v>-0.62323685145128049</v>
      </c>
      <c r="AC899" t="str">
        <f>IF(Table1[[#This Row],[CStd]]=0,"Normal", IF(ABS(Table1[[#This Row],[CZscore]])&gt;2,"Outlier","Normal"))</f>
        <v>Normal</v>
      </c>
    </row>
    <row r="900" spans="1:29" x14ac:dyDescent="0.35">
      <c r="A900" t="s">
        <v>1278</v>
      </c>
      <c r="B900">
        <v>61.23</v>
      </c>
      <c r="C900">
        <v>173</v>
      </c>
      <c r="D900" t="s">
        <v>140</v>
      </c>
      <c r="E900">
        <v>23</v>
      </c>
      <c r="F900" t="s">
        <v>1279</v>
      </c>
      <c r="G900" t="s">
        <v>40</v>
      </c>
      <c r="H900" t="s">
        <v>29</v>
      </c>
      <c r="I900" t="s">
        <v>73</v>
      </c>
      <c r="J900">
        <v>1</v>
      </c>
      <c r="K900">
        <v>1</v>
      </c>
      <c r="L900">
        <v>0</v>
      </c>
      <c r="M900">
        <v>1</v>
      </c>
      <c r="N900">
        <v>0</v>
      </c>
      <c r="O900">
        <v>0</v>
      </c>
      <c r="P900">
        <v>0</v>
      </c>
      <c r="Q900">
        <v>0</v>
      </c>
      <c r="R900">
        <v>1</v>
      </c>
      <c r="S900">
        <v>0</v>
      </c>
      <c r="T900">
        <v>0</v>
      </c>
      <c r="U900">
        <v>0</v>
      </c>
      <c r="V900">
        <v>0</v>
      </c>
      <c r="W900">
        <v>2</v>
      </c>
      <c r="X900">
        <v>986.47</v>
      </c>
      <c r="Y900">
        <v>1119.5899999999999</v>
      </c>
      <c r="Z900">
        <f>AVERAGEIFS(Table1[FinalElo], Table1[Country], Table1[[#This Row],[Country]])</f>
        <v>1002.675294117647</v>
      </c>
      <c r="AA900" cm="1">
        <f t="array" ref="AA900">IF(COUNTIFS(Table1[Country],Table1[[#This Row],[Country]])=1,0, _xlfn.STDEV.S(IF(Table1[Country]=Table1[[#This Row],[Country]],Table1[FinalElo])))</f>
        <v>171.59712028169514</v>
      </c>
      <c r="AB900">
        <f>IF(Table1[[#This Row],[CStd]]=0,0, (Table1[[#This Row],[FinalElo]]-Table1[[#This Row],[CAvg]]) / Table1[[#This Row],[CStd]])</f>
        <v>-9.4438030725948377E-2</v>
      </c>
      <c r="AC900" t="str">
        <f>IF(Table1[[#This Row],[CStd]]=0,"Normal", IF(ABS(Table1[[#This Row],[CZscore]])&gt;2,"Outlier","Normal"))</f>
        <v>Normal</v>
      </c>
    </row>
    <row r="901" spans="1:29" x14ac:dyDescent="0.35">
      <c r="A901" t="s">
        <v>1276</v>
      </c>
      <c r="B901">
        <v>63.2</v>
      </c>
      <c r="C901">
        <v>177</v>
      </c>
      <c r="D901" t="s">
        <v>89</v>
      </c>
      <c r="E901">
        <v>29</v>
      </c>
      <c r="F901" t="s">
        <v>1277</v>
      </c>
      <c r="G901" t="s">
        <v>34</v>
      </c>
      <c r="H901" t="s">
        <v>29</v>
      </c>
      <c r="I901" t="s">
        <v>73</v>
      </c>
      <c r="J901">
        <v>0</v>
      </c>
      <c r="K901">
        <v>1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1</v>
      </c>
      <c r="V901">
        <v>0</v>
      </c>
      <c r="W901">
        <v>1</v>
      </c>
      <c r="X901">
        <v>900</v>
      </c>
      <c r="Y901">
        <v>1000</v>
      </c>
      <c r="Z901">
        <f>AVERAGEIFS(Table1[FinalElo], Table1[Country], Table1[[#This Row],[Country]])</f>
        <v>1012.0629025423733</v>
      </c>
      <c r="AA901" cm="1">
        <f t="array" ref="AA901">IF(COUNTIFS(Table1[Country],Table1[[#This Row],[Country]])=1,0, _xlfn.STDEV.S(IF(Table1[Country]=Table1[[#This Row],[Country]],Table1[FinalElo])))</f>
        <v>148.42180446198614</v>
      </c>
      <c r="AB901">
        <f>IF(Table1[[#This Row],[CStd]]=0,0, (Table1[[#This Row],[FinalElo]]-Table1[[#This Row],[CAvg]]) / Table1[[#This Row],[CStd]])</f>
        <v>-0.75502991591154589</v>
      </c>
      <c r="AC901" t="str">
        <f>IF(Table1[[#This Row],[CStd]]=0,"Normal", IF(ABS(Table1[[#This Row],[CZscore]])&gt;2,"Outlier","Normal"))</f>
        <v>Normal</v>
      </c>
    </row>
    <row r="902" spans="1:29" x14ac:dyDescent="0.35">
      <c r="A902" t="s">
        <v>1274</v>
      </c>
      <c r="B902">
        <v>67.131615999999994</v>
      </c>
      <c r="C902">
        <v>177</v>
      </c>
      <c r="D902" t="s">
        <v>82</v>
      </c>
      <c r="E902">
        <v>29</v>
      </c>
      <c r="F902" t="s">
        <v>1275</v>
      </c>
      <c r="G902" t="s">
        <v>34</v>
      </c>
      <c r="H902" t="s">
        <v>29</v>
      </c>
      <c r="I902" t="s">
        <v>48</v>
      </c>
      <c r="J902">
        <v>1</v>
      </c>
      <c r="K902">
        <v>1</v>
      </c>
      <c r="L902">
        <v>0</v>
      </c>
      <c r="M902">
        <v>0</v>
      </c>
      <c r="N902">
        <v>0</v>
      </c>
      <c r="O902">
        <v>0</v>
      </c>
      <c r="P902">
        <v>1</v>
      </c>
      <c r="Q902">
        <v>0</v>
      </c>
      <c r="R902">
        <v>0</v>
      </c>
      <c r="S902">
        <v>0</v>
      </c>
      <c r="T902">
        <v>0</v>
      </c>
      <c r="U902">
        <v>1</v>
      </c>
      <c r="V902">
        <v>0</v>
      </c>
      <c r="W902">
        <v>2</v>
      </c>
      <c r="X902">
        <v>945.58</v>
      </c>
      <c r="Y902">
        <v>1100</v>
      </c>
      <c r="Z902">
        <f>AVERAGEIFS(Table1[FinalElo], Table1[Country], Table1[[#This Row],[Country]])</f>
        <v>1012.5275373134326</v>
      </c>
      <c r="AA902" cm="1">
        <f t="array" ref="AA902">IF(COUNTIFS(Table1[Country],Table1[[#This Row],[Country]])=1,0, _xlfn.STDEV.S(IF(Table1[Country]=Table1[[#This Row],[Country]],Table1[FinalElo])))</f>
        <v>135.61062237674741</v>
      </c>
      <c r="AB902">
        <f>IF(Table1[[#This Row],[CStd]]=0,0, (Table1[[#This Row],[FinalElo]]-Table1[[#This Row],[CAvg]]) / Table1[[#This Row],[CStd]])</f>
        <v>-0.4936747294577109</v>
      </c>
      <c r="AC902" t="str">
        <f>IF(Table1[[#This Row],[CStd]]=0,"Normal", IF(ABS(Table1[[#This Row],[CZscore]])&gt;2,"Outlier","Normal"))</f>
        <v>Normal</v>
      </c>
    </row>
    <row r="903" spans="1:29" x14ac:dyDescent="0.35">
      <c r="A903" t="s">
        <v>1272</v>
      </c>
      <c r="B903">
        <v>69.400000000000006</v>
      </c>
      <c r="C903">
        <v>173</v>
      </c>
      <c r="D903" t="s">
        <v>82</v>
      </c>
      <c r="E903">
        <v>27</v>
      </c>
      <c r="F903" t="s">
        <v>1273</v>
      </c>
      <c r="G903" t="s">
        <v>40</v>
      </c>
      <c r="H903" t="s">
        <v>29</v>
      </c>
      <c r="I903" t="s">
        <v>48</v>
      </c>
      <c r="J903">
        <v>2</v>
      </c>
      <c r="K903">
        <v>1</v>
      </c>
      <c r="L903">
        <v>0</v>
      </c>
      <c r="M903">
        <v>1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3</v>
      </c>
      <c r="X903">
        <v>1059.4000000000001</v>
      </c>
      <c r="Y903">
        <v>1171.99</v>
      </c>
      <c r="Z903">
        <f>AVERAGEIFS(Table1[FinalElo], Table1[Country], Table1[[#This Row],[Country]])</f>
        <v>1012.5275373134326</v>
      </c>
      <c r="AA903" cm="1">
        <f t="array" ref="AA903">IF(COUNTIFS(Table1[Country],Table1[[#This Row],[Country]])=1,0, _xlfn.STDEV.S(IF(Table1[Country]=Table1[[#This Row],[Country]],Table1[FinalElo])))</f>
        <v>135.61062237674741</v>
      </c>
      <c r="AB903">
        <f>IF(Table1[[#This Row],[CStd]]=0,0, (Table1[[#This Row],[FinalElo]]-Table1[[#This Row],[CAvg]]) / Table1[[#This Row],[CStd]])</f>
        <v>0.34564005285919619</v>
      </c>
      <c r="AC903" t="str">
        <f>IF(Table1[[#This Row],[CStd]]=0,"Normal", IF(ABS(Table1[[#This Row],[CZscore]])&gt;2,"Outlier","Normal"))</f>
        <v>Normal</v>
      </c>
    </row>
    <row r="904" spans="1:29" x14ac:dyDescent="0.35">
      <c r="A904" t="s">
        <v>1270</v>
      </c>
      <c r="B904">
        <v>70.31</v>
      </c>
      <c r="C904">
        <v>180</v>
      </c>
      <c r="D904" t="s">
        <v>38</v>
      </c>
      <c r="E904">
        <v>23</v>
      </c>
      <c r="F904" t="s">
        <v>1271</v>
      </c>
      <c r="G904" t="s">
        <v>40</v>
      </c>
      <c r="H904" t="s">
        <v>29</v>
      </c>
      <c r="I904" t="s">
        <v>30</v>
      </c>
      <c r="J904">
        <v>1</v>
      </c>
      <c r="K904">
        <v>0</v>
      </c>
      <c r="L904">
        <v>0</v>
      </c>
      <c r="M904">
        <v>1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1</v>
      </c>
      <c r="X904">
        <v>1100</v>
      </c>
      <c r="Y904">
        <v>1100</v>
      </c>
      <c r="Z904">
        <f>AVERAGEIFS(Table1[FinalElo], Table1[Country], Table1[[#This Row],[Country]])</f>
        <v>1057.4495402298851</v>
      </c>
      <c r="AA904" cm="1">
        <f t="array" ref="AA904">IF(COUNTIFS(Table1[Country],Table1[[#This Row],[Country]])=1,0, _xlfn.STDEV.S(IF(Table1[Country]=Table1[[#This Row],[Country]],Table1[FinalElo])))</f>
        <v>156.98667602259493</v>
      </c>
      <c r="AB904">
        <f>IF(Table1[[#This Row],[CStd]]=0,0, (Table1[[#This Row],[FinalElo]]-Table1[[#This Row],[CAvg]]) / Table1[[#This Row],[CStd]])</f>
        <v>0.27104503928722373</v>
      </c>
      <c r="AC904" t="str">
        <f>IF(Table1[[#This Row],[CStd]]=0,"Normal", IF(ABS(Table1[[#This Row],[CZscore]])&gt;2,"Outlier","Normal"))</f>
        <v>Normal</v>
      </c>
    </row>
    <row r="905" spans="1:29" x14ac:dyDescent="0.35">
      <c r="A905" t="s">
        <v>1269</v>
      </c>
      <c r="B905">
        <v>57.606183999999999</v>
      </c>
      <c r="C905">
        <v>179</v>
      </c>
      <c r="D905" t="s">
        <v>26</v>
      </c>
      <c r="E905">
        <v>36</v>
      </c>
      <c r="F905" t="s">
        <v>87</v>
      </c>
      <c r="G905" t="s">
        <v>34</v>
      </c>
      <c r="H905" t="s">
        <v>29</v>
      </c>
      <c r="I905" t="s">
        <v>58</v>
      </c>
      <c r="J905">
        <v>0</v>
      </c>
      <c r="K905">
        <v>1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1</v>
      </c>
      <c r="S905">
        <v>0</v>
      </c>
      <c r="T905">
        <v>0</v>
      </c>
      <c r="U905">
        <v>0</v>
      </c>
      <c r="V905">
        <v>0</v>
      </c>
      <c r="W905">
        <v>1</v>
      </c>
      <c r="X905">
        <v>900</v>
      </c>
      <c r="Y905">
        <v>1000</v>
      </c>
      <c r="Z905">
        <f>AVERAGEIFS(Table1[FinalElo], Table1[Country], Table1[[#This Row],[Country]])</f>
        <v>979.07416666666666</v>
      </c>
      <c r="AA905" cm="1">
        <f t="array" ref="AA905">IF(COUNTIFS(Table1[Country],Table1[[#This Row],[Country]])=1,0, _xlfn.STDEV.S(IF(Table1[Country]=Table1[[#This Row],[Country]],Table1[FinalElo])))</f>
        <v>130.18126931728986</v>
      </c>
      <c r="AB905">
        <f>IF(Table1[[#This Row],[CStd]]=0,0, (Table1[[#This Row],[FinalElo]]-Table1[[#This Row],[CAvg]]) / Table1[[#This Row],[CStd]])</f>
        <v>-0.60741585238303186</v>
      </c>
      <c r="AC905" t="str">
        <f>IF(Table1[[#This Row],[CStd]]=0,"Normal", IF(ABS(Table1[[#This Row],[CZscore]])&gt;2,"Outlier","Normal"))</f>
        <v>Normal</v>
      </c>
    </row>
    <row r="906" spans="1:29" x14ac:dyDescent="0.35">
      <c r="A906" t="s">
        <v>1268</v>
      </c>
      <c r="B906">
        <v>63.502879999999998</v>
      </c>
      <c r="C906">
        <v>173</v>
      </c>
      <c r="D906" t="s">
        <v>414</v>
      </c>
      <c r="E906">
        <v>37</v>
      </c>
      <c r="F906" t="s">
        <v>317</v>
      </c>
      <c r="G906" t="s">
        <v>34</v>
      </c>
      <c r="H906" t="s">
        <v>29</v>
      </c>
      <c r="I906" t="s">
        <v>73</v>
      </c>
      <c r="J906">
        <v>0</v>
      </c>
      <c r="K906">
        <v>1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1</v>
      </c>
      <c r="V906">
        <v>0</v>
      </c>
      <c r="W906">
        <v>1</v>
      </c>
      <c r="X906">
        <v>967.42</v>
      </c>
      <c r="Y906">
        <v>1000</v>
      </c>
      <c r="Z906">
        <f>AVERAGEIFS(Table1[FinalElo], Table1[Country], Table1[[#This Row],[Country]])</f>
        <v>1049.6228571428571</v>
      </c>
      <c r="AA906" cm="1">
        <f t="array" ref="AA906">IF(COUNTIFS(Table1[Country],Table1[[#This Row],[Country]])=1,0, _xlfn.STDEV.S(IF(Table1[Country]=Table1[[#This Row],[Country]],Table1[FinalElo])))</f>
        <v>104.38751437381221</v>
      </c>
      <c r="AB906">
        <f>IF(Table1[[#This Row],[CStd]]=0,0, (Table1[[#This Row],[FinalElo]]-Table1[[#This Row],[CAvg]]) / Table1[[#This Row],[CStd]])</f>
        <v>-0.78747786683078136</v>
      </c>
      <c r="AC906" t="str">
        <f>IF(Table1[[#This Row],[CStd]]=0,"Normal", IF(ABS(Table1[[#This Row],[CZscore]])&gt;2,"Outlier","Normal"))</f>
        <v>Normal</v>
      </c>
    </row>
    <row r="907" spans="1:29" x14ac:dyDescent="0.35">
      <c r="A907" t="s">
        <v>1266</v>
      </c>
      <c r="B907">
        <v>58.513368</v>
      </c>
      <c r="C907">
        <v>165</v>
      </c>
      <c r="D907" t="s">
        <v>89</v>
      </c>
      <c r="E907">
        <v>20</v>
      </c>
      <c r="F907" t="s">
        <v>1267</v>
      </c>
      <c r="G907" t="s">
        <v>34</v>
      </c>
      <c r="H907" t="s">
        <v>29</v>
      </c>
      <c r="I907" t="s">
        <v>58</v>
      </c>
      <c r="J907">
        <v>3</v>
      </c>
      <c r="K907">
        <v>1</v>
      </c>
      <c r="L907">
        <v>0</v>
      </c>
      <c r="M907">
        <v>2</v>
      </c>
      <c r="N907">
        <v>0</v>
      </c>
      <c r="O907">
        <v>0</v>
      </c>
      <c r="P907">
        <v>1</v>
      </c>
      <c r="Q907">
        <v>0</v>
      </c>
      <c r="R907">
        <v>0</v>
      </c>
      <c r="S907">
        <v>0</v>
      </c>
      <c r="T907">
        <v>0</v>
      </c>
      <c r="U907">
        <v>1</v>
      </c>
      <c r="V907">
        <v>0</v>
      </c>
      <c r="W907">
        <v>4</v>
      </c>
      <c r="X907">
        <v>1229.51</v>
      </c>
      <c r="Y907">
        <v>1229.51</v>
      </c>
      <c r="Z907">
        <f>AVERAGEIFS(Table1[FinalElo], Table1[Country], Table1[[#This Row],[Country]])</f>
        <v>1012.0629025423733</v>
      </c>
      <c r="AA907" cm="1">
        <f t="array" ref="AA907">IF(COUNTIFS(Table1[Country],Table1[[#This Row],[Country]])=1,0, _xlfn.STDEV.S(IF(Table1[Country]=Table1[[#This Row],[Country]],Table1[FinalElo])))</f>
        <v>148.42180446198614</v>
      </c>
      <c r="AB907">
        <f>IF(Table1[[#This Row],[CStd]]=0,0, (Table1[[#This Row],[FinalElo]]-Table1[[#This Row],[CAvg]]) / Table1[[#This Row],[CStd]])</f>
        <v>1.4650616750406058</v>
      </c>
      <c r="AC907" t="str">
        <f>IF(Table1[[#This Row],[CStd]]=0,"Normal", IF(ABS(Table1[[#This Row],[CZscore]])&gt;2,"Outlier","Normal"))</f>
        <v>Normal</v>
      </c>
    </row>
    <row r="908" spans="1:29" x14ac:dyDescent="0.35">
      <c r="A908" t="s">
        <v>1264</v>
      </c>
      <c r="B908">
        <v>56.2</v>
      </c>
      <c r="C908">
        <v>160</v>
      </c>
      <c r="D908" t="s">
        <v>89</v>
      </c>
      <c r="E908">
        <v>27</v>
      </c>
      <c r="F908" t="s">
        <v>1265</v>
      </c>
      <c r="G908" t="s">
        <v>34</v>
      </c>
      <c r="H908" t="s">
        <v>29</v>
      </c>
      <c r="I908" t="s">
        <v>36</v>
      </c>
      <c r="J908">
        <v>3</v>
      </c>
      <c r="K908">
        <v>5</v>
      </c>
      <c r="L908">
        <v>0</v>
      </c>
      <c r="M908">
        <v>1</v>
      </c>
      <c r="N908">
        <v>0</v>
      </c>
      <c r="O908">
        <v>0</v>
      </c>
      <c r="P908">
        <v>0</v>
      </c>
      <c r="Q908">
        <v>0</v>
      </c>
      <c r="R908">
        <v>1</v>
      </c>
      <c r="S908">
        <v>0</v>
      </c>
      <c r="T908">
        <v>0</v>
      </c>
      <c r="U908">
        <v>2</v>
      </c>
      <c r="V908">
        <v>0</v>
      </c>
      <c r="W908">
        <v>8</v>
      </c>
      <c r="X908">
        <v>836.22</v>
      </c>
      <c r="Y908">
        <v>1100</v>
      </c>
      <c r="Z908">
        <f>AVERAGEIFS(Table1[FinalElo], Table1[Country], Table1[[#This Row],[Country]])</f>
        <v>1012.0629025423733</v>
      </c>
      <c r="AA908" cm="1">
        <f t="array" ref="AA908">IF(COUNTIFS(Table1[Country],Table1[[#This Row],[Country]])=1,0, _xlfn.STDEV.S(IF(Table1[Country]=Table1[[#This Row],[Country]],Table1[FinalElo])))</f>
        <v>148.42180446198614</v>
      </c>
      <c r="AB908">
        <f>IF(Table1[[#This Row],[CStd]]=0,0, (Table1[[#This Row],[FinalElo]]-Table1[[#This Row],[CAvg]]) / Table1[[#This Row],[CStd]])</f>
        <v>-1.1847511434036651</v>
      </c>
      <c r="AC908" t="str">
        <f>IF(Table1[[#This Row],[CStd]]=0,"Normal", IF(ABS(Table1[[#This Row],[CZscore]])&gt;2,"Outlier","Normal"))</f>
        <v>Normal</v>
      </c>
    </row>
    <row r="909" spans="1:29" x14ac:dyDescent="0.35">
      <c r="A909" t="s">
        <v>1262</v>
      </c>
      <c r="B909">
        <v>63.502879999999998</v>
      </c>
      <c r="C909">
        <v>173</v>
      </c>
      <c r="D909" t="s">
        <v>89</v>
      </c>
      <c r="E909">
        <v>18</v>
      </c>
      <c r="F909" t="s">
        <v>1263</v>
      </c>
      <c r="G909" t="s">
        <v>34</v>
      </c>
      <c r="H909" t="s">
        <v>29</v>
      </c>
      <c r="I909" t="s">
        <v>73</v>
      </c>
      <c r="J909">
        <v>1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1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1</v>
      </c>
      <c r="X909">
        <v>1100</v>
      </c>
      <c r="Y909">
        <v>1100</v>
      </c>
      <c r="Z909">
        <f>AVERAGEIFS(Table1[FinalElo], Table1[Country], Table1[[#This Row],[Country]])</f>
        <v>1012.0629025423733</v>
      </c>
      <c r="AA909" cm="1">
        <f t="array" ref="AA909">IF(COUNTIFS(Table1[Country],Table1[[#This Row],[Country]])=1,0, _xlfn.STDEV.S(IF(Table1[Country]=Table1[[#This Row],[Country]],Table1[FinalElo])))</f>
        <v>148.42180446198614</v>
      </c>
      <c r="AB909">
        <f>IF(Table1[[#This Row],[CStd]]=0,0, (Table1[[#This Row],[FinalElo]]-Table1[[#This Row],[CAvg]]) / Table1[[#This Row],[CStd]])</f>
        <v>0.59248098873605315</v>
      </c>
      <c r="AC909" t="str">
        <f>IF(Table1[[#This Row],[CStd]]=0,"Normal", IF(ABS(Table1[[#This Row],[CZscore]])&gt;2,"Outlier","Normal"))</f>
        <v>Normal</v>
      </c>
    </row>
    <row r="910" spans="1:29" x14ac:dyDescent="0.35">
      <c r="A910" t="s">
        <v>1260</v>
      </c>
      <c r="B910">
        <v>65.8</v>
      </c>
      <c r="C910">
        <v>165</v>
      </c>
      <c r="D910" t="s">
        <v>368</v>
      </c>
      <c r="E910">
        <v>33</v>
      </c>
      <c r="F910" t="s">
        <v>1261</v>
      </c>
      <c r="G910" t="s">
        <v>40</v>
      </c>
      <c r="H910" t="s">
        <v>29</v>
      </c>
      <c r="I910" t="s">
        <v>48</v>
      </c>
      <c r="J910">
        <v>1</v>
      </c>
      <c r="K910">
        <v>1</v>
      </c>
      <c r="L910">
        <v>0</v>
      </c>
      <c r="M910">
        <v>1</v>
      </c>
      <c r="N910">
        <v>0</v>
      </c>
      <c r="O910">
        <v>0</v>
      </c>
      <c r="P910">
        <v>0</v>
      </c>
      <c r="Q910">
        <v>0</v>
      </c>
      <c r="R910">
        <v>1</v>
      </c>
      <c r="S910">
        <v>0</v>
      </c>
      <c r="T910">
        <v>0</v>
      </c>
      <c r="U910">
        <v>0</v>
      </c>
      <c r="V910">
        <v>0</v>
      </c>
      <c r="W910">
        <v>2</v>
      </c>
      <c r="X910">
        <v>1075.54</v>
      </c>
      <c r="Y910">
        <v>1075.54</v>
      </c>
      <c r="Z910">
        <f>AVERAGEIFS(Table1[FinalElo], Table1[Country], Table1[[#This Row],[Country]])</f>
        <v>980.53583333333336</v>
      </c>
      <c r="AA910" cm="1">
        <f t="array" ref="AA910">IF(COUNTIFS(Table1[Country],Table1[[#This Row],[Country]])=1,0, _xlfn.STDEV.S(IF(Table1[Country]=Table1[[#This Row],[Country]],Table1[FinalElo])))</f>
        <v>85.643213227725752</v>
      </c>
      <c r="AB910">
        <f>IF(Table1[[#This Row],[CStd]]=0,0, (Table1[[#This Row],[FinalElo]]-Table1[[#This Row],[CAvg]]) / Table1[[#This Row],[CStd]])</f>
        <v>1.1093017541746131</v>
      </c>
      <c r="AC910" t="str">
        <f>IF(Table1[[#This Row],[CStd]]=0,"Normal", IF(ABS(Table1[[#This Row],[CZscore]])&gt;2,"Outlier","Normal"))</f>
        <v>Normal</v>
      </c>
    </row>
    <row r="911" spans="1:29" x14ac:dyDescent="0.35">
      <c r="A911" t="s">
        <v>1258</v>
      </c>
      <c r="B911">
        <v>56.7</v>
      </c>
      <c r="C911">
        <v>171</v>
      </c>
      <c r="D911" t="s">
        <v>82</v>
      </c>
      <c r="E911">
        <v>23</v>
      </c>
      <c r="F911" t="s">
        <v>1259</v>
      </c>
      <c r="G911" t="s">
        <v>28</v>
      </c>
      <c r="H911" t="s">
        <v>29</v>
      </c>
      <c r="I911" t="s">
        <v>58</v>
      </c>
      <c r="J911">
        <v>2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2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2</v>
      </c>
      <c r="X911">
        <v>1179.57</v>
      </c>
      <c r="Y911">
        <v>1179.57</v>
      </c>
      <c r="Z911">
        <f>AVERAGEIFS(Table1[FinalElo], Table1[Country], Table1[[#This Row],[Country]])</f>
        <v>1012.5275373134326</v>
      </c>
      <c r="AA911" cm="1">
        <f t="array" ref="AA911">IF(COUNTIFS(Table1[Country],Table1[[#This Row],[Country]])=1,0, _xlfn.STDEV.S(IF(Table1[Country]=Table1[[#This Row],[Country]],Table1[FinalElo])))</f>
        <v>135.61062237674741</v>
      </c>
      <c r="AB911">
        <f>IF(Table1[[#This Row],[CStd]]=0,0, (Table1[[#This Row],[FinalElo]]-Table1[[#This Row],[CAvg]]) / Table1[[#This Row],[CStd]])</f>
        <v>1.2317800756234076</v>
      </c>
      <c r="AC911" t="str">
        <f>IF(Table1[[#This Row],[CStd]]=0,"Normal", IF(ABS(Table1[[#This Row],[CZscore]])&gt;2,"Outlier","Normal"))</f>
        <v>Normal</v>
      </c>
    </row>
    <row r="912" spans="1:29" x14ac:dyDescent="0.35">
      <c r="A912" t="s">
        <v>1257</v>
      </c>
      <c r="B912">
        <v>110.4</v>
      </c>
      <c r="C912">
        <v>184</v>
      </c>
      <c r="D912" t="s">
        <v>513</v>
      </c>
      <c r="E912">
        <v>29</v>
      </c>
      <c r="F912" t="s">
        <v>1228</v>
      </c>
      <c r="G912" t="s">
        <v>40</v>
      </c>
      <c r="H912" t="s">
        <v>29</v>
      </c>
      <c r="I912" t="s">
        <v>94</v>
      </c>
      <c r="J912">
        <v>4</v>
      </c>
      <c r="K912">
        <v>4</v>
      </c>
      <c r="L912">
        <v>0</v>
      </c>
      <c r="M912">
        <v>2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2</v>
      </c>
      <c r="T912">
        <v>0</v>
      </c>
      <c r="U912">
        <v>1</v>
      </c>
      <c r="V912">
        <v>0</v>
      </c>
      <c r="W912">
        <v>8</v>
      </c>
      <c r="X912">
        <v>844.51</v>
      </c>
      <c r="Y912">
        <v>1171.99</v>
      </c>
      <c r="Z912">
        <f>AVERAGEIFS(Table1[FinalElo], Table1[Country], Table1[[#This Row],[Country]])</f>
        <v>991.92857142857144</v>
      </c>
      <c r="AA912" cm="1">
        <f t="array" ref="AA912">IF(COUNTIFS(Table1[Country],Table1[[#This Row],[Country]])=1,0, _xlfn.STDEV.S(IF(Table1[Country]=Table1[[#This Row],[Country]],Table1[FinalElo])))</f>
        <v>154.84924955929111</v>
      </c>
      <c r="AB912">
        <f>IF(Table1[[#This Row],[CStd]]=0,0, (Table1[[#This Row],[FinalElo]]-Table1[[#This Row],[CAvg]]) / Table1[[#This Row],[CStd]])</f>
        <v>-0.95201347018556604</v>
      </c>
      <c r="AC912" t="str">
        <f>IF(Table1[[#This Row],[CStd]]=0,"Normal", IF(ABS(Table1[[#This Row],[CZscore]])&gt;2,"Outlier","Normal"))</f>
        <v>Normal</v>
      </c>
    </row>
    <row r="913" spans="1:29" x14ac:dyDescent="0.35">
      <c r="A913" t="s">
        <v>1255</v>
      </c>
      <c r="B913">
        <v>47.63</v>
      </c>
      <c r="C913">
        <v>-1</v>
      </c>
      <c r="D913" t="s">
        <v>82</v>
      </c>
      <c r="E913">
        <v>33</v>
      </c>
      <c r="F913" t="s">
        <v>1256</v>
      </c>
      <c r="G913" t="s">
        <v>28</v>
      </c>
      <c r="H913" t="s">
        <v>29</v>
      </c>
      <c r="I913" t="s">
        <v>55</v>
      </c>
      <c r="J913">
        <v>1</v>
      </c>
      <c r="K913">
        <v>2</v>
      </c>
      <c r="L913">
        <v>0</v>
      </c>
      <c r="M913">
        <v>0</v>
      </c>
      <c r="N913">
        <v>0</v>
      </c>
      <c r="O913">
        <v>0</v>
      </c>
      <c r="P913">
        <v>1</v>
      </c>
      <c r="Q913">
        <v>0</v>
      </c>
      <c r="R913">
        <v>0</v>
      </c>
      <c r="S913">
        <v>0</v>
      </c>
      <c r="T913">
        <v>0</v>
      </c>
      <c r="U913">
        <v>2</v>
      </c>
      <c r="V913">
        <v>0</v>
      </c>
      <c r="W913">
        <v>3</v>
      </c>
      <c r="X913">
        <v>1032.19</v>
      </c>
      <c r="Y913">
        <v>1054.93</v>
      </c>
      <c r="Z913">
        <f>AVERAGEIFS(Table1[FinalElo], Table1[Country], Table1[[#This Row],[Country]])</f>
        <v>1012.5275373134326</v>
      </c>
      <c r="AA913" cm="1">
        <f t="array" ref="AA913">IF(COUNTIFS(Table1[Country],Table1[[#This Row],[Country]])=1,0, _xlfn.STDEV.S(IF(Table1[Country]=Table1[[#This Row],[Country]],Table1[FinalElo])))</f>
        <v>135.61062237674741</v>
      </c>
      <c r="AB913">
        <f>IF(Table1[[#This Row],[CStd]]=0,0, (Table1[[#This Row],[FinalElo]]-Table1[[#This Row],[CAvg]]) / Table1[[#This Row],[CStd]])</f>
        <v>0.14499205402908671</v>
      </c>
      <c r="AC913" t="str">
        <f>IF(Table1[[#This Row],[CStd]]=0,"Normal", IF(ABS(Table1[[#This Row],[CZscore]])&gt;2,"Outlier","Normal"))</f>
        <v>Normal</v>
      </c>
    </row>
    <row r="914" spans="1:29" x14ac:dyDescent="0.35">
      <c r="A914" t="s">
        <v>1253</v>
      </c>
      <c r="B914">
        <v>61.23</v>
      </c>
      <c r="C914">
        <v>183</v>
      </c>
      <c r="D914" t="s">
        <v>89</v>
      </c>
      <c r="E914">
        <v>22</v>
      </c>
      <c r="F914" t="s">
        <v>1254</v>
      </c>
      <c r="G914" t="s">
        <v>34</v>
      </c>
      <c r="H914" t="s">
        <v>29</v>
      </c>
      <c r="I914" t="s">
        <v>73</v>
      </c>
      <c r="J914">
        <v>0</v>
      </c>
      <c r="K914">
        <v>2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2</v>
      </c>
      <c r="X914">
        <v>872.66</v>
      </c>
      <c r="Y914">
        <v>1000</v>
      </c>
      <c r="Z914">
        <f>AVERAGEIFS(Table1[FinalElo], Table1[Country], Table1[[#This Row],[Country]])</f>
        <v>1012.0629025423733</v>
      </c>
      <c r="AA914" cm="1">
        <f t="array" ref="AA914">IF(COUNTIFS(Table1[Country],Table1[[#This Row],[Country]])=1,0, _xlfn.STDEV.S(IF(Table1[Country]=Table1[[#This Row],[Country]],Table1[FinalElo])))</f>
        <v>148.42180446198614</v>
      </c>
      <c r="AB914">
        <f>IF(Table1[[#This Row],[CStd]]=0,0, (Table1[[#This Row],[FinalElo]]-Table1[[#This Row],[CAvg]]) / Table1[[#This Row],[CStd]])</f>
        <v>-0.93923465657687288</v>
      </c>
      <c r="AC914" t="str">
        <f>IF(Table1[[#This Row],[CStd]]=0,"Normal", IF(ABS(Table1[[#This Row],[CZscore]])&gt;2,"Outlier","Normal"))</f>
        <v>Normal</v>
      </c>
    </row>
    <row r="915" spans="1:29" x14ac:dyDescent="0.35">
      <c r="A915" t="s">
        <v>1251</v>
      </c>
      <c r="B915">
        <v>53.523856000000002</v>
      </c>
      <c r="C915">
        <v>160</v>
      </c>
      <c r="D915" t="s">
        <v>89</v>
      </c>
      <c r="E915">
        <v>21</v>
      </c>
      <c r="F915" t="s">
        <v>1252</v>
      </c>
      <c r="G915" t="s">
        <v>34</v>
      </c>
      <c r="H915" t="s">
        <v>29</v>
      </c>
      <c r="I915" t="s">
        <v>36</v>
      </c>
      <c r="J915">
        <v>0</v>
      </c>
      <c r="K915">
        <v>1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1</v>
      </c>
      <c r="S915">
        <v>0</v>
      </c>
      <c r="T915">
        <v>0</v>
      </c>
      <c r="U915">
        <v>0</v>
      </c>
      <c r="V915">
        <v>0</v>
      </c>
      <c r="W915">
        <v>1</v>
      </c>
      <c r="X915">
        <v>900</v>
      </c>
      <c r="Y915">
        <v>1000</v>
      </c>
      <c r="Z915">
        <f>AVERAGEIFS(Table1[FinalElo], Table1[Country], Table1[[#This Row],[Country]])</f>
        <v>1012.0629025423733</v>
      </c>
      <c r="AA915" cm="1">
        <f t="array" ref="AA915">IF(COUNTIFS(Table1[Country],Table1[[#This Row],[Country]])=1,0, _xlfn.STDEV.S(IF(Table1[Country]=Table1[[#This Row],[Country]],Table1[FinalElo])))</f>
        <v>148.42180446198614</v>
      </c>
      <c r="AB915">
        <f>IF(Table1[[#This Row],[CStd]]=0,0, (Table1[[#This Row],[FinalElo]]-Table1[[#This Row],[CAvg]]) / Table1[[#This Row],[CStd]])</f>
        <v>-0.75502991591154589</v>
      </c>
      <c r="AC915" t="str">
        <f>IF(Table1[[#This Row],[CStd]]=0,"Normal", IF(ABS(Table1[[#This Row],[CZscore]])&gt;2,"Outlier","Normal"))</f>
        <v>Normal</v>
      </c>
    </row>
    <row r="916" spans="1:29" x14ac:dyDescent="0.35">
      <c r="A916" t="s">
        <v>1249</v>
      </c>
      <c r="B916">
        <v>59.874144000000001</v>
      </c>
      <c r="C916">
        <v>176</v>
      </c>
      <c r="D916" t="s">
        <v>82</v>
      </c>
      <c r="E916">
        <v>23</v>
      </c>
      <c r="F916" t="s">
        <v>1250</v>
      </c>
      <c r="G916" t="s">
        <v>28</v>
      </c>
      <c r="H916" t="s">
        <v>29</v>
      </c>
      <c r="I916" t="s">
        <v>58</v>
      </c>
      <c r="J916">
        <v>1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1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1</v>
      </c>
      <c r="X916">
        <v>1100</v>
      </c>
      <c r="Y916">
        <v>1100</v>
      </c>
      <c r="Z916">
        <f>AVERAGEIFS(Table1[FinalElo], Table1[Country], Table1[[#This Row],[Country]])</f>
        <v>1012.5275373134326</v>
      </c>
      <c r="AA916" cm="1">
        <f t="array" ref="AA916">IF(COUNTIFS(Table1[Country],Table1[[#This Row],[Country]])=1,0, _xlfn.STDEV.S(IF(Table1[Country]=Table1[[#This Row],[Country]],Table1[FinalElo])))</f>
        <v>135.61062237674741</v>
      </c>
      <c r="AB916">
        <f>IF(Table1[[#This Row],[CStd]]=0,0, (Table1[[#This Row],[FinalElo]]-Table1[[#This Row],[CAvg]]) / Table1[[#This Row],[CStd]])</f>
        <v>0.64502662957740331</v>
      </c>
      <c r="AC916" t="str">
        <f>IF(Table1[[#This Row],[CStd]]=0,"Normal", IF(ABS(Table1[[#This Row],[CZscore]])&gt;2,"Outlier","Normal"))</f>
        <v>Normal</v>
      </c>
    </row>
    <row r="917" spans="1:29" x14ac:dyDescent="0.35">
      <c r="A917" t="s">
        <v>1245</v>
      </c>
      <c r="B917">
        <v>56.7</v>
      </c>
      <c r="C917">
        <v>168</v>
      </c>
      <c r="D917" t="s">
        <v>82</v>
      </c>
      <c r="E917">
        <v>27</v>
      </c>
      <c r="F917" t="s">
        <v>1246</v>
      </c>
      <c r="G917" t="s">
        <v>40</v>
      </c>
      <c r="H917" t="s">
        <v>29</v>
      </c>
      <c r="I917" t="s">
        <v>58</v>
      </c>
      <c r="J917">
        <v>2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2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2</v>
      </c>
      <c r="X917">
        <v>1210.81</v>
      </c>
      <c r="Y917">
        <v>1210.81</v>
      </c>
      <c r="Z917">
        <f>AVERAGEIFS(Table1[FinalElo], Table1[Country], Table1[[#This Row],[Country]])</f>
        <v>1012.5275373134326</v>
      </c>
      <c r="AA917" cm="1">
        <f t="array" ref="AA917">IF(COUNTIFS(Table1[Country],Table1[[#This Row],[Country]])=1,0, _xlfn.STDEV.S(IF(Table1[Country]=Table1[[#This Row],[Country]],Table1[FinalElo])))</f>
        <v>135.61062237674741</v>
      </c>
      <c r="AB917">
        <f>IF(Table1[[#This Row],[CStd]]=0,0, (Table1[[#This Row],[FinalElo]]-Table1[[#This Row],[CAvg]]) / Table1[[#This Row],[CStd]])</f>
        <v>1.4621455105169254</v>
      </c>
      <c r="AC917" t="str">
        <f>IF(Table1[[#This Row],[CStd]]=0,"Normal", IF(ABS(Table1[[#This Row],[CZscore]])&gt;2,"Outlier","Normal"))</f>
        <v>Normal</v>
      </c>
    </row>
    <row r="918" spans="1:29" x14ac:dyDescent="0.35">
      <c r="A918" t="s">
        <v>1247</v>
      </c>
      <c r="B918">
        <v>65.77</v>
      </c>
      <c r="C918">
        <v>180</v>
      </c>
      <c r="D918" t="s">
        <v>82</v>
      </c>
      <c r="E918">
        <v>27</v>
      </c>
      <c r="F918" t="s">
        <v>1248</v>
      </c>
      <c r="G918" t="s">
        <v>28</v>
      </c>
      <c r="H918" t="s">
        <v>29</v>
      </c>
      <c r="I918" t="s">
        <v>48</v>
      </c>
      <c r="J918">
        <v>0</v>
      </c>
      <c r="K918">
        <v>1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1</v>
      </c>
      <c r="V918">
        <v>0</v>
      </c>
      <c r="W918">
        <v>1</v>
      </c>
      <c r="X918">
        <v>938.82</v>
      </c>
      <c r="Y918">
        <v>1000</v>
      </c>
      <c r="Z918">
        <f>AVERAGEIFS(Table1[FinalElo], Table1[Country], Table1[[#This Row],[Country]])</f>
        <v>1012.5275373134326</v>
      </c>
      <c r="AA918" cm="1">
        <f t="array" ref="AA918">IF(COUNTIFS(Table1[Country],Table1[[#This Row],[Country]])=1,0, _xlfn.STDEV.S(IF(Table1[Country]=Table1[[#This Row],[Country]],Table1[FinalElo])))</f>
        <v>135.61062237674741</v>
      </c>
      <c r="AB918">
        <f>IF(Table1[[#This Row],[CStd]]=0,0, (Table1[[#This Row],[FinalElo]]-Table1[[#This Row],[CAvg]]) / Table1[[#This Row],[CStd]])</f>
        <v>-0.5435233318866538</v>
      </c>
      <c r="AC918" t="str">
        <f>IF(Table1[[#This Row],[CStd]]=0,"Normal", IF(ABS(Table1[[#This Row],[CZscore]])&gt;2,"Outlier","Normal"))</f>
        <v>Normal</v>
      </c>
    </row>
    <row r="919" spans="1:29" x14ac:dyDescent="0.35">
      <c r="A919" t="s">
        <v>1243</v>
      </c>
      <c r="B919">
        <v>71.213943999999998</v>
      </c>
      <c r="C919">
        <v>175</v>
      </c>
      <c r="D919" t="s">
        <v>82</v>
      </c>
      <c r="E919">
        <v>23</v>
      </c>
      <c r="F919" t="s">
        <v>1244</v>
      </c>
      <c r="G919" t="s">
        <v>34</v>
      </c>
      <c r="H919" t="s">
        <v>29</v>
      </c>
      <c r="I919" t="s">
        <v>30</v>
      </c>
      <c r="J919">
        <v>0</v>
      </c>
      <c r="K919">
        <v>2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1</v>
      </c>
      <c r="S919">
        <v>0</v>
      </c>
      <c r="T919">
        <v>0</v>
      </c>
      <c r="U919">
        <v>1</v>
      </c>
      <c r="V919">
        <v>0</v>
      </c>
      <c r="W919">
        <v>2</v>
      </c>
      <c r="X919">
        <v>828.01</v>
      </c>
      <c r="Y919">
        <v>1000</v>
      </c>
      <c r="Z919">
        <f>AVERAGEIFS(Table1[FinalElo], Table1[Country], Table1[[#This Row],[Country]])</f>
        <v>1012.5275373134326</v>
      </c>
      <c r="AA919" cm="1">
        <f t="array" ref="AA919">IF(COUNTIFS(Table1[Country],Table1[[#This Row],[Country]])=1,0, _xlfn.STDEV.S(IF(Table1[Country]=Table1[[#This Row],[Country]],Table1[FinalElo])))</f>
        <v>135.61062237674741</v>
      </c>
      <c r="AB919">
        <f>IF(Table1[[#This Row],[CStd]]=0,0, (Table1[[#This Row],[FinalElo]]-Table1[[#This Row],[CAvg]]) / Table1[[#This Row],[CStd]])</f>
        <v>-1.3606422128261766</v>
      </c>
      <c r="AC919" t="str">
        <f>IF(Table1[[#This Row],[CStd]]=0,"Normal", IF(ABS(Table1[[#This Row],[CZscore]])&gt;2,"Outlier","Normal"))</f>
        <v>Normal</v>
      </c>
    </row>
    <row r="920" spans="1:29" x14ac:dyDescent="0.35">
      <c r="A920" t="s">
        <v>1242</v>
      </c>
      <c r="B920">
        <v>57.8</v>
      </c>
      <c r="C920">
        <v>176</v>
      </c>
      <c r="D920" t="s">
        <v>210</v>
      </c>
      <c r="E920">
        <v>18</v>
      </c>
      <c r="F920" t="s">
        <v>1058</v>
      </c>
      <c r="G920" t="s">
        <v>34</v>
      </c>
      <c r="H920" t="s">
        <v>29</v>
      </c>
      <c r="I920" t="s">
        <v>58</v>
      </c>
      <c r="J920">
        <v>0</v>
      </c>
      <c r="K920">
        <v>1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1</v>
      </c>
      <c r="X920">
        <v>900</v>
      </c>
      <c r="Y920">
        <v>1000</v>
      </c>
      <c r="Z920">
        <f>AVERAGEIFS(Table1[FinalElo], Table1[Country], Table1[[#This Row],[Country]])</f>
        <v>1013.9366666666666</v>
      </c>
      <c r="AA920" cm="1">
        <f t="array" ref="AA920">IF(COUNTIFS(Table1[Country],Table1[[#This Row],[Country]])=1,0, _xlfn.STDEV.S(IF(Table1[Country]=Table1[[#This Row],[Country]],Table1[FinalElo])))</f>
        <v>163.09937898921214</v>
      </c>
      <c r="AB920">
        <f>IF(Table1[[#This Row],[CStd]]=0,0, (Table1[[#This Row],[FinalElo]]-Table1[[#This Row],[CAvg]]) / Table1[[#This Row],[CStd]])</f>
        <v>-0.69857204468082434</v>
      </c>
      <c r="AC920" t="str">
        <f>IF(Table1[[#This Row],[CStd]]=0,"Normal", IF(ABS(Table1[[#This Row],[CZscore]])&gt;2,"Outlier","Normal"))</f>
        <v>Normal</v>
      </c>
    </row>
    <row r="921" spans="1:29" x14ac:dyDescent="0.35">
      <c r="A921" t="s">
        <v>1241</v>
      </c>
      <c r="B921">
        <v>61.2</v>
      </c>
      <c r="C921">
        <v>165</v>
      </c>
      <c r="D921" t="s">
        <v>244</v>
      </c>
      <c r="E921">
        <v>37</v>
      </c>
      <c r="F921" t="s">
        <v>133</v>
      </c>
      <c r="G921" t="s">
        <v>40</v>
      </c>
      <c r="H921" t="s">
        <v>29</v>
      </c>
      <c r="I921" t="s">
        <v>58</v>
      </c>
      <c r="J921">
        <v>8</v>
      </c>
      <c r="K921">
        <v>2</v>
      </c>
      <c r="L921">
        <v>0</v>
      </c>
      <c r="M921">
        <v>0</v>
      </c>
      <c r="N921">
        <v>0</v>
      </c>
      <c r="O921">
        <v>0</v>
      </c>
      <c r="P921">
        <v>6</v>
      </c>
      <c r="Q921">
        <v>2</v>
      </c>
      <c r="R921">
        <v>0</v>
      </c>
      <c r="S921">
        <v>0</v>
      </c>
      <c r="T921">
        <v>0</v>
      </c>
      <c r="U921">
        <v>2</v>
      </c>
      <c r="V921">
        <v>0</v>
      </c>
      <c r="W921">
        <v>10</v>
      </c>
      <c r="X921">
        <v>1524.13</v>
      </c>
      <c r="Y921">
        <v>1524.13</v>
      </c>
      <c r="Z921">
        <f>AVERAGEIFS(Table1[FinalElo], Table1[Country], Table1[[#This Row],[Country]])</f>
        <v>1041.2214285714285</v>
      </c>
      <c r="AA921" cm="1">
        <f t="array" ref="AA921">IF(COUNTIFS(Table1[Country],Table1[[#This Row],[Country]])=1,0, _xlfn.STDEV.S(IF(Table1[Country]=Table1[[#This Row],[Country]],Table1[FinalElo])))</f>
        <v>242.01065578665347</v>
      </c>
      <c r="AB921">
        <f>IF(Table1[[#This Row],[CStd]]=0,0, (Table1[[#This Row],[FinalElo]]-Table1[[#This Row],[CAvg]]) / Table1[[#This Row],[CStd]])</f>
        <v>1.9954021026837914</v>
      </c>
      <c r="AC921" t="str">
        <f>IF(Table1[[#This Row],[CStd]]=0,"Normal", IF(ABS(Table1[[#This Row],[CZscore]])&gt;2,"Outlier","Normal"))</f>
        <v>Normal</v>
      </c>
    </row>
    <row r="922" spans="1:29" x14ac:dyDescent="0.35">
      <c r="A922" t="s">
        <v>1240</v>
      </c>
      <c r="B922">
        <v>54.8</v>
      </c>
      <c r="C922">
        <v>173</v>
      </c>
      <c r="D922" t="s">
        <v>89</v>
      </c>
      <c r="E922">
        <v>19</v>
      </c>
      <c r="F922" t="s">
        <v>965</v>
      </c>
      <c r="G922" t="s">
        <v>34</v>
      </c>
      <c r="H922" t="s">
        <v>29</v>
      </c>
      <c r="I922" t="s">
        <v>36</v>
      </c>
      <c r="J922">
        <v>3</v>
      </c>
      <c r="K922">
        <v>0</v>
      </c>
      <c r="L922">
        <v>0</v>
      </c>
      <c r="M922">
        <v>1</v>
      </c>
      <c r="N922">
        <v>0</v>
      </c>
      <c r="O922">
        <v>0</v>
      </c>
      <c r="P922">
        <v>2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3</v>
      </c>
      <c r="X922">
        <v>1207.8399999999999</v>
      </c>
      <c r="Y922">
        <v>1207.8399999999999</v>
      </c>
      <c r="Z922">
        <f>AVERAGEIFS(Table1[FinalElo], Table1[Country], Table1[[#This Row],[Country]])</f>
        <v>1012.0629025423733</v>
      </c>
      <c r="AA922" cm="1">
        <f t="array" ref="AA922">IF(COUNTIFS(Table1[Country],Table1[[#This Row],[Country]])=1,0, _xlfn.STDEV.S(IF(Table1[Country]=Table1[[#This Row],[Country]],Table1[FinalElo])))</f>
        <v>148.42180446198614</v>
      </c>
      <c r="AB922">
        <f>IF(Table1[[#This Row],[CStd]]=0,0, (Table1[[#This Row],[FinalElo]]-Table1[[#This Row],[CAvg]]) / Table1[[#This Row],[CStd]])</f>
        <v>1.3190588685220379</v>
      </c>
      <c r="AC922" t="str">
        <f>IF(Table1[[#This Row],[CStd]]=0,"Normal", IF(ABS(Table1[[#This Row],[CZscore]])&gt;2,"Outlier","Normal"))</f>
        <v>Normal</v>
      </c>
    </row>
    <row r="923" spans="1:29" x14ac:dyDescent="0.35">
      <c r="A923" t="s">
        <v>1236</v>
      </c>
      <c r="B923">
        <v>55.2</v>
      </c>
      <c r="C923">
        <v>169</v>
      </c>
      <c r="D923" t="s">
        <v>89</v>
      </c>
      <c r="E923">
        <v>25</v>
      </c>
      <c r="F923" t="s">
        <v>1237</v>
      </c>
      <c r="G923" t="s">
        <v>34</v>
      </c>
      <c r="H923" t="s">
        <v>29</v>
      </c>
      <c r="I923" t="s">
        <v>36</v>
      </c>
      <c r="J923">
        <v>2</v>
      </c>
      <c r="K923">
        <v>1</v>
      </c>
      <c r="L923">
        <v>0</v>
      </c>
      <c r="M923">
        <v>0</v>
      </c>
      <c r="N923">
        <v>0</v>
      </c>
      <c r="O923">
        <v>0</v>
      </c>
      <c r="P923">
        <v>1</v>
      </c>
      <c r="Q923">
        <v>1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3</v>
      </c>
      <c r="X923">
        <v>1029.67</v>
      </c>
      <c r="Y923">
        <v>1199.45</v>
      </c>
      <c r="Z923">
        <f>AVERAGEIFS(Table1[FinalElo], Table1[Country], Table1[[#This Row],[Country]])</f>
        <v>1012.0629025423733</v>
      </c>
      <c r="AA923" cm="1">
        <f t="array" ref="AA923">IF(COUNTIFS(Table1[Country],Table1[[#This Row],[Country]])=1,0, _xlfn.STDEV.S(IF(Table1[Country]=Table1[[#This Row],[Country]],Table1[FinalElo])))</f>
        <v>148.42180446198614</v>
      </c>
      <c r="AB923">
        <f>IF(Table1[[#This Row],[CStd]]=0,0, (Table1[[#This Row],[FinalElo]]-Table1[[#This Row],[CAvg]]) / Table1[[#This Row],[CStd]])</f>
        <v>0.11862877911672541</v>
      </c>
      <c r="AC923" t="str">
        <f>IF(Table1[[#This Row],[CStd]]=0,"Normal", IF(ABS(Table1[[#This Row],[CZscore]])&gt;2,"Outlier","Normal"))</f>
        <v>Normal</v>
      </c>
    </row>
    <row r="924" spans="1:29" x14ac:dyDescent="0.35">
      <c r="A924" t="s">
        <v>1235</v>
      </c>
      <c r="B924">
        <v>54.3</v>
      </c>
      <c r="C924">
        <v>165</v>
      </c>
      <c r="D924" t="s">
        <v>89</v>
      </c>
      <c r="E924">
        <v>22</v>
      </c>
      <c r="F924" t="s">
        <v>533</v>
      </c>
      <c r="G924" t="s">
        <v>34</v>
      </c>
      <c r="H924" t="s">
        <v>29</v>
      </c>
      <c r="I924" t="s">
        <v>36</v>
      </c>
      <c r="J924">
        <v>2</v>
      </c>
      <c r="K924">
        <v>1</v>
      </c>
      <c r="L924">
        <v>0</v>
      </c>
      <c r="M924">
        <v>1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1</v>
      </c>
      <c r="V924">
        <v>0</v>
      </c>
      <c r="W924">
        <v>3</v>
      </c>
      <c r="X924">
        <v>1022.34</v>
      </c>
      <c r="Y924">
        <v>1192.75</v>
      </c>
      <c r="Z924">
        <f>AVERAGEIFS(Table1[FinalElo], Table1[Country], Table1[[#This Row],[Country]])</f>
        <v>1012.0629025423733</v>
      </c>
      <c r="AA924" cm="1">
        <f t="array" ref="AA924">IF(COUNTIFS(Table1[Country],Table1[[#This Row],[Country]])=1,0, _xlfn.STDEV.S(IF(Table1[Country]=Table1[[#This Row],[Country]],Table1[FinalElo])))</f>
        <v>148.42180446198614</v>
      </c>
      <c r="AB924">
        <f>IF(Table1[[#This Row],[CStd]]=0,0, (Table1[[#This Row],[FinalElo]]-Table1[[#This Row],[CAvg]]) / Table1[[#This Row],[CStd]])</f>
        <v>6.924250446139063E-2</v>
      </c>
      <c r="AC924" t="str">
        <f>IF(Table1[[#This Row],[CStd]]=0,"Normal", IF(ABS(Table1[[#This Row],[CZscore]])&gt;2,"Outlier","Normal"))</f>
        <v>Normal</v>
      </c>
    </row>
    <row r="925" spans="1:29" x14ac:dyDescent="0.35">
      <c r="A925" t="s">
        <v>79</v>
      </c>
      <c r="B925">
        <v>76.099999999999994</v>
      </c>
      <c r="C925">
        <v>180</v>
      </c>
      <c r="D925" t="s">
        <v>52</v>
      </c>
      <c r="E925">
        <v>22</v>
      </c>
      <c r="F925" t="s">
        <v>80</v>
      </c>
      <c r="G925" t="s">
        <v>40</v>
      </c>
      <c r="H925" t="s">
        <v>29</v>
      </c>
      <c r="I925" t="s">
        <v>30</v>
      </c>
      <c r="J925">
        <v>9</v>
      </c>
      <c r="K925">
        <v>0</v>
      </c>
      <c r="L925">
        <v>0</v>
      </c>
      <c r="M925">
        <v>0</v>
      </c>
      <c r="N925">
        <v>5</v>
      </c>
      <c r="O925">
        <v>0</v>
      </c>
      <c r="P925">
        <v>4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9</v>
      </c>
      <c r="X925">
        <v>1435.37</v>
      </c>
      <c r="Y925">
        <v>1435.37</v>
      </c>
      <c r="Z925">
        <f>AVERAGEIFS(Table1[FinalElo], Table1[Country], Table1[[#This Row],[Country]])</f>
        <v>1039.8985714285714</v>
      </c>
      <c r="AA925" cm="1">
        <f t="array" ref="AA925">IF(COUNTIFS(Table1[Country],Table1[[#This Row],[Country]])=1,0, _xlfn.STDEV.S(IF(Table1[Country]=Table1[[#This Row],[Country]],Table1[FinalElo])))</f>
        <v>194.01778111336392</v>
      </c>
      <c r="AB925">
        <f>IF(Table1[[#This Row],[CStd]]=0,0, (Table1[[#This Row],[FinalElo]]-Table1[[#This Row],[CAvg]]) / Table1[[#This Row],[CStd]])</f>
        <v>2.0383256952122131</v>
      </c>
      <c r="AC925" t="str">
        <f>IF(Table1[[#This Row],[CStd]]=0,"Normal", IF(ABS(Table1[[#This Row],[CZscore]])&gt;2,"Outlier","Normal"))</f>
        <v>Outlier</v>
      </c>
    </row>
    <row r="926" spans="1:29" x14ac:dyDescent="0.35">
      <c r="A926" t="s">
        <v>1234</v>
      </c>
      <c r="B926">
        <v>61.2</v>
      </c>
      <c r="C926">
        <v>170</v>
      </c>
      <c r="D926" t="s">
        <v>358</v>
      </c>
      <c r="E926">
        <v>25</v>
      </c>
      <c r="F926" t="s">
        <v>1183</v>
      </c>
      <c r="G926" t="s">
        <v>34</v>
      </c>
      <c r="H926" t="s">
        <v>29</v>
      </c>
      <c r="I926" t="s">
        <v>58</v>
      </c>
      <c r="J926">
        <v>2</v>
      </c>
      <c r="K926">
        <v>2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1</v>
      </c>
      <c r="S926">
        <v>0</v>
      </c>
      <c r="T926">
        <v>0</v>
      </c>
      <c r="U926">
        <v>0</v>
      </c>
      <c r="V926">
        <v>0</v>
      </c>
      <c r="W926">
        <v>4</v>
      </c>
      <c r="X926">
        <v>1004.03</v>
      </c>
      <c r="Y926">
        <v>1150.4100000000001</v>
      </c>
      <c r="Z926">
        <f>AVERAGEIFS(Table1[FinalElo], Table1[Country], Table1[[#This Row],[Country]])</f>
        <v>974.61500000000012</v>
      </c>
      <c r="AA926" cm="1">
        <f t="array" ref="AA926">IF(COUNTIFS(Table1[Country],Table1[[#This Row],[Country]])=1,0, _xlfn.STDEV.S(IF(Table1[Country]=Table1[[#This Row],[Country]],Table1[FinalElo])))</f>
        <v>146.82246313768914</v>
      </c>
      <c r="AB926">
        <f>IF(Table1[[#This Row],[CStd]]=0,0, (Table1[[#This Row],[FinalElo]]-Table1[[#This Row],[CAvg]]) / Table1[[#This Row],[CStd]])</f>
        <v>0.20034400303184299</v>
      </c>
      <c r="AC926" t="str">
        <f>IF(Table1[[#This Row],[CStd]]=0,"Normal", IF(ABS(Table1[[#This Row],[CZscore]])&gt;2,"Outlier","Normal"))</f>
        <v>Normal</v>
      </c>
    </row>
    <row r="927" spans="1:29" x14ac:dyDescent="0.35">
      <c r="A927" t="s">
        <v>1232</v>
      </c>
      <c r="B927">
        <v>52.16</v>
      </c>
      <c r="C927">
        <v>167</v>
      </c>
      <c r="D927" t="s">
        <v>60</v>
      </c>
      <c r="E927">
        <v>23</v>
      </c>
      <c r="F927" t="s">
        <v>1233</v>
      </c>
      <c r="G927" t="s">
        <v>40</v>
      </c>
      <c r="H927" t="s">
        <v>29</v>
      </c>
      <c r="I927" t="s">
        <v>36</v>
      </c>
      <c r="J927">
        <v>0</v>
      </c>
      <c r="K927">
        <v>1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1</v>
      </c>
      <c r="V927">
        <v>0</v>
      </c>
      <c r="W927">
        <v>1</v>
      </c>
      <c r="X927">
        <v>900</v>
      </c>
      <c r="Y927">
        <v>1000</v>
      </c>
      <c r="Z927">
        <f>AVERAGEIFS(Table1[FinalElo], Table1[Country], Table1[[#This Row],[Country]])</f>
        <v>1034.681315789474</v>
      </c>
      <c r="AA927" cm="1">
        <f t="array" ref="AA927">IF(COUNTIFS(Table1[Country],Table1[[#This Row],[Country]])=1,0, _xlfn.STDEV.S(IF(Table1[Country]=Table1[[#This Row],[Country]],Table1[FinalElo])))</f>
        <v>152.902810204692</v>
      </c>
      <c r="AB927">
        <f>IF(Table1[[#This Row],[CStd]]=0,0, (Table1[[#This Row],[FinalElo]]-Table1[[#This Row],[CAvg]]) / Table1[[#This Row],[CStd]])</f>
        <v>-0.88082956493196685</v>
      </c>
      <c r="AC927" t="str">
        <f>IF(Table1[[#This Row],[CStd]]=0,"Normal", IF(ABS(Table1[[#This Row],[CZscore]])&gt;2,"Outlier","Normal"))</f>
        <v>Normal</v>
      </c>
    </row>
    <row r="928" spans="1:29" x14ac:dyDescent="0.35">
      <c r="A928" t="s">
        <v>1230</v>
      </c>
      <c r="B928">
        <v>54.9</v>
      </c>
      <c r="C928">
        <v>175</v>
      </c>
      <c r="D928" t="s">
        <v>82</v>
      </c>
      <c r="E928">
        <v>20</v>
      </c>
      <c r="F928" t="s">
        <v>1231</v>
      </c>
      <c r="G928" t="s">
        <v>34</v>
      </c>
      <c r="H928" t="s">
        <v>29</v>
      </c>
      <c r="I928" t="s">
        <v>36</v>
      </c>
      <c r="J928">
        <v>3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1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3</v>
      </c>
      <c r="X928">
        <v>1226.17</v>
      </c>
      <c r="Y928">
        <v>1226.17</v>
      </c>
      <c r="Z928">
        <f>AVERAGEIFS(Table1[FinalElo], Table1[Country], Table1[[#This Row],[Country]])</f>
        <v>1012.5275373134326</v>
      </c>
      <c r="AA928" cm="1">
        <f t="array" ref="AA928">IF(COUNTIFS(Table1[Country],Table1[[#This Row],[Country]])=1,0, _xlfn.STDEV.S(IF(Table1[Country]=Table1[[#This Row],[Country]],Table1[FinalElo])))</f>
        <v>135.61062237674741</v>
      </c>
      <c r="AB928">
        <f>IF(Table1[[#This Row],[CStd]]=0,0, (Table1[[#This Row],[FinalElo]]-Table1[[#This Row],[CAvg]]) / Table1[[#This Row],[CStd]])</f>
        <v>1.5754109740241102</v>
      </c>
      <c r="AC928" t="str">
        <f>IF(Table1[[#This Row],[CStd]]=0,"Normal", IF(ABS(Table1[[#This Row],[CZscore]])&gt;2,"Outlier","Normal"))</f>
        <v>Normal</v>
      </c>
    </row>
    <row r="929" spans="1:29" x14ac:dyDescent="0.35">
      <c r="A929" t="s">
        <v>1229</v>
      </c>
      <c r="B929">
        <v>47.63</v>
      </c>
      <c r="C929">
        <v>157</v>
      </c>
      <c r="D929" t="s">
        <v>89</v>
      </c>
      <c r="E929">
        <v>19</v>
      </c>
      <c r="F929">
        <v>1</v>
      </c>
      <c r="G929" t="s">
        <v>34</v>
      </c>
      <c r="H929" t="s">
        <v>29</v>
      </c>
      <c r="I929" t="s">
        <v>55</v>
      </c>
      <c r="J929">
        <v>7</v>
      </c>
      <c r="K929">
        <v>1</v>
      </c>
      <c r="L929">
        <v>0</v>
      </c>
      <c r="M929">
        <v>1</v>
      </c>
      <c r="N929">
        <v>0</v>
      </c>
      <c r="O929">
        <v>0</v>
      </c>
      <c r="P929">
        <v>5</v>
      </c>
      <c r="Q929">
        <v>1</v>
      </c>
      <c r="R929">
        <v>1</v>
      </c>
      <c r="S929">
        <v>0</v>
      </c>
      <c r="T929">
        <v>0</v>
      </c>
      <c r="U929">
        <v>0</v>
      </c>
      <c r="V929">
        <v>0</v>
      </c>
      <c r="W929">
        <v>8</v>
      </c>
      <c r="X929">
        <v>1191.95</v>
      </c>
      <c r="Y929">
        <v>1380.5</v>
      </c>
      <c r="Z929">
        <f>AVERAGEIFS(Table1[FinalElo], Table1[Country], Table1[[#This Row],[Country]])</f>
        <v>1012.0629025423733</v>
      </c>
      <c r="AA929" cm="1">
        <f t="array" ref="AA929">IF(COUNTIFS(Table1[Country],Table1[[#This Row],[Country]])=1,0, _xlfn.STDEV.S(IF(Table1[Country]=Table1[[#This Row],[Country]],Table1[FinalElo])))</f>
        <v>148.42180446198614</v>
      </c>
      <c r="AB929">
        <f>IF(Table1[[#This Row],[CStd]]=0,0, (Table1[[#This Row],[FinalElo]]-Table1[[#This Row],[CAvg]]) / Table1[[#This Row],[CStd]])</f>
        <v>1.211999127147787</v>
      </c>
      <c r="AC929" t="str">
        <f>IF(Table1[[#This Row],[CStd]]=0,"Normal", IF(ABS(Table1[[#This Row],[CZscore]])&gt;2,"Outlier","Normal"))</f>
        <v>Normal</v>
      </c>
    </row>
    <row r="930" spans="1:29" x14ac:dyDescent="0.35">
      <c r="A930" t="s">
        <v>1227</v>
      </c>
      <c r="B930">
        <v>70</v>
      </c>
      <c r="C930">
        <v>174</v>
      </c>
      <c r="D930" t="s">
        <v>513</v>
      </c>
      <c r="E930">
        <v>23</v>
      </c>
      <c r="F930" t="s">
        <v>1228</v>
      </c>
      <c r="G930" t="s">
        <v>40</v>
      </c>
      <c r="H930" t="s">
        <v>29</v>
      </c>
      <c r="I930" t="s">
        <v>48</v>
      </c>
      <c r="J930">
        <v>0</v>
      </c>
      <c r="K930">
        <v>1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1</v>
      </c>
      <c r="S930">
        <v>0</v>
      </c>
      <c r="T930">
        <v>0</v>
      </c>
      <c r="U930">
        <v>0</v>
      </c>
      <c r="V930">
        <v>0</v>
      </c>
      <c r="W930">
        <v>1</v>
      </c>
      <c r="X930">
        <v>900</v>
      </c>
      <c r="Y930">
        <v>1000</v>
      </c>
      <c r="Z930">
        <f>AVERAGEIFS(Table1[FinalElo], Table1[Country], Table1[[#This Row],[Country]])</f>
        <v>991.92857142857144</v>
      </c>
      <c r="AA930" cm="1">
        <f t="array" ref="AA930">IF(COUNTIFS(Table1[Country],Table1[[#This Row],[Country]])=1,0, _xlfn.STDEV.S(IF(Table1[Country]=Table1[[#This Row],[Country]],Table1[FinalElo])))</f>
        <v>154.84924955929111</v>
      </c>
      <c r="AB930">
        <f>IF(Table1[[#This Row],[CStd]]=0,0, (Table1[[#This Row],[FinalElo]]-Table1[[#This Row],[CAvg]]) / Table1[[#This Row],[CStd]])</f>
        <v>-0.59366494632815381</v>
      </c>
      <c r="AC930" t="str">
        <f>IF(Table1[[#This Row],[CStd]]=0,"Normal", IF(ABS(Table1[[#This Row],[CZscore]])&gt;2,"Outlier","Normal"))</f>
        <v>Normal</v>
      </c>
    </row>
    <row r="931" spans="1:29" x14ac:dyDescent="0.35">
      <c r="A931" t="s">
        <v>1226</v>
      </c>
      <c r="B931">
        <v>63.1</v>
      </c>
      <c r="C931">
        <v>180</v>
      </c>
      <c r="D931" t="s">
        <v>32</v>
      </c>
      <c r="E931">
        <v>31</v>
      </c>
      <c r="F931" t="s">
        <v>33</v>
      </c>
      <c r="G931" t="s">
        <v>34</v>
      </c>
      <c r="H931" t="s">
        <v>29</v>
      </c>
      <c r="I931" t="s">
        <v>73</v>
      </c>
      <c r="J931">
        <v>1</v>
      </c>
      <c r="K931">
        <v>2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1</v>
      </c>
      <c r="S931">
        <v>0</v>
      </c>
      <c r="T931">
        <v>0</v>
      </c>
      <c r="U931">
        <v>1</v>
      </c>
      <c r="V931">
        <v>0</v>
      </c>
      <c r="W931">
        <v>3</v>
      </c>
      <c r="X931">
        <v>991.91</v>
      </c>
      <c r="Y931">
        <v>1019.34</v>
      </c>
      <c r="Z931">
        <f>AVERAGEIFS(Table1[FinalElo], Table1[Country], Table1[[#This Row],[Country]])</f>
        <v>1025.3786885245902</v>
      </c>
      <c r="AA931" cm="1">
        <f t="array" ref="AA931">IF(COUNTIFS(Table1[Country],Table1[[#This Row],[Country]])=1,0, _xlfn.STDEV.S(IF(Table1[Country]=Table1[[#This Row],[Country]],Table1[FinalElo])))</f>
        <v>144.71595558743479</v>
      </c>
      <c r="AB931">
        <f>IF(Table1[[#This Row],[CStd]]=0,0, (Table1[[#This Row],[FinalElo]]-Table1[[#This Row],[CAvg]]) / Table1[[#This Row],[CStd]])</f>
        <v>-0.2312715856985724</v>
      </c>
      <c r="AC931" t="str">
        <f>IF(Table1[[#This Row],[CStd]]=0,"Normal", IF(ABS(Table1[[#This Row],[CZscore]])&gt;2,"Outlier","Normal"))</f>
        <v>Normal</v>
      </c>
    </row>
    <row r="932" spans="1:29" x14ac:dyDescent="0.35">
      <c r="A932" t="s">
        <v>1224</v>
      </c>
      <c r="B932">
        <v>47.63</v>
      </c>
      <c r="C932">
        <v>153</v>
      </c>
      <c r="D932" t="s">
        <v>1180</v>
      </c>
      <c r="E932">
        <v>29</v>
      </c>
      <c r="F932" t="s">
        <v>1225</v>
      </c>
      <c r="G932" t="s">
        <v>40</v>
      </c>
      <c r="H932" t="s">
        <v>29</v>
      </c>
      <c r="I932" t="s">
        <v>55</v>
      </c>
      <c r="J932">
        <v>0</v>
      </c>
      <c r="K932">
        <v>1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1</v>
      </c>
      <c r="T932">
        <v>0</v>
      </c>
      <c r="U932">
        <v>0</v>
      </c>
      <c r="V932">
        <v>0</v>
      </c>
      <c r="W932">
        <v>1</v>
      </c>
      <c r="X932">
        <v>974.21</v>
      </c>
      <c r="Y932">
        <v>1000</v>
      </c>
      <c r="Z932">
        <f>AVERAGEIFS(Table1[FinalElo], Table1[Country], Table1[[#This Row],[Country]])</f>
        <v>1114.4566666666667</v>
      </c>
      <c r="AA932" cm="1">
        <f t="array" ref="AA932">IF(COUNTIFS(Table1[Country],Table1[[#This Row],[Country]])=1,0, _xlfn.STDEV.S(IF(Table1[Country]=Table1[[#This Row],[Country]],Table1[FinalElo])))</f>
        <v>126.62905682872845</v>
      </c>
      <c r="AB932">
        <f>IF(Table1[[#This Row],[CStd]]=0,0, (Table1[[#This Row],[FinalElo]]-Table1[[#This Row],[CAvg]]) / Table1[[#This Row],[CStd]])</f>
        <v>-1.1075393766563124</v>
      </c>
      <c r="AC932" t="str">
        <f>IF(Table1[[#This Row],[CStd]]=0,"Normal", IF(ABS(Table1[[#This Row],[CZscore]])&gt;2,"Outlier","Normal"))</f>
        <v>Normal</v>
      </c>
    </row>
    <row r="933" spans="1:29" hidden="1" x14ac:dyDescent="0.35">
      <c r="A933" t="s">
        <v>1729</v>
      </c>
      <c r="B933">
        <v>56.5</v>
      </c>
      <c r="C933">
        <v>168</v>
      </c>
      <c r="D933" t="s">
        <v>89</v>
      </c>
      <c r="E933">
        <v>26</v>
      </c>
      <c r="F933" t="s">
        <v>1730</v>
      </c>
      <c r="G933" t="s">
        <v>34</v>
      </c>
      <c r="H933" t="s">
        <v>35</v>
      </c>
      <c r="I933" t="s">
        <v>36</v>
      </c>
      <c r="J933">
        <v>3</v>
      </c>
      <c r="K933">
        <v>4</v>
      </c>
      <c r="L933">
        <v>0</v>
      </c>
      <c r="M933">
        <v>1</v>
      </c>
      <c r="N933">
        <v>1</v>
      </c>
      <c r="O933">
        <v>0</v>
      </c>
      <c r="P933">
        <v>0</v>
      </c>
      <c r="Q933">
        <v>0</v>
      </c>
      <c r="R933">
        <v>2</v>
      </c>
      <c r="S933">
        <v>0</v>
      </c>
      <c r="T933">
        <v>0</v>
      </c>
      <c r="U933">
        <v>2</v>
      </c>
      <c r="V933">
        <v>0</v>
      </c>
      <c r="W933">
        <v>7</v>
      </c>
      <c r="X933">
        <v>885.21</v>
      </c>
      <c r="Y933">
        <v>1171.99</v>
      </c>
      <c r="Z933">
        <f>AVERAGEIFS(Table1[FinalElo], Table1[Country], Table1[[#This Row],[Country]])</f>
        <v>1012.0629025423733</v>
      </c>
      <c r="AA933" cm="1">
        <f t="array" ref="AA933">IF(COUNTIFS(Table1[Country],Table1[[#This Row],[Country]])=1,0, _xlfn.STDEV.S(IF(Table1[Country]=Table1[[#This Row],[Country]],Table1[FinalElo])))</f>
        <v>148.42180446198614</v>
      </c>
      <c r="AB933">
        <f>IF(Table1[[#This Row],[CStd]]=0,0, (Table1[[#This Row],[FinalElo]]-Table1[[#This Row],[CAvg]]) / Table1[[#This Row],[CStd]])</f>
        <v>-0.85467834731023562</v>
      </c>
      <c r="AC933" t="str">
        <f>IF(Table1[[#This Row],[CStd]]=0,"Normal", IF(ABS(Table1[[#This Row],[CZscore]])&gt;2,"Outlier","Normal"))</f>
        <v>Normal</v>
      </c>
    </row>
    <row r="934" spans="1:29" hidden="1" x14ac:dyDescent="0.35">
      <c r="A934" t="s">
        <v>1731</v>
      </c>
      <c r="B934">
        <v>56.7</v>
      </c>
      <c r="C934">
        <v>170</v>
      </c>
      <c r="D934" t="s">
        <v>38</v>
      </c>
      <c r="E934">
        <v>30</v>
      </c>
      <c r="F934" t="s">
        <v>87</v>
      </c>
      <c r="G934" t="s">
        <v>34</v>
      </c>
      <c r="H934" t="s">
        <v>35</v>
      </c>
      <c r="I934" t="s">
        <v>58</v>
      </c>
      <c r="J934">
        <v>5</v>
      </c>
      <c r="K934">
        <v>1</v>
      </c>
      <c r="L934">
        <v>0</v>
      </c>
      <c r="M934">
        <v>1</v>
      </c>
      <c r="N934">
        <v>0</v>
      </c>
      <c r="O934">
        <v>0</v>
      </c>
      <c r="P934">
        <v>2</v>
      </c>
      <c r="Q934">
        <v>0</v>
      </c>
      <c r="R934">
        <v>1</v>
      </c>
      <c r="S934">
        <v>0</v>
      </c>
      <c r="T934">
        <v>0</v>
      </c>
      <c r="U934">
        <v>0</v>
      </c>
      <c r="V934">
        <v>0</v>
      </c>
      <c r="W934">
        <v>6</v>
      </c>
      <c r="X934">
        <v>1262.83</v>
      </c>
      <c r="Y934">
        <v>1293.92</v>
      </c>
      <c r="Z934">
        <f>AVERAGEIFS(Table1[FinalElo], Table1[Country], Table1[[#This Row],[Country]])</f>
        <v>1057.4495402298851</v>
      </c>
      <c r="AA934" cm="1">
        <f t="array" ref="AA934">IF(COUNTIFS(Table1[Country],Table1[[#This Row],[Country]])=1,0, _xlfn.STDEV.S(IF(Table1[Country]=Table1[[#This Row],[Country]],Table1[FinalElo])))</f>
        <v>156.98667602259493</v>
      </c>
      <c r="AB934">
        <f>IF(Table1[[#This Row],[CStd]]=0,0, (Table1[[#This Row],[FinalElo]]-Table1[[#This Row],[CAvg]]) / Table1[[#This Row],[CStd]])</f>
        <v>1.3082668222146103</v>
      </c>
      <c r="AC934" t="str">
        <f>IF(Table1[[#This Row],[CStd]]=0,"Normal", IF(ABS(Table1[[#This Row],[CZscore]])&gt;2,"Outlier","Normal"))</f>
        <v>Normal</v>
      </c>
    </row>
    <row r="935" spans="1:29" x14ac:dyDescent="0.35">
      <c r="A935" t="s">
        <v>1222</v>
      </c>
      <c r="B935">
        <v>58.513368</v>
      </c>
      <c r="C935">
        <v>170</v>
      </c>
      <c r="D935" t="s">
        <v>286</v>
      </c>
      <c r="E935">
        <v>29</v>
      </c>
      <c r="F935" t="s">
        <v>1223</v>
      </c>
      <c r="G935" t="s">
        <v>34</v>
      </c>
      <c r="H935" t="s">
        <v>29</v>
      </c>
      <c r="I935" t="s">
        <v>58</v>
      </c>
      <c r="J935">
        <v>0</v>
      </c>
      <c r="K935">
        <v>1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1</v>
      </c>
      <c r="V935">
        <v>0</v>
      </c>
      <c r="W935">
        <v>1</v>
      </c>
      <c r="X935">
        <v>900</v>
      </c>
      <c r="Y935">
        <v>1000</v>
      </c>
      <c r="Z935">
        <f>AVERAGEIFS(Table1[FinalElo], Table1[Country], Table1[[#This Row],[Country]])</f>
        <v>1087.97</v>
      </c>
      <c r="AA935" cm="1">
        <f t="array" ref="AA935">IF(COUNTIFS(Table1[Country],Table1[[#This Row],[Country]])=1,0, _xlfn.STDEV.S(IF(Table1[Country]=Table1[[#This Row],[Country]],Table1[FinalElo])))</f>
        <v>209.70246125675953</v>
      </c>
      <c r="AB935">
        <f>IF(Table1[[#This Row],[CStd]]=0,0, (Table1[[#This Row],[FinalElo]]-Table1[[#This Row],[CAvg]]) / Table1[[#This Row],[CStd]])</f>
        <v>-0.89636525424396285</v>
      </c>
      <c r="AC935" t="str">
        <f>IF(Table1[[#This Row],[CStd]]=0,"Normal", IF(ABS(Table1[[#This Row],[CZscore]])&gt;2,"Outlier","Normal"))</f>
        <v>Normal</v>
      </c>
    </row>
    <row r="936" spans="1:29" x14ac:dyDescent="0.35">
      <c r="A936" t="s">
        <v>1220</v>
      </c>
      <c r="B936">
        <v>84.368111999999996</v>
      </c>
      <c r="C936">
        <v>175</v>
      </c>
      <c r="D936" t="s">
        <v>487</v>
      </c>
      <c r="E936">
        <v>21</v>
      </c>
      <c r="F936" t="s">
        <v>1221</v>
      </c>
      <c r="G936" t="s">
        <v>54</v>
      </c>
      <c r="H936" t="s">
        <v>29</v>
      </c>
      <c r="I936" t="s">
        <v>41</v>
      </c>
      <c r="J936">
        <v>0</v>
      </c>
      <c r="K936">
        <v>1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1</v>
      </c>
      <c r="V936">
        <v>0</v>
      </c>
      <c r="W936">
        <v>1</v>
      </c>
      <c r="X936">
        <v>989.76</v>
      </c>
      <c r="Y936">
        <v>1000</v>
      </c>
      <c r="Z936">
        <f>AVERAGEIFS(Table1[FinalElo], Table1[Country], Table1[[#This Row],[Country]])</f>
        <v>1065.26</v>
      </c>
      <c r="AA936" cm="1">
        <f t="array" ref="AA936">IF(COUNTIFS(Table1[Country],Table1[[#This Row],[Country]])=1,0, _xlfn.STDEV.S(IF(Table1[Country]=Table1[[#This Row],[Country]],Table1[FinalElo])))</f>
        <v>106.77312395916867</v>
      </c>
      <c r="AB936">
        <f>IF(Table1[[#This Row],[CStd]]=0,0, (Table1[[#This Row],[FinalElo]]-Table1[[#This Row],[CAvg]]) / Table1[[#This Row],[CStd]])</f>
        <v>-0.70710678118654757</v>
      </c>
      <c r="AC936" t="str">
        <f>IF(Table1[[#This Row],[CStd]]=0,"Normal", IF(ABS(Table1[[#This Row],[CZscore]])&gt;2,"Outlier","Normal"))</f>
        <v>Normal</v>
      </c>
    </row>
    <row r="937" spans="1:29" x14ac:dyDescent="0.35">
      <c r="A937" t="s">
        <v>1218</v>
      </c>
      <c r="B937">
        <v>60.4</v>
      </c>
      <c r="C937">
        <v>168</v>
      </c>
      <c r="D937" t="s">
        <v>634</v>
      </c>
      <c r="E937">
        <v>29</v>
      </c>
      <c r="F937" t="s">
        <v>1219</v>
      </c>
      <c r="G937" t="s">
        <v>34</v>
      </c>
      <c r="H937" t="s">
        <v>29</v>
      </c>
      <c r="I937" t="s">
        <v>58</v>
      </c>
      <c r="J937">
        <v>0</v>
      </c>
      <c r="K937">
        <v>3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3</v>
      </c>
      <c r="X937">
        <v>774.24</v>
      </c>
      <c r="Y937">
        <v>1000</v>
      </c>
      <c r="Z937">
        <f>AVERAGEIFS(Table1[FinalElo], Table1[Country], Table1[[#This Row],[Country]])</f>
        <v>846.505</v>
      </c>
      <c r="AA937" cm="1">
        <f t="array" ref="AA937">IF(COUNTIFS(Table1[Country],Table1[[#This Row],[Country]])=1,0, _xlfn.STDEV.S(IF(Table1[Country]=Table1[[#This Row],[Country]],Table1[FinalElo])))</f>
        <v>102.1981430848917</v>
      </c>
      <c r="AB937">
        <f>IF(Table1[[#This Row],[CStd]]=0,0, (Table1[[#This Row],[FinalElo]]-Table1[[#This Row],[CAvg]]) / Table1[[#This Row],[CStd]])</f>
        <v>-0.70710678118654746</v>
      </c>
      <c r="AC937" t="str">
        <f>IF(Table1[[#This Row],[CStd]]=0,"Normal", IF(ABS(Table1[[#This Row],[CZscore]])&gt;2,"Outlier","Normal"))</f>
        <v>Normal</v>
      </c>
    </row>
    <row r="938" spans="1:29" x14ac:dyDescent="0.35">
      <c r="A938" t="s">
        <v>1216</v>
      </c>
      <c r="B938">
        <v>56.7</v>
      </c>
      <c r="C938">
        <v>170</v>
      </c>
      <c r="D938" t="s">
        <v>52</v>
      </c>
      <c r="E938">
        <v>28</v>
      </c>
      <c r="F938" t="s">
        <v>1217</v>
      </c>
      <c r="G938" t="s">
        <v>40</v>
      </c>
      <c r="H938" t="s">
        <v>29</v>
      </c>
      <c r="I938" t="s">
        <v>58</v>
      </c>
      <c r="J938">
        <v>0</v>
      </c>
      <c r="K938">
        <v>0</v>
      </c>
      <c r="L938">
        <v>1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1</v>
      </c>
      <c r="X938">
        <v>1000</v>
      </c>
      <c r="Y938">
        <v>1000</v>
      </c>
      <c r="Z938">
        <f>AVERAGEIFS(Table1[FinalElo], Table1[Country], Table1[[#This Row],[Country]])</f>
        <v>1039.8985714285714</v>
      </c>
      <c r="AA938" cm="1">
        <f t="array" ref="AA938">IF(COUNTIFS(Table1[Country],Table1[[#This Row],[Country]])=1,0, _xlfn.STDEV.S(IF(Table1[Country]=Table1[[#This Row],[Country]],Table1[FinalElo])))</f>
        <v>194.01778111336392</v>
      </c>
      <c r="AB938">
        <f>IF(Table1[[#This Row],[CStd]]=0,0, (Table1[[#This Row],[FinalElo]]-Table1[[#This Row],[CAvg]]) / Table1[[#This Row],[CStd]])</f>
        <v>-0.20564389098573785</v>
      </c>
      <c r="AC938" t="str">
        <f>IF(Table1[[#This Row],[CStd]]=0,"Normal", IF(ABS(Table1[[#This Row],[CZscore]])&gt;2,"Outlier","Normal"))</f>
        <v>Normal</v>
      </c>
    </row>
    <row r="939" spans="1:29" x14ac:dyDescent="0.35">
      <c r="A939" t="s">
        <v>77</v>
      </c>
      <c r="B939">
        <v>56.2</v>
      </c>
      <c r="C939">
        <v>165</v>
      </c>
      <c r="D939" t="s">
        <v>60</v>
      </c>
      <c r="E939">
        <v>29</v>
      </c>
      <c r="F939" t="s">
        <v>78</v>
      </c>
      <c r="G939" t="s">
        <v>40</v>
      </c>
      <c r="H939" t="s">
        <v>29</v>
      </c>
      <c r="I939" t="s">
        <v>36</v>
      </c>
      <c r="J939">
        <v>14</v>
      </c>
      <c r="K939">
        <v>4</v>
      </c>
      <c r="L939">
        <v>0</v>
      </c>
      <c r="M939">
        <v>3</v>
      </c>
      <c r="N939">
        <v>4</v>
      </c>
      <c r="O939">
        <v>1</v>
      </c>
      <c r="P939">
        <v>2</v>
      </c>
      <c r="Q939">
        <v>2</v>
      </c>
      <c r="R939">
        <v>0</v>
      </c>
      <c r="S939">
        <v>2</v>
      </c>
      <c r="T939">
        <v>0</v>
      </c>
      <c r="U939">
        <v>1</v>
      </c>
      <c r="V939">
        <v>1</v>
      </c>
      <c r="W939">
        <v>18</v>
      </c>
      <c r="X939">
        <v>1521.13</v>
      </c>
      <c r="Y939">
        <v>1521.13</v>
      </c>
      <c r="Z939">
        <f>AVERAGEIFS(Table1[FinalElo], Table1[Country], Table1[[#This Row],[Country]])</f>
        <v>1034.681315789474</v>
      </c>
      <c r="AA939" cm="1">
        <f t="array" ref="AA939">IF(COUNTIFS(Table1[Country],Table1[[#This Row],[Country]])=1,0, _xlfn.STDEV.S(IF(Table1[Country]=Table1[[#This Row],[Country]],Table1[FinalElo])))</f>
        <v>152.902810204692</v>
      </c>
      <c r="AB939">
        <f>IF(Table1[[#This Row],[CStd]]=0,0, (Table1[[#This Row],[FinalElo]]-Table1[[#This Row],[CAvg]]) / Table1[[#This Row],[CStd]])</f>
        <v>3.181424092593943</v>
      </c>
      <c r="AC939" t="str">
        <f>IF(Table1[[#This Row],[CStd]]=0,"Normal", IF(ABS(Table1[[#This Row],[CZscore]])&gt;2,"Outlier","Normal"))</f>
        <v>Outlier</v>
      </c>
    </row>
    <row r="940" spans="1:29" x14ac:dyDescent="0.35">
      <c r="A940" t="s">
        <v>1215</v>
      </c>
      <c r="B940">
        <v>61.23</v>
      </c>
      <c r="C940">
        <v>167</v>
      </c>
      <c r="D940" t="s">
        <v>174</v>
      </c>
      <c r="E940">
        <v>19</v>
      </c>
      <c r="F940" t="s">
        <v>593</v>
      </c>
      <c r="G940" t="s">
        <v>34</v>
      </c>
      <c r="H940" t="s">
        <v>29</v>
      </c>
      <c r="I940" t="s">
        <v>73</v>
      </c>
      <c r="J940">
        <v>0</v>
      </c>
      <c r="K940">
        <v>1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1</v>
      </c>
      <c r="X940">
        <v>907.52</v>
      </c>
      <c r="Y940">
        <v>1000</v>
      </c>
      <c r="Z940">
        <f>AVERAGEIFS(Table1[FinalElo], Table1[Country], Table1[[#This Row],[Country]])</f>
        <v>980.52444444444427</v>
      </c>
      <c r="AA940" cm="1">
        <f t="array" ref="AA940">IF(COUNTIFS(Table1[Country],Table1[[#This Row],[Country]])=1,0, _xlfn.STDEV.S(IF(Table1[Country]=Table1[[#This Row],[Country]],Table1[FinalElo])))</f>
        <v>143.66034832022171</v>
      </c>
      <c r="AB940">
        <f>IF(Table1[[#This Row],[CStd]]=0,0, (Table1[[#This Row],[FinalElo]]-Table1[[#This Row],[CAvg]]) / Table1[[#This Row],[CStd]])</f>
        <v>-0.50817393454814652</v>
      </c>
      <c r="AC940" t="str">
        <f>IF(Table1[[#This Row],[CStd]]=0,"Normal", IF(ABS(Table1[[#This Row],[CZscore]])&gt;2,"Outlier","Normal"))</f>
        <v>Normal</v>
      </c>
    </row>
    <row r="941" spans="1:29" x14ac:dyDescent="0.35">
      <c r="A941" t="s">
        <v>1214</v>
      </c>
      <c r="B941">
        <v>56.6</v>
      </c>
      <c r="C941">
        <v>168</v>
      </c>
      <c r="D941" t="s">
        <v>174</v>
      </c>
      <c r="E941">
        <v>37</v>
      </c>
      <c r="F941" t="s">
        <v>713</v>
      </c>
      <c r="G941" t="s">
        <v>28</v>
      </c>
      <c r="H941" t="s">
        <v>29</v>
      </c>
      <c r="I941" t="s">
        <v>36</v>
      </c>
      <c r="J941">
        <v>3</v>
      </c>
      <c r="K941">
        <v>4</v>
      </c>
      <c r="L941">
        <v>0</v>
      </c>
      <c r="M941">
        <v>0</v>
      </c>
      <c r="N941">
        <v>0</v>
      </c>
      <c r="O941">
        <v>0</v>
      </c>
      <c r="P941">
        <v>2</v>
      </c>
      <c r="Q941">
        <v>0</v>
      </c>
      <c r="R941">
        <v>2</v>
      </c>
      <c r="S941">
        <v>0</v>
      </c>
      <c r="T941">
        <v>0</v>
      </c>
      <c r="U941">
        <v>1</v>
      </c>
      <c r="V941">
        <v>0</v>
      </c>
      <c r="W941">
        <v>7</v>
      </c>
      <c r="X941">
        <v>934.02</v>
      </c>
      <c r="Y941">
        <v>1112.3</v>
      </c>
      <c r="Z941">
        <f>AVERAGEIFS(Table1[FinalElo], Table1[Country], Table1[[#This Row],[Country]])</f>
        <v>980.52444444444427</v>
      </c>
      <c r="AA941" cm="1">
        <f t="array" ref="AA941">IF(COUNTIFS(Table1[Country],Table1[[#This Row],[Country]])=1,0, _xlfn.STDEV.S(IF(Table1[Country]=Table1[[#This Row],[Country]],Table1[FinalElo])))</f>
        <v>143.66034832022171</v>
      </c>
      <c r="AB941">
        <f>IF(Table1[[#This Row],[CStd]]=0,0, (Table1[[#This Row],[FinalElo]]-Table1[[#This Row],[CAvg]]) / Table1[[#This Row],[CStd]])</f>
        <v>-0.32371106563646201</v>
      </c>
      <c r="AC941" t="str">
        <f>IF(Table1[[#This Row],[CStd]]=0,"Normal", IF(ABS(Table1[[#This Row],[CZscore]])&gt;2,"Outlier","Normal"))</f>
        <v>Normal</v>
      </c>
    </row>
    <row r="942" spans="1:29" x14ac:dyDescent="0.35">
      <c r="A942" t="s">
        <v>1212</v>
      </c>
      <c r="B942">
        <v>71.213943999999998</v>
      </c>
      <c r="C942">
        <v>186</v>
      </c>
      <c r="D942" t="s">
        <v>71</v>
      </c>
      <c r="E942">
        <v>26</v>
      </c>
      <c r="F942" t="s">
        <v>1213</v>
      </c>
      <c r="G942" t="s">
        <v>34</v>
      </c>
      <c r="H942" t="s">
        <v>29</v>
      </c>
      <c r="I942" t="s">
        <v>30</v>
      </c>
      <c r="J942">
        <v>2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2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2</v>
      </c>
      <c r="X942">
        <v>1171.99</v>
      </c>
      <c r="Y942">
        <v>1171.99</v>
      </c>
      <c r="Z942">
        <f>AVERAGEIFS(Table1[FinalElo], Table1[Country], Table1[[#This Row],[Country]])</f>
        <v>991.47826086956536</v>
      </c>
      <c r="AA942" cm="1">
        <f t="array" ref="AA942">IF(COUNTIFS(Table1[Country],Table1[[#This Row],[Country]])=1,0, _xlfn.STDEV.S(IF(Table1[Country]=Table1[[#This Row],[Country]],Table1[FinalElo])))</f>
        <v>164.61500422203164</v>
      </c>
      <c r="AB942">
        <f>IF(Table1[[#This Row],[CStd]]=0,0, (Table1[[#This Row],[FinalElo]]-Table1[[#This Row],[CAvg]]) / Table1[[#This Row],[CStd]])</f>
        <v>1.0965691735302669</v>
      </c>
      <c r="AC942" t="str">
        <f>IF(Table1[[#This Row],[CStd]]=0,"Normal", IF(ABS(Table1[[#This Row],[CZscore]])&gt;2,"Outlier","Normal"))</f>
        <v>Normal</v>
      </c>
    </row>
    <row r="943" spans="1:29" x14ac:dyDescent="0.35">
      <c r="A943" t="s">
        <v>74</v>
      </c>
      <c r="B943">
        <v>56.6</v>
      </c>
      <c r="C943">
        <v>170</v>
      </c>
      <c r="D943" t="s">
        <v>75</v>
      </c>
      <c r="E943">
        <v>34</v>
      </c>
      <c r="F943" t="s">
        <v>76</v>
      </c>
      <c r="G943" t="s">
        <v>34</v>
      </c>
      <c r="H943" t="s">
        <v>29</v>
      </c>
      <c r="I943" t="s">
        <v>36</v>
      </c>
      <c r="J943">
        <v>4</v>
      </c>
      <c r="K943">
        <v>7</v>
      </c>
      <c r="L943">
        <v>0</v>
      </c>
      <c r="M943">
        <v>1</v>
      </c>
      <c r="N943">
        <v>0</v>
      </c>
      <c r="O943">
        <v>0</v>
      </c>
      <c r="P943">
        <v>0</v>
      </c>
      <c r="Q943">
        <v>1</v>
      </c>
      <c r="R943">
        <v>2</v>
      </c>
      <c r="S943">
        <v>0</v>
      </c>
      <c r="T943">
        <v>0</v>
      </c>
      <c r="U943">
        <v>3</v>
      </c>
      <c r="V943">
        <v>0</v>
      </c>
      <c r="W943">
        <v>11</v>
      </c>
      <c r="X943">
        <v>1091.3499999999999</v>
      </c>
      <c r="Y943">
        <v>1206.54</v>
      </c>
      <c r="Z943">
        <f>AVERAGEIFS(Table1[FinalElo], Table1[Country], Table1[[#This Row],[Country]])</f>
        <v>1091.3499999999999</v>
      </c>
      <c r="AA943" cm="1">
        <f t="array" ref="AA943">IF(COUNTIFS(Table1[Country],Table1[[#This Row],[Country]])=1,0, _xlfn.STDEV.S(IF(Table1[Country]=Table1[[#This Row],[Country]],Table1[FinalElo])))</f>
        <v>0</v>
      </c>
      <c r="AB943">
        <f>IF(Table1[[#This Row],[CStd]]=0,0, (Table1[[#This Row],[FinalElo]]-Table1[[#This Row],[CAvg]]) / Table1[[#This Row],[CStd]])</f>
        <v>0</v>
      </c>
      <c r="AC943" t="str">
        <f>IF(Table1[[#This Row],[CStd]]=0,"Normal", IF(ABS(Table1[[#This Row],[CZscore]])&gt;2,"Outlier","Normal"))</f>
        <v>Normal</v>
      </c>
    </row>
    <row r="944" spans="1:29" x14ac:dyDescent="0.35">
      <c r="A944" t="s">
        <v>1210</v>
      </c>
      <c r="B944">
        <v>65.77</v>
      </c>
      <c r="C944">
        <v>182</v>
      </c>
      <c r="D944" t="s">
        <v>332</v>
      </c>
      <c r="E944">
        <v>35</v>
      </c>
      <c r="F944" t="s">
        <v>1211</v>
      </c>
      <c r="G944" t="s">
        <v>34</v>
      </c>
      <c r="H944" t="s">
        <v>29</v>
      </c>
      <c r="I944" t="s">
        <v>48</v>
      </c>
      <c r="J944">
        <v>0</v>
      </c>
      <c r="K944">
        <v>1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1</v>
      </c>
      <c r="X944">
        <v>900</v>
      </c>
      <c r="Y944">
        <v>1000</v>
      </c>
      <c r="Z944">
        <f>AVERAGEIFS(Table1[FinalElo], Table1[Country], Table1[[#This Row],[Country]])</f>
        <v>975.5858333333332</v>
      </c>
      <c r="AA944" cm="1">
        <f t="array" ref="AA944">IF(COUNTIFS(Table1[Country],Table1[[#This Row],[Country]])=1,0, _xlfn.STDEV.S(IF(Table1[Country]=Table1[[#This Row],[Country]],Table1[FinalElo])))</f>
        <v>72.69168633948992</v>
      </c>
      <c r="AB944">
        <f>IF(Table1[[#This Row],[CStd]]=0,0, (Table1[[#This Row],[FinalElo]]-Table1[[#This Row],[CAvg]]) / Table1[[#This Row],[CStd]])</f>
        <v>-1.0398140026677443</v>
      </c>
      <c r="AC944" t="str">
        <f>IF(Table1[[#This Row],[CStd]]=0,"Normal", IF(ABS(Table1[[#This Row],[CZscore]])&gt;2,"Outlier","Normal"))</f>
        <v>Normal</v>
      </c>
    </row>
    <row r="945" spans="1:29" x14ac:dyDescent="0.35">
      <c r="A945" t="s">
        <v>1208</v>
      </c>
      <c r="B945">
        <v>61.23</v>
      </c>
      <c r="C945">
        <v>181</v>
      </c>
      <c r="D945" t="s">
        <v>174</v>
      </c>
      <c r="E945">
        <v>32</v>
      </c>
      <c r="F945" t="s">
        <v>1209</v>
      </c>
      <c r="G945" t="s">
        <v>34</v>
      </c>
      <c r="H945" t="s">
        <v>29</v>
      </c>
      <c r="I945" t="s">
        <v>73</v>
      </c>
      <c r="J945">
        <v>0</v>
      </c>
      <c r="K945">
        <v>2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1</v>
      </c>
      <c r="W945">
        <v>2</v>
      </c>
      <c r="X945">
        <v>922.22</v>
      </c>
      <c r="Y945">
        <v>1000</v>
      </c>
      <c r="Z945">
        <f>AVERAGEIFS(Table1[FinalElo], Table1[Country], Table1[[#This Row],[Country]])</f>
        <v>980.52444444444427</v>
      </c>
      <c r="AA945" cm="1">
        <f t="array" ref="AA945">IF(COUNTIFS(Table1[Country],Table1[[#This Row],[Country]])=1,0, _xlfn.STDEV.S(IF(Table1[Country]=Table1[[#This Row],[Country]],Table1[FinalElo])))</f>
        <v>143.66034832022171</v>
      </c>
      <c r="AB945">
        <f>IF(Table1[[#This Row],[CStd]]=0,0, (Table1[[#This Row],[FinalElo]]-Table1[[#This Row],[CAvg]]) / Table1[[#This Row],[CStd]])</f>
        <v>-0.40584924877449485</v>
      </c>
      <c r="AC945" t="str">
        <f>IF(Table1[[#This Row],[CStd]]=0,"Normal", IF(ABS(Table1[[#This Row],[CZscore]])&gt;2,"Outlier","Normal"))</f>
        <v>Normal</v>
      </c>
    </row>
    <row r="946" spans="1:29" x14ac:dyDescent="0.35">
      <c r="A946" t="s">
        <v>1207</v>
      </c>
      <c r="B946">
        <v>56.7</v>
      </c>
      <c r="C946">
        <v>-1</v>
      </c>
      <c r="D946" t="s">
        <v>1180</v>
      </c>
      <c r="E946">
        <v>2</v>
      </c>
      <c r="F946">
        <v>0</v>
      </c>
      <c r="G946" t="s">
        <v>34</v>
      </c>
      <c r="H946" t="s">
        <v>29</v>
      </c>
      <c r="I946" t="s">
        <v>58</v>
      </c>
      <c r="J946">
        <v>2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2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2</v>
      </c>
      <c r="X946">
        <v>1220.4000000000001</v>
      </c>
      <c r="Y946">
        <v>1220.4000000000001</v>
      </c>
      <c r="Z946">
        <f>AVERAGEIFS(Table1[FinalElo], Table1[Country], Table1[[#This Row],[Country]])</f>
        <v>1114.4566666666667</v>
      </c>
      <c r="AA946" cm="1">
        <f t="array" ref="AA946">IF(COUNTIFS(Table1[Country],Table1[[#This Row],[Country]])=1,0, _xlfn.STDEV.S(IF(Table1[Country]=Table1[[#This Row],[Country]],Table1[FinalElo])))</f>
        <v>126.62905682872845</v>
      </c>
      <c r="AB946">
        <f>IF(Table1[[#This Row],[CStd]]=0,0, (Table1[[#This Row],[FinalElo]]-Table1[[#This Row],[CAvg]]) / Table1[[#This Row],[CStd]])</f>
        <v>0.83664315273726275</v>
      </c>
      <c r="AC946" t="str">
        <f>IF(Table1[[#This Row],[CStd]]=0,"Normal", IF(ABS(Table1[[#This Row],[CZscore]])&gt;2,"Outlier","Normal"))</f>
        <v>Normal</v>
      </c>
    </row>
    <row r="947" spans="1:29" x14ac:dyDescent="0.35">
      <c r="A947" t="s">
        <v>1206</v>
      </c>
      <c r="B947">
        <v>61.2</v>
      </c>
      <c r="C947">
        <v>164</v>
      </c>
      <c r="D947" t="s">
        <v>513</v>
      </c>
      <c r="E947">
        <v>32</v>
      </c>
      <c r="F947" t="s">
        <v>1204</v>
      </c>
      <c r="G947" t="s">
        <v>40</v>
      </c>
      <c r="H947" t="s">
        <v>29</v>
      </c>
      <c r="I947" t="s">
        <v>58</v>
      </c>
      <c r="J947">
        <v>1</v>
      </c>
      <c r="K947">
        <v>0</v>
      </c>
      <c r="L947">
        <v>0</v>
      </c>
      <c r="M947">
        <v>1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1</v>
      </c>
      <c r="X947">
        <v>1128.01</v>
      </c>
      <c r="Y947">
        <v>1128.01</v>
      </c>
      <c r="Z947">
        <f>AVERAGEIFS(Table1[FinalElo], Table1[Country], Table1[[#This Row],[Country]])</f>
        <v>991.92857142857144</v>
      </c>
      <c r="AA947" cm="1">
        <f t="array" ref="AA947">IF(COUNTIFS(Table1[Country],Table1[[#This Row],[Country]])=1,0, _xlfn.STDEV.S(IF(Table1[Country]=Table1[[#This Row],[Country]],Table1[FinalElo])))</f>
        <v>154.84924955929111</v>
      </c>
      <c r="AB947">
        <f>IF(Table1[[#This Row],[CStd]]=0,0, (Table1[[#This Row],[FinalElo]]-Table1[[#This Row],[CAvg]]) / Table1[[#This Row],[CStd]])</f>
        <v>0.87879940625300579</v>
      </c>
      <c r="AC947" t="str">
        <f>IF(Table1[[#This Row],[CStd]]=0,"Normal", IF(ABS(Table1[[#This Row],[CZscore]])&gt;2,"Outlier","Normal"))</f>
        <v>Normal</v>
      </c>
    </row>
    <row r="948" spans="1:29" x14ac:dyDescent="0.35">
      <c r="A948" t="s">
        <v>1205</v>
      </c>
      <c r="B948">
        <v>59.5</v>
      </c>
      <c r="C948">
        <v>170</v>
      </c>
      <c r="D948" t="s">
        <v>89</v>
      </c>
      <c r="E948">
        <v>30</v>
      </c>
      <c r="F948" t="s">
        <v>341</v>
      </c>
      <c r="G948" t="s">
        <v>34</v>
      </c>
      <c r="H948" t="s">
        <v>29</v>
      </c>
      <c r="I948" t="s">
        <v>58</v>
      </c>
      <c r="J948">
        <v>1</v>
      </c>
      <c r="K948">
        <v>1</v>
      </c>
      <c r="L948">
        <v>0</v>
      </c>
      <c r="M948">
        <v>1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1</v>
      </c>
      <c r="V948">
        <v>0</v>
      </c>
      <c r="W948">
        <v>2</v>
      </c>
      <c r="X948">
        <v>971.99</v>
      </c>
      <c r="Y948">
        <v>1100</v>
      </c>
      <c r="Z948">
        <f>AVERAGEIFS(Table1[FinalElo], Table1[Country], Table1[[#This Row],[Country]])</f>
        <v>1012.0629025423733</v>
      </c>
      <c r="AA948" cm="1">
        <f t="array" ref="AA948">IF(COUNTIFS(Table1[Country],Table1[[#This Row],[Country]])=1,0, _xlfn.STDEV.S(IF(Table1[Country]=Table1[[#This Row],[Country]],Table1[FinalElo])))</f>
        <v>148.42180446198614</v>
      </c>
      <c r="AB948">
        <f>IF(Table1[[#This Row],[CStd]]=0,0, (Table1[[#This Row],[FinalElo]]-Table1[[#This Row],[CAvg]]) / Table1[[#This Row],[CStd]])</f>
        <v>-0.26999336578364258</v>
      </c>
      <c r="AC948" t="str">
        <f>IF(Table1[[#This Row],[CStd]]=0,"Normal", IF(ABS(Table1[[#This Row],[CZscore]])&gt;2,"Outlier","Normal"))</f>
        <v>Normal</v>
      </c>
    </row>
    <row r="949" spans="1:29" x14ac:dyDescent="0.35">
      <c r="A949" t="s">
        <v>1203</v>
      </c>
      <c r="B949">
        <v>70.3</v>
      </c>
      <c r="C949">
        <v>178</v>
      </c>
      <c r="D949" t="s">
        <v>513</v>
      </c>
      <c r="E949">
        <v>31</v>
      </c>
      <c r="F949" t="s">
        <v>1204</v>
      </c>
      <c r="G949" t="s">
        <v>40</v>
      </c>
      <c r="H949" t="s">
        <v>29</v>
      </c>
      <c r="I949" t="s">
        <v>48</v>
      </c>
      <c r="J949">
        <v>0</v>
      </c>
      <c r="K949">
        <v>2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2</v>
      </c>
      <c r="S949">
        <v>0</v>
      </c>
      <c r="T949">
        <v>0</v>
      </c>
      <c r="U949">
        <v>0</v>
      </c>
      <c r="V949">
        <v>0</v>
      </c>
      <c r="W949">
        <v>2</v>
      </c>
      <c r="X949">
        <v>828.01</v>
      </c>
      <c r="Y949">
        <v>1000</v>
      </c>
      <c r="Z949">
        <f>AVERAGEIFS(Table1[FinalElo], Table1[Country], Table1[[#This Row],[Country]])</f>
        <v>991.92857142857144</v>
      </c>
      <c r="AA949" cm="1">
        <f t="array" ref="AA949">IF(COUNTIFS(Table1[Country],Table1[[#This Row],[Country]])=1,0, _xlfn.STDEV.S(IF(Table1[Country]=Table1[[#This Row],[Country]],Table1[FinalElo])))</f>
        <v>154.84924955929111</v>
      </c>
      <c r="AB949">
        <f>IF(Table1[[#This Row],[CStd]]=0,0, (Table1[[#This Row],[FinalElo]]-Table1[[#This Row],[CAvg]]) / Table1[[#This Row],[CStd]])</f>
        <v>-1.0585687169624141</v>
      </c>
      <c r="AC949" t="str">
        <f>IF(Table1[[#This Row],[CStd]]=0,"Normal", IF(ABS(Table1[[#This Row],[CZscore]])&gt;2,"Outlier","Normal"))</f>
        <v>Normal</v>
      </c>
    </row>
    <row r="950" spans="1:29" x14ac:dyDescent="0.35">
      <c r="A950" t="s">
        <v>70</v>
      </c>
      <c r="B950">
        <v>65.099999999999994</v>
      </c>
      <c r="C950">
        <v>170</v>
      </c>
      <c r="D950" t="s">
        <v>71</v>
      </c>
      <c r="E950">
        <v>28</v>
      </c>
      <c r="F950" t="s">
        <v>72</v>
      </c>
      <c r="G950" t="s">
        <v>28</v>
      </c>
      <c r="H950" t="s">
        <v>29</v>
      </c>
      <c r="I950" t="s">
        <v>73</v>
      </c>
      <c r="J950">
        <v>9</v>
      </c>
      <c r="K950">
        <v>3</v>
      </c>
      <c r="L950">
        <v>0</v>
      </c>
      <c r="M950">
        <v>1</v>
      </c>
      <c r="N950">
        <v>0</v>
      </c>
      <c r="O950">
        <v>0</v>
      </c>
      <c r="P950">
        <v>5</v>
      </c>
      <c r="Q950">
        <v>0</v>
      </c>
      <c r="R950">
        <v>1</v>
      </c>
      <c r="S950">
        <v>0</v>
      </c>
      <c r="T950">
        <v>0</v>
      </c>
      <c r="U950">
        <v>1</v>
      </c>
      <c r="V950">
        <v>0</v>
      </c>
      <c r="W950">
        <v>12</v>
      </c>
      <c r="X950">
        <v>1557.89</v>
      </c>
      <c r="Y950">
        <v>1643.96</v>
      </c>
      <c r="Z950">
        <f>AVERAGEIFS(Table1[FinalElo], Table1[Country], Table1[[#This Row],[Country]])</f>
        <v>991.47826086956536</v>
      </c>
      <c r="AA950" cm="1">
        <f t="array" ref="AA950">IF(COUNTIFS(Table1[Country],Table1[[#This Row],[Country]])=1,0, _xlfn.STDEV.S(IF(Table1[Country]=Table1[[#This Row],[Country]],Table1[FinalElo])))</f>
        <v>164.61500422203164</v>
      </c>
      <c r="AB950">
        <f>IF(Table1[[#This Row],[CStd]]=0,0, (Table1[[#This Row],[FinalElo]]-Table1[[#This Row],[CAvg]]) / Table1[[#This Row],[CStd]])</f>
        <v>3.4408269270914227</v>
      </c>
      <c r="AC950" t="str">
        <f>IF(Table1[[#This Row],[CStd]]=0,"Normal", IF(ABS(Table1[[#This Row],[CZscore]])&gt;2,"Outlier","Normal"))</f>
        <v>Outlier</v>
      </c>
    </row>
    <row r="951" spans="1:29" x14ac:dyDescent="0.35">
      <c r="A951" t="s">
        <v>67</v>
      </c>
      <c r="B951">
        <v>56.2</v>
      </c>
      <c r="C951">
        <v>175</v>
      </c>
      <c r="D951" t="s">
        <v>68</v>
      </c>
      <c r="E951">
        <v>29</v>
      </c>
      <c r="F951" t="s">
        <v>69</v>
      </c>
      <c r="G951" t="s">
        <v>28</v>
      </c>
      <c r="H951" t="s">
        <v>29</v>
      </c>
      <c r="I951" t="s">
        <v>36</v>
      </c>
      <c r="J951">
        <v>4</v>
      </c>
      <c r="K951">
        <v>1</v>
      </c>
      <c r="L951">
        <v>0</v>
      </c>
      <c r="M951">
        <v>0</v>
      </c>
      <c r="N951">
        <v>0</v>
      </c>
      <c r="O951">
        <v>0</v>
      </c>
      <c r="P951">
        <v>4</v>
      </c>
      <c r="Q951">
        <v>0</v>
      </c>
      <c r="R951">
        <v>0</v>
      </c>
      <c r="S951">
        <v>0</v>
      </c>
      <c r="T951">
        <v>0</v>
      </c>
      <c r="U951">
        <v>1</v>
      </c>
      <c r="V951">
        <v>0</v>
      </c>
      <c r="W951">
        <v>5</v>
      </c>
      <c r="X951">
        <v>1352.25</v>
      </c>
      <c r="Y951">
        <v>1352.25</v>
      </c>
      <c r="Z951">
        <f>AVERAGEIFS(Table1[FinalElo], Table1[Country], Table1[[#This Row],[Country]])</f>
        <v>1352.25</v>
      </c>
      <c r="AA951" cm="1">
        <f t="array" ref="AA951">IF(COUNTIFS(Table1[Country],Table1[[#This Row],[Country]])=1,0, _xlfn.STDEV.S(IF(Table1[Country]=Table1[[#This Row],[Country]],Table1[FinalElo])))</f>
        <v>0</v>
      </c>
      <c r="AB951">
        <f>IF(Table1[[#This Row],[CStd]]=0,0, (Table1[[#This Row],[FinalElo]]-Table1[[#This Row],[CAvg]]) / Table1[[#This Row],[CStd]])</f>
        <v>0</v>
      </c>
      <c r="AC951" t="str">
        <f>IF(Table1[[#This Row],[CStd]]=0,"Normal", IF(ABS(Table1[[#This Row],[CZscore]])&gt;2,"Outlier","Normal"))</f>
        <v>Normal</v>
      </c>
    </row>
    <row r="952" spans="1:29" x14ac:dyDescent="0.35">
      <c r="A952" t="s">
        <v>1201</v>
      </c>
      <c r="B952">
        <v>55.338223999999997</v>
      </c>
      <c r="C952">
        <v>160</v>
      </c>
      <c r="D952" t="s">
        <v>89</v>
      </c>
      <c r="E952">
        <v>29</v>
      </c>
      <c r="F952" t="s">
        <v>1202</v>
      </c>
      <c r="G952" t="s">
        <v>34</v>
      </c>
      <c r="H952" t="s">
        <v>29</v>
      </c>
      <c r="I952" t="s">
        <v>36</v>
      </c>
      <c r="J952">
        <v>0</v>
      </c>
      <c r="K952">
        <v>1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1</v>
      </c>
      <c r="V952">
        <v>0</v>
      </c>
      <c r="W952">
        <v>1</v>
      </c>
      <c r="X952">
        <v>900</v>
      </c>
      <c r="Y952">
        <v>1000</v>
      </c>
      <c r="Z952">
        <f>AVERAGEIFS(Table1[FinalElo], Table1[Country], Table1[[#This Row],[Country]])</f>
        <v>1012.0629025423733</v>
      </c>
      <c r="AA952" cm="1">
        <f t="array" ref="AA952">IF(COUNTIFS(Table1[Country],Table1[[#This Row],[Country]])=1,0, _xlfn.STDEV.S(IF(Table1[Country]=Table1[[#This Row],[Country]],Table1[FinalElo])))</f>
        <v>148.42180446198614</v>
      </c>
      <c r="AB952">
        <f>IF(Table1[[#This Row],[CStd]]=0,0, (Table1[[#This Row],[FinalElo]]-Table1[[#This Row],[CAvg]]) / Table1[[#This Row],[CStd]])</f>
        <v>-0.75502991591154589</v>
      </c>
      <c r="AC952" t="str">
        <f>IF(Table1[[#This Row],[CStd]]=0,"Normal", IF(ABS(Table1[[#This Row],[CZscore]])&gt;2,"Outlier","Normal"))</f>
        <v>Normal</v>
      </c>
    </row>
    <row r="953" spans="1:29" x14ac:dyDescent="0.35">
      <c r="A953" t="s">
        <v>1199</v>
      </c>
      <c r="B953">
        <v>56.245407999999998</v>
      </c>
      <c r="C953">
        <v>158</v>
      </c>
      <c r="D953" t="s">
        <v>89</v>
      </c>
      <c r="E953">
        <v>25</v>
      </c>
      <c r="F953" t="s">
        <v>1200</v>
      </c>
      <c r="G953" t="s">
        <v>34</v>
      </c>
      <c r="H953" t="s">
        <v>29</v>
      </c>
      <c r="I953" t="s">
        <v>36</v>
      </c>
      <c r="J953">
        <v>1</v>
      </c>
      <c r="K953">
        <v>1</v>
      </c>
      <c r="L953">
        <v>0</v>
      </c>
      <c r="M953">
        <v>0</v>
      </c>
      <c r="N953">
        <v>0</v>
      </c>
      <c r="O953">
        <v>0</v>
      </c>
      <c r="P953">
        <v>1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1</v>
      </c>
      <c r="W953">
        <v>2</v>
      </c>
      <c r="X953">
        <v>959.42</v>
      </c>
      <c r="Y953">
        <v>1117.9100000000001</v>
      </c>
      <c r="Z953">
        <f>AVERAGEIFS(Table1[FinalElo], Table1[Country], Table1[[#This Row],[Country]])</f>
        <v>1012.0629025423733</v>
      </c>
      <c r="AA953" cm="1">
        <f t="array" ref="AA953">IF(COUNTIFS(Table1[Country],Table1[[#This Row],[Country]])=1,0, _xlfn.STDEV.S(IF(Table1[Country]=Table1[[#This Row],[Country]],Table1[FinalElo])))</f>
        <v>148.42180446198614</v>
      </c>
      <c r="AB953">
        <f>IF(Table1[[#This Row],[CStd]]=0,0, (Table1[[#This Row],[FinalElo]]-Table1[[#This Row],[CAvg]]) / Table1[[#This Row],[CStd]])</f>
        <v>-0.35468442614074452</v>
      </c>
      <c r="AC953" t="str">
        <f>IF(Table1[[#This Row],[CStd]]=0,"Normal", IF(ABS(Table1[[#This Row],[CZscore]])&gt;2,"Outlier","Normal"))</f>
        <v>Normal</v>
      </c>
    </row>
    <row r="954" spans="1:29" x14ac:dyDescent="0.35">
      <c r="A954" t="s">
        <v>1196</v>
      </c>
      <c r="B954">
        <v>52.616672000000001</v>
      </c>
      <c r="C954">
        <v>164</v>
      </c>
      <c r="D954" t="s">
        <v>289</v>
      </c>
      <c r="E954">
        <v>24</v>
      </c>
      <c r="F954" t="s">
        <v>1197</v>
      </c>
      <c r="G954" t="s">
        <v>34</v>
      </c>
      <c r="H954" t="s">
        <v>29</v>
      </c>
      <c r="I954" t="s">
        <v>36</v>
      </c>
      <c r="J954">
        <v>0</v>
      </c>
      <c r="K954">
        <v>1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1</v>
      </c>
      <c r="X954">
        <v>900</v>
      </c>
      <c r="Y954">
        <v>1000</v>
      </c>
      <c r="Z954">
        <f>AVERAGEIFS(Table1[FinalElo], Table1[Country], Table1[[#This Row],[Country]])</f>
        <v>905.81399999999996</v>
      </c>
      <c r="AA954" cm="1">
        <f t="array" ref="AA954">IF(COUNTIFS(Table1[Country],Table1[[#This Row],[Country]])=1,0, _xlfn.STDEV.S(IF(Table1[Country]=Table1[[#This Row],[Country]],Table1[FinalElo])))</f>
        <v>92.302429437149769</v>
      </c>
      <c r="AB954">
        <f>IF(Table1[[#This Row],[CStd]]=0,0, (Table1[[#This Row],[FinalElo]]-Table1[[#This Row],[CAvg]]) / Table1[[#This Row],[CStd]])</f>
        <v>-6.2988591258682003E-2</v>
      </c>
      <c r="AC954" t="str">
        <f>IF(Table1[[#This Row],[CStd]]=0,"Normal", IF(ABS(Table1[[#This Row],[CZscore]])&gt;2,"Outlier","Normal"))</f>
        <v>Normal</v>
      </c>
    </row>
    <row r="955" spans="1:29" x14ac:dyDescent="0.35">
      <c r="A955" t="s">
        <v>1198</v>
      </c>
      <c r="B955">
        <v>61.1</v>
      </c>
      <c r="C955">
        <v>177</v>
      </c>
      <c r="D955" t="s">
        <v>89</v>
      </c>
      <c r="E955">
        <v>27</v>
      </c>
      <c r="F955" t="s">
        <v>337</v>
      </c>
      <c r="G955" t="s">
        <v>34</v>
      </c>
      <c r="H955" t="s">
        <v>29</v>
      </c>
      <c r="I955" t="s">
        <v>58</v>
      </c>
      <c r="J955">
        <v>0</v>
      </c>
      <c r="K955">
        <v>1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1</v>
      </c>
      <c r="X955">
        <v>900</v>
      </c>
      <c r="Y955">
        <v>1000</v>
      </c>
      <c r="Z955">
        <f>AVERAGEIFS(Table1[FinalElo], Table1[Country], Table1[[#This Row],[Country]])</f>
        <v>1012.0629025423733</v>
      </c>
      <c r="AA955" cm="1">
        <f t="array" ref="AA955">IF(COUNTIFS(Table1[Country],Table1[[#This Row],[Country]])=1,0, _xlfn.STDEV.S(IF(Table1[Country]=Table1[[#This Row],[Country]],Table1[FinalElo])))</f>
        <v>148.42180446198614</v>
      </c>
      <c r="AB955">
        <f>IF(Table1[[#This Row],[CStd]]=0,0, (Table1[[#This Row],[FinalElo]]-Table1[[#This Row],[CAvg]]) / Table1[[#This Row],[CStd]])</f>
        <v>-0.75502991591154589</v>
      </c>
      <c r="AC955" t="str">
        <f>IF(Table1[[#This Row],[CStd]]=0,"Normal", IF(ABS(Table1[[#This Row],[CZscore]])&gt;2,"Outlier","Normal"))</f>
        <v>Normal</v>
      </c>
    </row>
    <row r="956" spans="1:29" x14ac:dyDescent="0.35">
      <c r="A956" t="s">
        <v>1194</v>
      </c>
      <c r="B956">
        <v>52.616672000000001</v>
      </c>
      <c r="C956">
        <v>165</v>
      </c>
      <c r="D956" t="s">
        <v>89</v>
      </c>
      <c r="E956">
        <v>37</v>
      </c>
      <c r="F956" t="s">
        <v>1195</v>
      </c>
      <c r="G956" t="s">
        <v>34</v>
      </c>
      <c r="H956" t="s">
        <v>29</v>
      </c>
      <c r="I956" t="s">
        <v>36</v>
      </c>
      <c r="J956">
        <v>1</v>
      </c>
      <c r="K956">
        <v>2</v>
      </c>
      <c r="L956">
        <v>0</v>
      </c>
      <c r="M956">
        <v>1</v>
      </c>
      <c r="N956">
        <v>0</v>
      </c>
      <c r="O956">
        <v>0</v>
      </c>
      <c r="P956">
        <v>0</v>
      </c>
      <c r="Q956">
        <v>0</v>
      </c>
      <c r="R956">
        <v>1</v>
      </c>
      <c r="S956">
        <v>0</v>
      </c>
      <c r="T956">
        <v>0</v>
      </c>
      <c r="U956">
        <v>0</v>
      </c>
      <c r="V956">
        <v>0</v>
      </c>
      <c r="W956">
        <v>3</v>
      </c>
      <c r="X956">
        <v>936.79</v>
      </c>
      <c r="Y956">
        <v>1100</v>
      </c>
      <c r="Z956">
        <f>AVERAGEIFS(Table1[FinalElo], Table1[Country], Table1[[#This Row],[Country]])</f>
        <v>1012.0629025423733</v>
      </c>
      <c r="AA956" cm="1">
        <f t="array" ref="AA956">IF(COUNTIFS(Table1[Country],Table1[[#This Row],[Country]])=1,0, _xlfn.STDEV.S(IF(Table1[Country]=Table1[[#This Row],[Country]],Table1[FinalElo])))</f>
        <v>148.42180446198614</v>
      </c>
      <c r="AB956">
        <f>IF(Table1[[#This Row],[CStd]]=0,0, (Table1[[#This Row],[FinalElo]]-Table1[[#This Row],[CAvg]]) / Table1[[#This Row],[CStd]])</f>
        <v>-0.50715528500162033</v>
      </c>
      <c r="AC956" t="str">
        <f>IF(Table1[[#This Row],[CStd]]=0,"Normal", IF(ABS(Table1[[#This Row],[CZscore]])&gt;2,"Outlier","Normal"))</f>
        <v>Normal</v>
      </c>
    </row>
    <row r="957" spans="1:29" x14ac:dyDescent="0.35">
      <c r="A957" t="s">
        <v>1192</v>
      </c>
      <c r="B957">
        <v>62.142104000000003</v>
      </c>
      <c r="C957">
        <v>170</v>
      </c>
      <c r="D957" t="s">
        <v>89</v>
      </c>
      <c r="E957">
        <v>21</v>
      </c>
      <c r="F957" t="s">
        <v>1193</v>
      </c>
      <c r="G957" t="s">
        <v>34</v>
      </c>
      <c r="H957" t="s">
        <v>29</v>
      </c>
      <c r="I957" t="s">
        <v>73</v>
      </c>
      <c r="J957">
        <v>0</v>
      </c>
      <c r="K957">
        <v>2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1</v>
      </c>
      <c r="S957">
        <v>0</v>
      </c>
      <c r="T957">
        <v>0</v>
      </c>
      <c r="U957">
        <v>0</v>
      </c>
      <c r="V957">
        <v>0</v>
      </c>
      <c r="W957">
        <v>2</v>
      </c>
      <c r="X957">
        <v>832.32</v>
      </c>
      <c r="Y957">
        <v>1000</v>
      </c>
      <c r="Z957">
        <f>AVERAGEIFS(Table1[FinalElo], Table1[Country], Table1[[#This Row],[Country]])</f>
        <v>1012.0629025423733</v>
      </c>
      <c r="AA957" cm="1">
        <f t="array" ref="AA957">IF(COUNTIFS(Table1[Country],Table1[[#This Row],[Country]])=1,0, _xlfn.STDEV.S(IF(Table1[Country]=Table1[[#This Row],[Country]],Table1[FinalElo])))</f>
        <v>148.42180446198614</v>
      </c>
      <c r="AB957">
        <f>IF(Table1[[#This Row],[CStd]]=0,0, (Table1[[#This Row],[FinalElo]]-Table1[[#This Row],[CAvg]]) / Table1[[#This Row],[CStd]])</f>
        <v>-1.211027606044293</v>
      </c>
      <c r="AC957" t="str">
        <f>IF(Table1[[#This Row],[CStd]]=0,"Normal", IF(ABS(Table1[[#This Row],[CZscore]])&gt;2,"Outlier","Normal"))</f>
        <v>Normal</v>
      </c>
    </row>
    <row r="958" spans="1:29" x14ac:dyDescent="0.35">
      <c r="A958" t="s">
        <v>1191</v>
      </c>
      <c r="B958">
        <v>65</v>
      </c>
      <c r="C958">
        <v>172</v>
      </c>
      <c r="D958" t="s">
        <v>82</v>
      </c>
      <c r="E958">
        <v>29</v>
      </c>
      <c r="F958" t="s">
        <v>125</v>
      </c>
      <c r="G958" t="s">
        <v>40</v>
      </c>
      <c r="H958" t="s">
        <v>29</v>
      </c>
      <c r="I958" t="s">
        <v>73</v>
      </c>
      <c r="J958">
        <v>0</v>
      </c>
      <c r="K958">
        <v>1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1</v>
      </c>
      <c r="T958">
        <v>0</v>
      </c>
      <c r="U958">
        <v>0</v>
      </c>
      <c r="V958">
        <v>0</v>
      </c>
      <c r="W958">
        <v>1</v>
      </c>
      <c r="X958">
        <v>928.01</v>
      </c>
      <c r="Y958">
        <v>1000</v>
      </c>
      <c r="Z958">
        <f>AVERAGEIFS(Table1[FinalElo], Table1[Country], Table1[[#This Row],[Country]])</f>
        <v>1012.5275373134326</v>
      </c>
      <c r="AA958" cm="1">
        <f t="array" ref="AA958">IF(COUNTIFS(Table1[Country],Table1[[#This Row],[Country]])=1,0, _xlfn.STDEV.S(IF(Table1[Country]=Table1[[#This Row],[Country]],Table1[FinalElo])))</f>
        <v>135.61062237674741</v>
      </c>
      <c r="AB958">
        <f>IF(Table1[[#This Row],[CStd]]=0,0, (Table1[[#This Row],[FinalElo]]-Table1[[#This Row],[CAvg]]) / Table1[[#This Row],[CStd]])</f>
        <v>-0.62323685145128049</v>
      </c>
      <c r="AC958" t="str">
        <f>IF(Table1[[#This Row],[CStd]]=0,"Normal", IF(ABS(Table1[[#This Row],[CZscore]])&gt;2,"Outlier","Normal"))</f>
        <v>Normal</v>
      </c>
    </row>
    <row r="959" spans="1:29" x14ac:dyDescent="0.35">
      <c r="A959" t="s">
        <v>1190</v>
      </c>
      <c r="B959">
        <v>77.099999999999994</v>
      </c>
      <c r="C959">
        <v>180</v>
      </c>
      <c r="D959" t="s">
        <v>52</v>
      </c>
      <c r="E959">
        <v>39</v>
      </c>
      <c r="F959" t="s">
        <v>90</v>
      </c>
      <c r="G959" t="s">
        <v>40</v>
      </c>
      <c r="H959" t="s">
        <v>29</v>
      </c>
      <c r="I959" t="s">
        <v>30</v>
      </c>
      <c r="J959">
        <v>0</v>
      </c>
      <c r="K959">
        <v>2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1</v>
      </c>
      <c r="T959">
        <v>0</v>
      </c>
      <c r="U959">
        <v>1</v>
      </c>
      <c r="V959">
        <v>0</v>
      </c>
      <c r="W959">
        <v>2</v>
      </c>
      <c r="X959">
        <v>867.21</v>
      </c>
      <c r="Y959">
        <v>1000</v>
      </c>
      <c r="Z959">
        <f>AVERAGEIFS(Table1[FinalElo], Table1[Country], Table1[[#This Row],[Country]])</f>
        <v>1039.8985714285714</v>
      </c>
      <c r="AA959" cm="1">
        <f t="array" ref="AA959">IF(COUNTIFS(Table1[Country],Table1[[#This Row],[Country]])=1,0, _xlfn.STDEV.S(IF(Table1[Country]=Table1[[#This Row],[Country]],Table1[FinalElo])))</f>
        <v>194.01778111336392</v>
      </c>
      <c r="AB959">
        <f>IF(Table1[[#This Row],[CStd]]=0,0, (Table1[[#This Row],[FinalElo]]-Table1[[#This Row],[CAvg]]) / Table1[[#This Row],[CStd]])</f>
        <v>-0.89006569623466614</v>
      </c>
      <c r="AC959" t="str">
        <f>IF(Table1[[#This Row],[CStd]]=0,"Normal", IF(ABS(Table1[[#This Row],[CZscore]])&gt;2,"Outlier","Normal"))</f>
        <v>Normal</v>
      </c>
    </row>
    <row r="960" spans="1:29" x14ac:dyDescent="0.35">
      <c r="A960" t="s">
        <v>1188</v>
      </c>
      <c r="B960">
        <v>76.7</v>
      </c>
      <c r="C960">
        <v>176</v>
      </c>
      <c r="D960" t="s">
        <v>174</v>
      </c>
      <c r="E960">
        <v>49</v>
      </c>
      <c r="F960" t="s">
        <v>1189</v>
      </c>
      <c r="G960" t="s">
        <v>34</v>
      </c>
      <c r="H960" t="s">
        <v>29</v>
      </c>
      <c r="I960" t="s">
        <v>30</v>
      </c>
      <c r="J960">
        <v>0</v>
      </c>
      <c r="K960">
        <v>2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1</v>
      </c>
      <c r="S960">
        <v>0</v>
      </c>
      <c r="T960">
        <v>0</v>
      </c>
      <c r="U960">
        <v>1</v>
      </c>
      <c r="V960">
        <v>0</v>
      </c>
      <c r="W960">
        <v>2</v>
      </c>
      <c r="X960">
        <v>809.69</v>
      </c>
      <c r="Y960">
        <v>1000</v>
      </c>
      <c r="Z960">
        <f>AVERAGEIFS(Table1[FinalElo], Table1[Country], Table1[[#This Row],[Country]])</f>
        <v>980.52444444444427</v>
      </c>
      <c r="AA960" cm="1">
        <f t="array" ref="AA960">IF(COUNTIFS(Table1[Country],Table1[[#This Row],[Country]])=1,0, _xlfn.STDEV.S(IF(Table1[Country]=Table1[[#This Row],[Country]],Table1[FinalElo])))</f>
        <v>143.66034832022171</v>
      </c>
      <c r="AB960">
        <f>IF(Table1[[#This Row],[CStd]]=0,0, (Table1[[#This Row],[FinalElo]]-Table1[[#This Row],[CAvg]]) / Table1[[#This Row],[CStd]])</f>
        <v>-1.1891551596662631</v>
      </c>
      <c r="AC960" t="str">
        <f>IF(Table1[[#This Row],[CStd]]=0,"Normal", IF(ABS(Table1[[#This Row],[CZscore]])&gt;2,"Outlier","Normal"))</f>
        <v>Normal</v>
      </c>
    </row>
    <row r="961" spans="1:29" x14ac:dyDescent="0.35">
      <c r="A961" t="s">
        <v>1186</v>
      </c>
      <c r="B961">
        <v>65.7</v>
      </c>
      <c r="C961">
        <v>160</v>
      </c>
      <c r="D961" t="s">
        <v>32</v>
      </c>
      <c r="E961">
        <v>35</v>
      </c>
      <c r="F961" t="s">
        <v>1187</v>
      </c>
      <c r="G961" t="s">
        <v>28</v>
      </c>
      <c r="H961" t="s">
        <v>29</v>
      </c>
      <c r="I961" t="s">
        <v>73</v>
      </c>
      <c r="J961">
        <v>8</v>
      </c>
      <c r="K961">
        <v>4</v>
      </c>
      <c r="L961">
        <v>1</v>
      </c>
      <c r="M961">
        <v>2</v>
      </c>
      <c r="N961">
        <v>0</v>
      </c>
      <c r="O961">
        <v>0</v>
      </c>
      <c r="P961">
        <v>2</v>
      </c>
      <c r="Q961">
        <v>0</v>
      </c>
      <c r="R961">
        <v>1</v>
      </c>
      <c r="S961">
        <v>1</v>
      </c>
      <c r="T961">
        <v>0</v>
      </c>
      <c r="U961">
        <v>1</v>
      </c>
      <c r="V961">
        <v>1</v>
      </c>
      <c r="W961">
        <v>13</v>
      </c>
      <c r="X961">
        <v>1104.33</v>
      </c>
      <c r="Y961">
        <v>1512.78</v>
      </c>
      <c r="Z961">
        <f>AVERAGEIFS(Table1[FinalElo], Table1[Country], Table1[[#This Row],[Country]])</f>
        <v>1025.3786885245902</v>
      </c>
      <c r="AA961" cm="1">
        <f t="array" ref="AA961">IF(COUNTIFS(Table1[Country],Table1[[#This Row],[Country]])=1,0, _xlfn.STDEV.S(IF(Table1[Country]=Table1[[#This Row],[Country]],Table1[FinalElo])))</f>
        <v>144.71595558743479</v>
      </c>
      <c r="AB961">
        <f>IF(Table1[[#This Row],[CStd]]=0,0, (Table1[[#This Row],[FinalElo]]-Table1[[#This Row],[CAvg]]) / Table1[[#This Row],[CStd]])</f>
        <v>0.54556051649542381</v>
      </c>
      <c r="AC961" t="str">
        <f>IF(Table1[[#This Row],[CStd]]=0,"Normal", IF(ABS(Table1[[#This Row],[CZscore]])&gt;2,"Outlier","Normal"))</f>
        <v>Normal</v>
      </c>
    </row>
    <row r="962" spans="1:29" x14ac:dyDescent="0.35">
      <c r="A962" t="s">
        <v>1184</v>
      </c>
      <c r="B962">
        <v>47.63</v>
      </c>
      <c r="C962">
        <v>163</v>
      </c>
      <c r="D962" t="s">
        <v>109</v>
      </c>
      <c r="E962">
        <v>30</v>
      </c>
      <c r="F962" t="s">
        <v>1185</v>
      </c>
      <c r="G962" t="s">
        <v>34</v>
      </c>
      <c r="H962" t="s">
        <v>29</v>
      </c>
      <c r="I962" t="s">
        <v>55</v>
      </c>
      <c r="J962">
        <v>0</v>
      </c>
      <c r="K962">
        <v>1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1</v>
      </c>
      <c r="X962">
        <v>968.43</v>
      </c>
      <c r="Y962">
        <v>1000</v>
      </c>
      <c r="Z962">
        <f>AVERAGEIFS(Table1[FinalElo], Table1[Country], Table1[[#This Row],[Country]])</f>
        <v>1017.2428571428571</v>
      </c>
      <c r="AA962" cm="1">
        <f t="array" ref="AA962">IF(COUNTIFS(Table1[Country],Table1[[#This Row],[Country]])=1,0, _xlfn.STDEV.S(IF(Table1[Country]=Table1[[#This Row],[Country]],Table1[FinalElo])))</f>
        <v>205.21100910317449</v>
      </c>
      <c r="AB962">
        <f>IF(Table1[[#This Row],[CStd]]=0,0, (Table1[[#This Row],[FinalElo]]-Table1[[#This Row],[CAvg]]) / Table1[[#This Row],[CStd]])</f>
        <v>-0.23786665908511473</v>
      </c>
      <c r="AC962" t="str">
        <f>IF(Table1[[#This Row],[CStd]]=0,"Normal", IF(ABS(Table1[[#This Row],[CZscore]])&gt;2,"Outlier","Normal"))</f>
        <v>Normal</v>
      </c>
    </row>
    <row r="963" spans="1:29" x14ac:dyDescent="0.35">
      <c r="A963" t="s">
        <v>1182</v>
      </c>
      <c r="B963">
        <v>56.7</v>
      </c>
      <c r="C963">
        <v>170</v>
      </c>
      <c r="D963" t="s">
        <v>781</v>
      </c>
      <c r="E963">
        <v>18</v>
      </c>
      <c r="F963" t="s">
        <v>1183</v>
      </c>
      <c r="G963" t="s">
        <v>34</v>
      </c>
      <c r="H963" t="s">
        <v>29</v>
      </c>
      <c r="I963" t="s">
        <v>58</v>
      </c>
      <c r="J963">
        <v>6</v>
      </c>
      <c r="K963">
        <v>3</v>
      </c>
      <c r="L963">
        <v>0</v>
      </c>
      <c r="M963">
        <v>0</v>
      </c>
      <c r="N963">
        <v>0</v>
      </c>
      <c r="O963">
        <v>0</v>
      </c>
      <c r="P963">
        <v>1</v>
      </c>
      <c r="Q963">
        <v>0</v>
      </c>
      <c r="R963">
        <v>0</v>
      </c>
      <c r="S963">
        <v>0</v>
      </c>
      <c r="T963">
        <v>0</v>
      </c>
      <c r="U963">
        <v>2</v>
      </c>
      <c r="V963">
        <v>1</v>
      </c>
      <c r="W963">
        <v>9</v>
      </c>
      <c r="X963">
        <v>935.28</v>
      </c>
      <c r="Y963">
        <v>1301.94</v>
      </c>
      <c r="Z963">
        <f>AVERAGEIFS(Table1[FinalElo], Table1[Country], Table1[[#This Row],[Country]])</f>
        <v>1007.425</v>
      </c>
      <c r="AA963" cm="1">
        <f t="array" ref="AA963">IF(COUNTIFS(Table1[Country],Table1[[#This Row],[Country]])=1,0, _xlfn.STDEV.S(IF(Table1[Country]=Table1[[#This Row],[Country]],Table1[FinalElo])))</f>
        <v>102.02843745740692</v>
      </c>
      <c r="AB963">
        <f>IF(Table1[[#This Row],[CStd]]=0,0, (Table1[[#This Row],[FinalElo]]-Table1[[#This Row],[CAvg]]) / Table1[[#This Row],[CStd]])</f>
        <v>-0.70710678118654746</v>
      </c>
      <c r="AC963" t="str">
        <f>IF(Table1[[#This Row],[CStd]]=0,"Normal", IF(ABS(Table1[[#This Row],[CZscore]])&gt;2,"Outlier","Normal"))</f>
        <v>Normal</v>
      </c>
    </row>
    <row r="964" spans="1:29" x14ac:dyDescent="0.35">
      <c r="A964" t="s">
        <v>1179</v>
      </c>
      <c r="B964">
        <v>61.2</v>
      </c>
      <c r="C964">
        <v>175</v>
      </c>
      <c r="D964" t="s">
        <v>1180</v>
      </c>
      <c r="E964">
        <v>22</v>
      </c>
      <c r="F964" t="s">
        <v>1181</v>
      </c>
      <c r="G964" t="s">
        <v>34</v>
      </c>
      <c r="H964" t="s">
        <v>29</v>
      </c>
      <c r="I964" t="s">
        <v>58</v>
      </c>
      <c r="J964">
        <v>5</v>
      </c>
      <c r="K964">
        <v>1</v>
      </c>
      <c r="L964">
        <v>0</v>
      </c>
      <c r="M964">
        <v>1</v>
      </c>
      <c r="N964">
        <v>0</v>
      </c>
      <c r="O964">
        <v>0</v>
      </c>
      <c r="P964">
        <v>2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6</v>
      </c>
      <c r="X964">
        <v>1148.76</v>
      </c>
      <c r="Y964">
        <v>1331.08</v>
      </c>
      <c r="Z964">
        <f>AVERAGEIFS(Table1[FinalElo], Table1[Country], Table1[[#This Row],[Country]])</f>
        <v>1114.4566666666667</v>
      </c>
      <c r="AA964" cm="1">
        <f t="array" ref="AA964">IF(COUNTIFS(Table1[Country],Table1[[#This Row],[Country]])=1,0, _xlfn.STDEV.S(IF(Table1[Country]=Table1[[#This Row],[Country]],Table1[FinalElo])))</f>
        <v>126.62905682872845</v>
      </c>
      <c r="AB964">
        <f>IF(Table1[[#This Row],[CStd]]=0,0, (Table1[[#This Row],[FinalElo]]-Table1[[#This Row],[CAvg]]) / Table1[[#This Row],[CStd]])</f>
        <v>0.27089622391904966</v>
      </c>
      <c r="AC964" t="str">
        <f>IF(Table1[[#This Row],[CStd]]=0,"Normal", IF(ABS(Table1[[#This Row],[CZscore]])&gt;2,"Outlier","Normal"))</f>
        <v>Normal</v>
      </c>
    </row>
    <row r="965" spans="1:29" x14ac:dyDescent="0.35">
      <c r="A965" t="s">
        <v>1177</v>
      </c>
      <c r="B965">
        <v>83.9</v>
      </c>
      <c r="C965">
        <v>180</v>
      </c>
      <c r="D965" t="s">
        <v>52</v>
      </c>
      <c r="E965">
        <v>35</v>
      </c>
      <c r="F965" t="s">
        <v>1178</v>
      </c>
      <c r="G965" t="s">
        <v>40</v>
      </c>
      <c r="H965" t="s">
        <v>29</v>
      </c>
      <c r="I965" t="s">
        <v>50</v>
      </c>
      <c r="J965">
        <v>0</v>
      </c>
      <c r="K965">
        <v>1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1</v>
      </c>
      <c r="T965">
        <v>0</v>
      </c>
      <c r="U965">
        <v>0</v>
      </c>
      <c r="V965">
        <v>0</v>
      </c>
      <c r="W965">
        <v>1</v>
      </c>
      <c r="X965">
        <v>871.99</v>
      </c>
      <c r="Y965">
        <v>1000</v>
      </c>
      <c r="Z965">
        <f>AVERAGEIFS(Table1[FinalElo], Table1[Country], Table1[[#This Row],[Country]])</f>
        <v>1039.8985714285714</v>
      </c>
      <c r="AA965" cm="1">
        <f t="array" ref="AA965">IF(COUNTIFS(Table1[Country],Table1[[#This Row],[Country]])=1,0, _xlfn.STDEV.S(IF(Table1[Country]=Table1[[#This Row],[Country]],Table1[FinalElo])))</f>
        <v>194.01778111336392</v>
      </c>
      <c r="AB965">
        <f>IF(Table1[[#This Row],[CStd]]=0,0, (Table1[[#This Row],[FinalElo]]-Table1[[#This Row],[CAvg]]) / Table1[[#This Row],[CStd]])</f>
        <v>-0.86542877907908322</v>
      </c>
      <c r="AC965" t="str">
        <f>IF(Table1[[#This Row],[CStd]]=0,"Normal", IF(ABS(Table1[[#This Row],[CZscore]])&gt;2,"Outlier","Normal"))</f>
        <v>Normal</v>
      </c>
    </row>
    <row r="966" spans="1:29" x14ac:dyDescent="0.35">
      <c r="A966" t="s">
        <v>1175</v>
      </c>
      <c r="B966">
        <v>56.7</v>
      </c>
      <c r="C966">
        <v>164</v>
      </c>
      <c r="D966" t="s">
        <v>165</v>
      </c>
      <c r="E966">
        <v>-1</v>
      </c>
      <c r="F966" t="s">
        <v>1176</v>
      </c>
      <c r="G966" t="s">
        <v>40</v>
      </c>
      <c r="H966" t="s">
        <v>29</v>
      </c>
      <c r="I966" t="s">
        <v>58</v>
      </c>
      <c r="J966">
        <v>0</v>
      </c>
      <c r="K966">
        <v>1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1</v>
      </c>
      <c r="V966">
        <v>0</v>
      </c>
      <c r="W966">
        <v>1</v>
      </c>
      <c r="X966">
        <v>928.01</v>
      </c>
      <c r="Y966">
        <v>1000</v>
      </c>
      <c r="Z966">
        <f>AVERAGEIFS(Table1[FinalElo], Table1[Country], Table1[[#This Row],[Country]])</f>
        <v>902.68</v>
      </c>
      <c r="AA966" cm="1">
        <f t="array" ref="AA966">IF(COUNTIFS(Table1[Country],Table1[[#This Row],[Country]])=1,0, _xlfn.STDEV.S(IF(Table1[Country]=Table1[[#This Row],[Country]],Table1[FinalElo])))</f>
        <v>24.102010289600333</v>
      </c>
      <c r="AB966">
        <f>IF(Table1[[#This Row],[CStd]]=0,0, (Table1[[#This Row],[FinalElo]]-Table1[[#This Row],[CAvg]]) / Table1[[#This Row],[CStd]])</f>
        <v>1.050949679949708</v>
      </c>
      <c r="AC966" t="str">
        <f>IF(Table1[[#This Row],[CStd]]=0,"Normal", IF(ABS(Table1[[#This Row],[CZscore]])&gt;2,"Outlier","Normal"))</f>
        <v>Normal</v>
      </c>
    </row>
    <row r="967" spans="1:29" x14ac:dyDescent="0.35">
      <c r="A967" t="s">
        <v>1173</v>
      </c>
      <c r="B967">
        <v>70.31</v>
      </c>
      <c r="C967">
        <v>182</v>
      </c>
      <c r="D967" t="s">
        <v>71</v>
      </c>
      <c r="E967">
        <v>28</v>
      </c>
      <c r="F967" t="s">
        <v>1174</v>
      </c>
      <c r="G967" t="s">
        <v>34</v>
      </c>
      <c r="H967" t="s">
        <v>29</v>
      </c>
      <c r="I967" t="s">
        <v>30</v>
      </c>
      <c r="J967">
        <v>1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1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1</v>
      </c>
      <c r="X967">
        <v>1100</v>
      </c>
      <c r="Y967">
        <v>1100</v>
      </c>
      <c r="Z967">
        <f>AVERAGEIFS(Table1[FinalElo], Table1[Country], Table1[[#This Row],[Country]])</f>
        <v>991.47826086956536</v>
      </c>
      <c r="AA967" cm="1">
        <f t="array" ref="AA967">IF(COUNTIFS(Table1[Country],Table1[[#This Row],[Country]])=1,0, _xlfn.STDEV.S(IF(Table1[Country]=Table1[[#This Row],[Country]],Table1[FinalElo])))</f>
        <v>164.61500422203164</v>
      </c>
      <c r="AB967">
        <f>IF(Table1[[#This Row],[CStd]]=0,0, (Table1[[#This Row],[FinalElo]]-Table1[[#This Row],[CAvg]]) / Table1[[#This Row],[CStd]])</f>
        <v>0.659245733056394</v>
      </c>
      <c r="AC967" t="str">
        <f>IF(Table1[[#This Row],[CStd]]=0,"Normal", IF(ABS(Table1[[#This Row],[CZscore]])&gt;2,"Outlier","Normal"))</f>
        <v>Normal</v>
      </c>
    </row>
    <row r="968" spans="1:29" x14ac:dyDescent="0.35">
      <c r="A968" t="s">
        <v>1171</v>
      </c>
      <c r="B968">
        <v>60.9</v>
      </c>
      <c r="C968">
        <v>179</v>
      </c>
      <c r="D968" t="s">
        <v>210</v>
      </c>
      <c r="E968">
        <v>30</v>
      </c>
      <c r="F968" t="s">
        <v>1172</v>
      </c>
      <c r="G968" t="s">
        <v>34</v>
      </c>
      <c r="H968" t="s">
        <v>29</v>
      </c>
      <c r="I968" t="s">
        <v>58</v>
      </c>
      <c r="J968">
        <v>1</v>
      </c>
      <c r="K968">
        <v>4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1</v>
      </c>
      <c r="S968">
        <v>0</v>
      </c>
      <c r="T968">
        <v>0</v>
      </c>
      <c r="U968">
        <v>2</v>
      </c>
      <c r="V968">
        <v>1</v>
      </c>
      <c r="W968">
        <v>5</v>
      </c>
      <c r="X968">
        <v>844.61</v>
      </c>
      <c r="Y968">
        <v>1085.3900000000001</v>
      </c>
      <c r="Z968">
        <f>AVERAGEIFS(Table1[FinalElo], Table1[Country], Table1[[#This Row],[Country]])</f>
        <v>1013.9366666666666</v>
      </c>
      <c r="AA968" cm="1">
        <f t="array" ref="AA968">IF(COUNTIFS(Table1[Country],Table1[[#This Row],[Country]])=1,0, _xlfn.STDEV.S(IF(Table1[Country]=Table1[[#This Row],[Country]],Table1[FinalElo])))</f>
        <v>163.09937898921214</v>
      </c>
      <c r="AB968">
        <f>IF(Table1[[#This Row],[CStd]]=0,0, (Table1[[#This Row],[FinalElo]]-Table1[[#This Row],[CAvg]]) / Table1[[#This Row],[CStd]])</f>
        <v>-1.0381809404551219</v>
      </c>
      <c r="AC968" t="str">
        <f>IF(Table1[[#This Row],[CStd]]=0,"Normal", IF(ABS(Table1[[#This Row],[CZscore]])&gt;2,"Outlier","Normal"))</f>
        <v>Normal</v>
      </c>
    </row>
    <row r="969" spans="1:29" x14ac:dyDescent="0.35">
      <c r="A969" t="s">
        <v>1169</v>
      </c>
      <c r="B969">
        <v>70.099999999999994</v>
      </c>
      <c r="C969">
        <v>178</v>
      </c>
      <c r="D969" t="s">
        <v>89</v>
      </c>
      <c r="E969">
        <v>36</v>
      </c>
      <c r="F969" t="s">
        <v>1170</v>
      </c>
      <c r="G969" t="s">
        <v>34</v>
      </c>
      <c r="H969" t="s">
        <v>29</v>
      </c>
      <c r="I969" t="s">
        <v>48</v>
      </c>
      <c r="J969">
        <v>6</v>
      </c>
      <c r="K969">
        <v>8</v>
      </c>
      <c r="L969">
        <v>0</v>
      </c>
      <c r="M969">
        <v>1</v>
      </c>
      <c r="N969">
        <v>0</v>
      </c>
      <c r="O969">
        <v>0</v>
      </c>
      <c r="P969">
        <v>3</v>
      </c>
      <c r="Q969">
        <v>0</v>
      </c>
      <c r="R969">
        <v>1</v>
      </c>
      <c r="S969">
        <v>0</v>
      </c>
      <c r="T969">
        <v>0</v>
      </c>
      <c r="U969">
        <v>3</v>
      </c>
      <c r="V969">
        <v>0</v>
      </c>
      <c r="W969">
        <v>14</v>
      </c>
      <c r="X969">
        <v>929.74</v>
      </c>
      <c r="Y969">
        <v>1243.4000000000001</v>
      </c>
      <c r="Z969">
        <f>AVERAGEIFS(Table1[FinalElo], Table1[Country], Table1[[#This Row],[Country]])</f>
        <v>1012.0629025423733</v>
      </c>
      <c r="AA969" cm="1">
        <f t="array" ref="AA969">IF(COUNTIFS(Table1[Country],Table1[[#This Row],[Country]])=1,0, _xlfn.STDEV.S(IF(Table1[Country]=Table1[[#This Row],[Country]],Table1[FinalElo])))</f>
        <v>148.42180446198614</v>
      </c>
      <c r="AB969">
        <f>IF(Table1[[#This Row],[CStd]]=0,0, (Table1[[#This Row],[FinalElo]]-Table1[[#This Row],[CAvg]]) / Table1[[#This Row],[CStd]])</f>
        <v>-0.55465504439044788</v>
      </c>
      <c r="AC969" t="str">
        <f>IF(Table1[[#This Row],[CStd]]=0,"Normal", IF(ABS(Table1[[#This Row],[CZscore]])&gt;2,"Outlier","Normal"))</f>
        <v>Normal</v>
      </c>
    </row>
    <row r="970" spans="1:29" x14ac:dyDescent="0.35">
      <c r="A970" t="s">
        <v>1168</v>
      </c>
      <c r="B970">
        <v>58.059775999999999</v>
      </c>
      <c r="C970">
        <v>172</v>
      </c>
      <c r="D970" t="s">
        <v>89</v>
      </c>
      <c r="E970">
        <v>24</v>
      </c>
      <c r="F970" t="s">
        <v>154</v>
      </c>
      <c r="G970" t="s">
        <v>34</v>
      </c>
      <c r="H970" t="s">
        <v>29</v>
      </c>
      <c r="I970" t="s">
        <v>58</v>
      </c>
      <c r="J970">
        <v>0</v>
      </c>
      <c r="K970">
        <v>1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1</v>
      </c>
      <c r="X970">
        <v>900</v>
      </c>
      <c r="Y970">
        <v>1000</v>
      </c>
      <c r="Z970">
        <f>AVERAGEIFS(Table1[FinalElo], Table1[Country], Table1[[#This Row],[Country]])</f>
        <v>1012.0629025423733</v>
      </c>
      <c r="AA970" cm="1">
        <f t="array" ref="AA970">IF(COUNTIFS(Table1[Country],Table1[[#This Row],[Country]])=1,0, _xlfn.STDEV.S(IF(Table1[Country]=Table1[[#This Row],[Country]],Table1[FinalElo])))</f>
        <v>148.42180446198614</v>
      </c>
      <c r="AB970">
        <f>IF(Table1[[#This Row],[CStd]]=0,0, (Table1[[#This Row],[FinalElo]]-Table1[[#This Row],[CAvg]]) / Table1[[#This Row],[CStd]])</f>
        <v>-0.75502991591154589</v>
      </c>
      <c r="AC970" t="str">
        <f>IF(Table1[[#This Row],[CStd]]=0,"Normal", IF(ABS(Table1[[#This Row],[CZscore]])&gt;2,"Outlier","Normal"))</f>
        <v>Normal</v>
      </c>
    </row>
    <row r="971" spans="1:29" x14ac:dyDescent="0.35">
      <c r="A971" t="s">
        <v>1167</v>
      </c>
      <c r="B971">
        <v>69.900000000000006</v>
      </c>
      <c r="C971">
        <v>184</v>
      </c>
      <c r="D971" t="s">
        <v>26</v>
      </c>
      <c r="E971">
        <v>30</v>
      </c>
      <c r="F971" t="s">
        <v>87</v>
      </c>
      <c r="G971" t="s">
        <v>34</v>
      </c>
      <c r="H971" t="s">
        <v>29</v>
      </c>
      <c r="I971" t="s">
        <v>48</v>
      </c>
      <c r="J971">
        <v>1</v>
      </c>
      <c r="K971">
        <v>2</v>
      </c>
      <c r="L971">
        <v>0</v>
      </c>
      <c r="M971">
        <v>0</v>
      </c>
      <c r="N971">
        <v>0</v>
      </c>
      <c r="O971">
        <v>0</v>
      </c>
      <c r="P971">
        <v>1</v>
      </c>
      <c r="Q971">
        <v>0</v>
      </c>
      <c r="R971">
        <v>0</v>
      </c>
      <c r="S971">
        <v>0</v>
      </c>
      <c r="T971">
        <v>0</v>
      </c>
      <c r="U971">
        <v>1</v>
      </c>
      <c r="V971">
        <v>1</v>
      </c>
      <c r="W971">
        <v>3</v>
      </c>
      <c r="X971">
        <v>945.77</v>
      </c>
      <c r="Y971">
        <v>1052.93</v>
      </c>
      <c r="Z971">
        <f>AVERAGEIFS(Table1[FinalElo], Table1[Country], Table1[[#This Row],[Country]])</f>
        <v>979.07416666666666</v>
      </c>
      <c r="AA971" cm="1">
        <f t="array" ref="AA971">IF(COUNTIFS(Table1[Country],Table1[[#This Row],[Country]])=1,0, _xlfn.STDEV.S(IF(Table1[Country]=Table1[[#This Row],[Country]],Table1[FinalElo])))</f>
        <v>130.18126931728986</v>
      </c>
      <c r="AB971">
        <f>IF(Table1[[#This Row],[CStd]]=0,0, (Table1[[#This Row],[FinalElo]]-Table1[[#This Row],[CAvg]]) / Table1[[#This Row],[CStd]])</f>
        <v>-0.25582917451430492</v>
      </c>
      <c r="AC971" t="str">
        <f>IF(Table1[[#This Row],[CStd]]=0,"Normal", IF(ABS(Table1[[#This Row],[CZscore]])&gt;2,"Outlier","Normal"))</f>
        <v>Normal</v>
      </c>
    </row>
    <row r="972" spans="1:29" x14ac:dyDescent="0.35">
      <c r="A972" t="s">
        <v>1165</v>
      </c>
      <c r="B972">
        <v>54.5</v>
      </c>
      <c r="C972">
        <v>160</v>
      </c>
      <c r="D972" t="s">
        <v>358</v>
      </c>
      <c r="E972">
        <v>26</v>
      </c>
      <c r="F972" t="s">
        <v>1166</v>
      </c>
      <c r="G972" t="s">
        <v>40</v>
      </c>
      <c r="H972" t="s">
        <v>29</v>
      </c>
      <c r="I972" t="s">
        <v>36</v>
      </c>
      <c r="J972">
        <v>8</v>
      </c>
      <c r="K972">
        <v>5</v>
      </c>
      <c r="L972">
        <v>0</v>
      </c>
      <c r="M972">
        <v>0</v>
      </c>
      <c r="N972">
        <v>3</v>
      </c>
      <c r="O972">
        <v>0</v>
      </c>
      <c r="P972">
        <v>4</v>
      </c>
      <c r="Q972">
        <v>1</v>
      </c>
      <c r="R972">
        <v>0</v>
      </c>
      <c r="S972">
        <v>0</v>
      </c>
      <c r="T972">
        <v>0</v>
      </c>
      <c r="U972">
        <v>4</v>
      </c>
      <c r="V972">
        <v>1</v>
      </c>
      <c r="W972">
        <v>13</v>
      </c>
      <c r="X972">
        <v>960.01</v>
      </c>
      <c r="Y972">
        <v>1289.28</v>
      </c>
      <c r="Z972">
        <f>AVERAGEIFS(Table1[FinalElo], Table1[Country], Table1[[#This Row],[Country]])</f>
        <v>974.61500000000012</v>
      </c>
      <c r="AA972" cm="1">
        <f t="array" ref="AA972">IF(COUNTIFS(Table1[Country],Table1[[#This Row],[Country]])=1,0, _xlfn.STDEV.S(IF(Table1[Country]=Table1[[#This Row],[Country]],Table1[FinalElo])))</f>
        <v>146.82246313768914</v>
      </c>
      <c r="AB972">
        <f>IF(Table1[[#This Row],[CStd]]=0,0, (Table1[[#This Row],[FinalElo]]-Table1[[#This Row],[CAvg]]) / Table1[[#This Row],[CStd]])</f>
        <v>-9.9473879458783221E-2</v>
      </c>
      <c r="AC972" t="str">
        <f>IF(Table1[[#This Row],[CStd]]=0,"Normal", IF(ABS(Table1[[#This Row],[CZscore]])&gt;2,"Outlier","Normal"))</f>
        <v>Normal</v>
      </c>
    </row>
    <row r="973" spans="1:29" x14ac:dyDescent="0.35">
      <c r="A973" t="s">
        <v>1163</v>
      </c>
      <c r="B973">
        <v>60.7</v>
      </c>
      <c r="C973">
        <v>173</v>
      </c>
      <c r="D973" t="s">
        <v>116</v>
      </c>
      <c r="E973">
        <v>25</v>
      </c>
      <c r="F973" t="s">
        <v>1164</v>
      </c>
      <c r="G973" t="s">
        <v>34</v>
      </c>
      <c r="H973" t="s">
        <v>29</v>
      </c>
      <c r="I973" t="s">
        <v>58</v>
      </c>
      <c r="J973">
        <v>0</v>
      </c>
      <c r="K973">
        <v>3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2</v>
      </c>
      <c r="V973">
        <v>1</v>
      </c>
      <c r="W973">
        <v>3</v>
      </c>
      <c r="X973">
        <v>830.48</v>
      </c>
      <c r="Y973">
        <v>1000</v>
      </c>
      <c r="Z973">
        <f>AVERAGEIFS(Table1[FinalElo], Table1[Country], Table1[[#This Row],[Country]])</f>
        <v>980.88090909090931</v>
      </c>
      <c r="AA973" cm="1">
        <f t="array" ref="AA973">IF(COUNTIFS(Table1[Country],Table1[[#This Row],[Country]])=1,0, _xlfn.STDEV.S(IF(Table1[Country]=Table1[[#This Row],[Country]],Table1[FinalElo])))</f>
        <v>133.41794796376408</v>
      </c>
      <c r="AB973">
        <f>IF(Table1[[#This Row],[CStd]]=0,0, (Table1[[#This Row],[FinalElo]]-Table1[[#This Row],[CAvg]]) / Table1[[#This Row],[CStd]])</f>
        <v>-1.1272914280750124</v>
      </c>
      <c r="AC973" t="str">
        <f>IF(Table1[[#This Row],[CStd]]=0,"Normal", IF(ABS(Table1[[#This Row],[CZscore]])&gt;2,"Outlier","Normal"))</f>
        <v>Normal</v>
      </c>
    </row>
    <row r="974" spans="1:29" x14ac:dyDescent="0.35">
      <c r="A974" t="s">
        <v>1161</v>
      </c>
      <c r="B974">
        <v>70.3</v>
      </c>
      <c r="C974">
        <v>173</v>
      </c>
      <c r="D974" t="s">
        <v>116</v>
      </c>
      <c r="E974">
        <v>34</v>
      </c>
      <c r="F974" t="s">
        <v>1162</v>
      </c>
      <c r="G974" t="s">
        <v>852</v>
      </c>
      <c r="H974" t="s">
        <v>29</v>
      </c>
      <c r="I974" t="s">
        <v>48</v>
      </c>
      <c r="J974">
        <v>0</v>
      </c>
      <c r="K974">
        <v>1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1</v>
      </c>
      <c r="S974">
        <v>0</v>
      </c>
      <c r="T974">
        <v>0</v>
      </c>
      <c r="U974">
        <v>0</v>
      </c>
      <c r="V974">
        <v>0</v>
      </c>
      <c r="W974">
        <v>1</v>
      </c>
      <c r="X974">
        <v>900</v>
      </c>
      <c r="Y974">
        <v>1000</v>
      </c>
      <c r="Z974">
        <f>AVERAGEIFS(Table1[FinalElo], Table1[Country], Table1[[#This Row],[Country]])</f>
        <v>980.88090909090931</v>
      </c>
      <c r="AA974" cm="1">
        <f t="array" ref="AA974">IF(COUNTIFS(Table1[Country],Table1[[#This Row],[Country]])=1,0, _xlfn.STDEV.S(IF(Table1[Country]=Table1[[#This Row],[Country]],Table1[FinalElo])))</f>
        <v>133.41794796376408</v>
      </c>
      <c r="AB974">
        <f>IF(Table1[[#This Row],[CStd]]=0,0, (Table1[[#This Row],[FinalElo]]-Table1[[#This Row],[CAvg]]) / Table1[[#This Row],[CStd]])</f>
        <v>-0.60622210373731977</v>
      </c>
      <c r="AC974" t="str">
        <f>IF(Table1[[#This Row],[CStd]]=0,"Normal", IF(ABS(Table1[[#This Row],[CZscore]])&gt;2,"Outlier","Normal"))</f>
        <v>Normal</v>
      </c>
    </row>
    <row r="975" spans="1:29" x14ac:dyDescent="0.35">
      <c r="A975" t="s">
        <v>1160</v>
      </c>
      <c r="B975">
        <v>56.4</v>
      </c>
      <c r="C975">
        <v>165</v>
      </c>
      <c r="D975" t="s">
        <v>116</v>
      </c>
      <c r="E975">
        <v>22</v>
      </c>
      <c r="F975" t="s">
        <v>953</v>
      </c>
      <c r="G975" t="s">
        <v>34</v>
      </c>
      <c r="H975" t="s">
        <v>29</v>
      </c>
      <c r="I975" t="s">
        <v>36</v>
      </c>
      <c r="J975">
        <v>0</v>
      </c>
      <c r="K975">
        <v>1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1</v>
      </c>
      <c r="X975">
        <v>871.99</v>
      </c>
      <c r="Y975">
        <v>1000</v>
      </c>
      <c r="Z975">
        <f>AVERAGEIFS(Table1[FinalElo], Table1[Country], Table1[[#This Row],[Country]])</f>
        <v>980.88090909090931</v>
      </c>
      <c r="AA975" cm="1">
        <f t="array" ref="AA975">IF(COUNTIFS(Table1[Country],Table1[[#This Row],[Country]])=1,0, _xlfn.STDEV.S(IF(Table1[Country]=Table1[[#This Row],[Country]],Table1[FinalElo])))</f>
        <v>133.41794796376408</v>
      </c>
      <c r="AB975">
        <f>IF(Table1[[#This Row],[CStd]]=0,0, (Table1[[#This Row],[FinalElo]]-Table1[[#This Row],[CAvg]]) / Table1[[#This Row],[CStd]])</f>
        <v>-0.81616387264840673</v>
      </c>
      <c r="AC975" t="str">
        <f>IF(Table1[[#This Row],[CStd]]=0,"Normal", IF(ABS(Table1[[#This Row],[CZscore]])&gt;2,"Outlier","Normal"))</f>
        <v>Normal</v>
      </c>
    </row>
    <row r="976" spans="1:29" x14ac:dyDescent="0.35">
      <c r="A976" t="s">
        <v>1159</v>
      </c>
      <c r="B976">
        <v>70.3</v>
      </c>
      <c r="C976">
        <v>177</v>
      </c>
      <c r="D976" t="s">
        <v>116</v>
      </c>
      <c r="E976">
        <v>33</v>
      </c>
      <c r="F976" t="s">
        <v>851</v>
      </c>
      <c r="G976" t="s">
        <v>852</v>
      </c>
      <c r="H976" t="s">
        <v>29</v>
      </c>
      <c r="I976" t="s">
        <v>48</v>
      </c>
      <c r="J976">
        <v>1</v>
      </c>
      <c r="K976">
        <v>0</v>
      </c>
      <c r="L976">
        <v>0</v>
      </c>
      <c r="M976">
        <v>1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1</v>
      </c>
      <c r="X976">
        <v>1100</v>
      </c>
      <c r="Y976">
        <v>1100</v>
      </c>
      <c r="Z976">
        <f>AVERAGEIFS(Table1[FinalElo], Table1[Country], Table1[[#This Row],[Country]])</f>
        <v>980.88090909090931</v>
      </c>
      <c r="AA976" cm="1">
        <f t="array" ref="AA976">IF(COUNTIFS(Table1[Country],Table1[[#This Row],[Country]])=1,0, _xlfn.STDEV.S(IF(Table1[Country]=Table1[[#This Row],[Country]],Table1[FinalElo])))</f>
        <v>133.41794796376408</v>
      </c>
      <c r="AB976">
        <f>IF(Table1[[#This Row],[CStd]]=0,0, (Table1[[#This Row],[FinalElo]]-Table1[[#This Row],[CAvg]]) / Table1[[#This Row],[CStd]])</f>
        <v>0.89282658538147419</v>
      </c>
      <c r="AC976" t="str">
        <f>IF(Table1[[#This Row],[CStd]]=0,"Normal", IF(ABS(Table1[[#This Row],[CZscore]])&gt;2,"Outlier","Normal"))</f>
        <v>Normal</v>
      </c>
    </row>
    <row r="977" spans="1:29" x14ac:dyDescent="0.35">
      <c r="A977" t="s">
        <v>1158</v>
      </c>
      <c r="B977">
        <v>65.8</v>
      </c>
      <c r="C977">
        <v>168</v>
      </c>
      <c r="D977" t="s">
        <v>60</v>
      </c>
      <c r="E977">
        <v>23</v>
      </c>
      <c r="F977" t="s">
        <v>168</v>
      </c>
      <c r="G977" t="s">
        <v>40</v>
      </c>
      <c r="H977" t="s">
        <v>29</v>
      </c>
      <c r="I977" t="s">
        <v>48</v>
      </c>
      <c r="J977">
        <v>4</v>
      </c>
      <c r="K977">
        <v>1</v>
      </c>
      <c r="L977">
        <v>0</v>
      </c>
      <c r="M977">
        <v>0</v>
      </c>
      <c r="N977">
        <v>4</v>
      </c>
      <c r="O977">
        <v>0</v>
      </c>
      <c r="P977">
        <v>0</v>
      </c>
      <c r="Q977">
        <v>0</v>
      </c>
      <c r="R977">
        <v>0</v>
      </c>
      <c r="S977">
        <v>1</v>
      </c>
      <c r="T977">
        <v>0</v>
      </c>
      <c r="U977">
        <v>0</v>
      </c>
      <c r="V977">
        <v>0</v>
      </c>
      <c r="W977">
        <v>5</v>
      </c>
      <c r="X977">
        <v>1197.92</v>
      </c>
      <c r="Y977">
        <v>1206.17</v>
      </c>
      <c r="Z977">
        <f>AVERAGEIFS(Table1[FinalElo], Table1[Country], Table1[[#This Row],[Country]])</f>
        <v>1034.681315789474</v>
      </c>
      <c r="AA977" cm="1">
        <f t="array" ref="AA977">IF(COUNTIFS(Table1[Country],Table1[[#This Row],[Country]])=1,0, _xlfn.STDEV.S(IF(Table1[Country]=Table1[[#This Row],[Country]],Table1[FinalElo])))</f>
        <v>152.902810204692</v>
      </c>
      <c r="AB977">
        <f>IF(Table1[[#This Row],[CStd]]=0,0, (Table1[[#This Row],[FinalElo]]-Table1[[#This Row],[CAvg]]) / Table1[[#This Row],[CStd]])</f>
        <v>1.067597671959053</v>
      </c>
      <c r="AC977" t="str">
        <f>IF(Table1[[#This Row],[CStd]]=0,"Normal", IF(ABS(Table1[[#This Row],[CZscore]])&gt;2,"Outlier","Normal"))</f>
        <v>Normal</v>
      </c>
    </row>
    <row r="978" spans="1:29" x14ac:dyDescent="0.35">
      <c r="A978" t="s">
        <v>1155</v>
      </c>
      <c r="B978">
        <v>70.3</v>
      </c>
      <c r="C978">
        <v>171</v>
      </c>
      <c r="D978" t="s">
        <v>60</v>
      </c>
      <c r="E978">
        <v>30</v>
      </c>
      <c r="F978" t="s">
        <v>168</v>
      </c>
      <c r="G978" t="s">
        <v>40</v>
      </c>
      <c r="H978" t="s">
        <v>29</v>
      </c>
      <c r="I978" t="s">
        <v>48</v>
      </c>
      <c r="J978">
        <v>2</v>
      </c>
      <c r="K978">
        <v>1</v>
      </c>
      <c r="L978">
        <v>0</v>
      </c>
      <c r="M978">
        <v>0</v>
      </c>
      <c r="N978">
        <v>0</v>
      </c>
      <c r="O978">
        <v>0</v>
      </c>
      <c r="P978">
        <v>2</v>
      </c>
      <c r="Q978">
        <v>0</v>
      </c>
      <c r="R978">
        <v>0</v>
      </c>
      <c r="S978">
        <v>0</v>
      </c>
      <c r="T978">
        <v>0</v>
      </c>
      <c r="U978">
        <v>1</v>
      </c>
      <c r="V978">
        <v>0</v>
      </c>
      <c r="W978">
        <v>3</v>
      </c>
      <c r="X978">
        <v>1026.17</v>
      </c>
      <c r="Y978">
        <v>1171.99</v>
      </c>
      <c r="Z978">
        <f>AVERAGEIFS(Table1[FinalElo], Table1[Country], Table1[[#This Row],[Country]])</f>
        <v>1034.681315789474</v>
      </c>
      <c r="AA978" cm="1">
        <f t="array" ref="AA978">IF(COUNTIFS(Table1[Country],Table1[[#This Row],[Country]])=1,0, _xlfn.STDEV.S(IF(Table1[Country]=Table1[[#This Row],[Country]],Table1[FinalElo])))</f>
        <v>152.902810204692</v>
      </c>
      <c r="AB978">
        <f>IF(Table1[[#This Row],[CStd]]=0,0, (Table1[[#This Row],[FinalElo]]-Table1[[#This Row],[CAvg]]) / Table1[[#This Row],[CStd]])</f>
        <v>-5.5664874818714766E-2</v>
      </c>
      <c r="AC978" t="str">
        <f>IF(Table1[[#This Row],[CStd]]=0,"Normal", IF(ABS(Table1[[#This Row],[CZscore]])&gt;2,"Outlier","Normal"))</f>
        <v>Normal</v>
      </c>
    </row>
    <row r="979" spans="1:29" x14ac:dyDescent="0.35">
      <c r="A979" t="s">
        <v>1154</v>
      </c>
      <c r="B979">
        <v>65.400000000000006</v>
      </c>
      <c r="C979">
        <v>170</v>
      </c>
      <c r="D979" t="s">
        <v>60</v>
      </c>
      <c r="E979">
        <v>29</v>
      </c>
      <c r="F979" t="s">
        <v>78</v>
      </c>
      <c r="G979" t="s">
        <v>40</v>
      </c>
      <c r="H979" t="s">
        <v>29</v>
      </c>
      <c r="I979" t="s">
        <v>73</v>
      </c>
      <c r="J979">
        <v>3</v>
      </c>
      <c r="K979">
        <v>3</v>
      </c>
      <c r="L979">
        <v>0</v>
      </c>
      <c r="M979">
        <v>0</v>
      </c>
      <c r="N979">
        <v>2</v>
      </c>
      <c r="O979">
        <v>0</v>
      </c>
      <c r="P979">
        <v>1</v>
      </c>
      <c r="Q979">
        <v>0</v>
      </c>
      <c r="R979">
        <v>0</v>
      </c>
      <c r="S979">
        <v>1</v>
      </c>
      <c r="T979">
        <v>0</v>
      </c>
      <c r="U979">
        <v>1</v>
      </c>
      <c r="V979">
        <v>0</v>
      </c>
      <c r="W979">
        <v>6</v>
      </c>
      <c r="X979">
        <v>994.18</v>
      </c>
      <c r="Y979">
        <v>1207.6199999999999</v>
      </c>
      <c r="Z979">
        <f>AVERAGEIFS(Table1[FinalElo], Table1[Country], Table1[[#This Row],[Country]])</f>
        <v>1034.681315789474</v>
      </c>
      <c r="AA979" cm="1">
        <f t="array" ref="AA979">IF(COUNTIFS(Table1[Country],Table1[[#This Row],[Country]])=1,0, _xlfn.STDEV.S(IF(Table1[Country]=Table1[[#This Row],[Country]],Table1[FinalElo])))</f>
        <v>152.902810204692</v>
      </c>
      <c r="AB979">
        <f>IF(Table1[[#This Row],[CStd]]=0,0, (Table1[[#This Row],[FinalElo]]-Table1[[#This Row],[CAvg]]) / Table1[[#This Row],[CStd]])</f>
        <v>-0.26488274306570708</v>
      </c>
      <c r="AC979" t="str">
        <f>IF(Table1[[#This Row],[CStd]]=0,"Normal", IF(ABS(Table1[[#This Row],[CZscore]])&gt;2,"Outlier","Normal"))</f>
        <v>Normal</v>
      </c>
    </row>
    <row r="980" spans="1:29" x14ac:dyDescent="0.35">
      <c r="A980" t="s">
        <v>1152</v>
      </c>
      <c r="B980">
        <v>56.4</v>
      </c>
      <c r="C980">
        <v>170</v>
      </c>
      <c r="D980" t="s">
        <v>60</v>
      </c>
      <c r="E980">
        <v>32</v>
      </c>
      <c r="F980" t="s">
        <v>1153</v>
      </c>
      <c r="G980" t="s">
        <v>40</v>
      </c>
      <c r="H980" t="s">
        <v>29</v>
      </c>
      <c r="I980" t="s">
        <v>36</v>
      </c>
      <c r="J980">
        <v>7</v>
      </c>
      <c r="K980">
        <v>8</v>
      </c>
      <c r="L980">
        <v>0</v>
      </c>
      <c r="M980">
        <v>4</v>
      </c>
      <c r="N980">
        <v>0</v>
      </c>
      <c r="O980">
        <v>0</v>
      </c>
      <c r="P980">
        <v>1</v>
      </c>
      <c r="Q980">
        <v>0</v>
      </c>
      <c r="R980">
        <v>2</v>
      </c>
      <c r="S980">
        <v>2</v>
      </c>
      <c r="T980">
        <v>0</v>
      </c>
      <c r="U980">
        <v>2</v>
      </c>
      <c r="V980">
        <v>2</v>
      </c>
      <c r="W980">
        <v>15</v>
      </c>
      <c r="X980">
        <v>991.85</v>
      </c>
      <c r="Y980">
        <v>1333.43</v>
      </c>
      <c r="Z980">
        <f>AVERAGEIFS(Table1[FinalElo], Table1[Country], Table1[[#This Row],[Country]])</f>
        <v>1034.681315789474</v>
      </c>
      <c r="AA980" cm="1">
        <f t="array" ref="AA980">IF(COUNTIFS(Table1[Country],Table1[[#This Row],[Country]])=1,0, _xlfn.STDEV.S(IF(Table1[Country]=Table1[[#This Row],[Country]],Table1[FinalElo])))</f>
        <v>152.902810204692</v>
      </c>
      <c r="AB980">
        <f>IF(Table1[[#This Row],[CStd]]=0,0, (Table1[[#This Row],[FinalElo]]-Table1[[#This Row],[CAvg]]) / Table1[[#This Row],[CStd]])</f>
        <v>-0.28012118110932932</v>
      </c>
      <c r="AC980" t="str">
        <f>IF(Table1[[#This Row],[CStd]]=0,"Normal", IF(ABS(Table1[[#This Row],[CZscore]])&gt;2,"Outlier","Normal"))</f>
        <v>Normal</v>
      </c>
    </row>
    <row r="981" spans="1:29" x14ac:dyDescent="0.35">
      <c r="A981" t="s">
        <v>1151</v>
      </c>
      <c r="B981">
        <v>52</v>
      </c>
      <c r="C981">
        <v>161</v>
      </c>
      <c r="D981" t="s">
        <v>60</v>
      </c>
      <c r="E981">
        <v>28</v>
      </c>
      <c r="F981" t="s">
        <v>78</v>
      </c>
      <c r="G981" t="s">
        <v>40</v>
      </c>
      <c r="H981" t="s">
        <v>29</v>
      </c>
      <c r="I981" t="s">
        <v>55</v>
      </c>
      <c r="J981">
        <v>3</v>
      </c>
      <c r="K981">
        <v>4</v>
      </c>
      <c r="L981">
        <v>0</v>
      </c>
      <c r="M981">
        <v>0</v>
      </c>
      <c r="N981">
        <v>1</v>
      </c>
      <c r="O981">
        <v>0</v>
      </c>
      <c r="P981">
        <v>1</v>
      </c>
      <c r="Q981">
        <v>1</v>
      </c>
      <c r="R981">
        <v>0</v>
      </c>
      <c r="S981">
        <v>2</v>
      </c>
      <c r="T981">
        <v>0</v>
      </c>
      <c r="U981">
        <v>1</v>
      </c>
      <c r="V981">
        <v>0</v>
      </c>
      <c r="W981">
        <v>7</v>
      </c>
      <c r="X981">
        <v>972.54</v>
      </c>
      <c r="Y981">
        <v>1170.1500000000001</v>
      </c>
      <c r="Z981">
        <f>AVERAGEIFS(Table1[FinalElo], Table1[Country], Table1[[#This Row],[Country]])</f>
        <v>1034.681315789474</v>
      </c>
      <c r="AA981" cm="1">
        <f t="array" ref="AA981">IF(COUNTIFS(Table1[Country],Table1[[#This Row],[Country]])=1,0, _xlfn.STDEV.S(IF(Table1[Country]=Table1[[#This Row],[Country]],Table1[FinalElo])))</f>
        <v>152.902810204692</v>
      </c>
      <c r="AB981">
        <f>IF(Table1[[#This Row],[CStd]]=0,0, (Table1[[#This Row],[FinalElo]]-Table1[[#This Row],[CAvg]]) / Table1[[#This Row],[CStd]])</f>
        <v>-0.40641055390862341</v>
      </c>
      <c r="AC981" t="str">
        <f>IF(Table1[[#This Row],[CStd]]=0,"Normal", IF(ABS(Table1[[#This Row],[CZscore]])&gt;2,"Outlier","Normal"))</f>
        <v>Normal</v>
      </c>
    </row>
    <row r="982" spans="1:29" x14ac:dyDescent="0.35">
      <c r="A982" t="s">
        <v>1149</v>
      </c>
      <c r="B982">
        <v>59.420552000000001</v>
      </c>
      <c r="C982">
        <v>170</v>
      </c>
      <c r="D982" t="s">
        <v>89</v>
      </c>
      <c r="E982">
        <v>27</v>
      </c>
      <c r="F982" t="s">
        <v>1150</v>
      </c>
      <c r="G982" t="s">
        <v>34</v>
      </c>
      <c r="H982" t="s">
        <v>29</v>
      </c>
      <c r="I982" t="s">
        <v>58</v>
      </c>
      <c r="J982">
        <v>0</v>
      </c>
      <c r="K982">
        <v>1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1</v>
      </c>
      <c r="V982">
        <v>0</v>
      </c>
      <c r="W982">
        <v>1</v>
      </c>
      <c r="X982">
        <v>915.86</v>
      </c>
      <c r="Y982">
        <v>1000</v>
      </c>
      <c r="Z982">
        <f>AVERAGEIFS(Table1[FinalElo], Table1[Country], Table1[[#This Row],[Country]])</f>
        <v>1012.0629025423733</v>
      </c>
      <c r="AA982" cm="1">
        <f t="array" ref="AA982">IF(COUNTIFS(Table1[Country],Table1[[#This Row],[Country]])=1,0, _xlfn.STDEV.S(IF(Table1[Country]=Table1[[#This Row],[Country]],Table1[FinalElo])))</f>
        <v>148.42180446198614</v>
      </c>
      <c r="AB982">
        <f>IF(Table1[[#This Row],[CStd]]=0,0, (Table1[[#This Row],[FinalElo]]-Table1[[#This Row],[CAvg]]) / Table1[[#This Row],[CStd]])</f>
        <v>-0.64817230117299118</v>
      </c>
      <c r="AC982" t="str">
        <f>IF(Table1[[#This Row],[CStd]]=0,"Normal", IF(ABS(Table1[[#This Row],[CZscore]])&gt;2,"Outlier","Normal"))</f>
        <v>Normal</v>
      </c>
    </row>
    <row r="983" spans="1:29" x14ac:dyDescent="0.35">
      <c r="A983" t="s">
        <v>1148</v>
      </c>
      <c r="B983">
        <v>57.152591999999999</v>
      </c>
      <c r="C983">
        <v>170</v>
      </c>
      <c r="D983" t="s">
        <v>910</v>
      </c>
      <c r="E983">
        <v>25</v>
      </c>
      <c r="F983" t="s">
        <v>653</v>
      </c>
      <c r="G983" t="s">
        <v>34</v>
      </c>
      <c r="H983" t="s">
        <v>29</v>
      </c>
      <c r="I983" t="s">
        <v>58</v>
      </c>
      <c r="J983">
        <v>2</v>
      </c>
      <c r="K983">
        <v>4</v>
      </c>
      <c r="L983">
        <v>0</v>
      </c>
      <c r="M983">
        <v>1</v>
      </c>
      <c r="N983">
        <v>0</v>
      </c>
      <c r="O983">
        <v>0</v>
      </c>
      <c r="P983">
        <v>0</v>
      </c>
      <c r="Q983">
        <v>0</v>
      </c>
      <c r="R983">
        <v>1</v>
      </c>
      <c r="S983">
        <v>0</v>
      </c>
      <c r="T983">
        <v>0</v>
      </c>
      <c r="U983">
        <v>3</v>
      </c>
      <c r="V983">
        <v>0</v>
      </c>
      <c r="W983">
        <v>6</v>
      </c>
      <c r="X983">
        <v>910.92</v>
      </c>
      <c r="Y983">
        <v>1028.01</v>
      </c>
      <c r="Z983">
        <f>AVERAGEIFS(Table1[FinalElo], Table1[Country], Table1[[#This Row],[Country]])</f>
        <v>960.96999999999991</v>
      </c>
      <c r="AA983" cm="1">
        <f t="array" ref="AA983">IF(COUNTIFS(Table1[Country],Table1[[#This Row],[Country]])=1,0, _xlfn.STDEV.S(IF(Table1[Country]=Table1[[#This Row],[Country]],Table1[FinalElo])))</f>
        <v>96.301048280898797</v>
      </c>
      <c r="AB983">
        <f>IF(Table1[[#This Row],[CStd]]=0,0, (Table1[[#This Row],[FinalElo]]-Table1[[#This Row],[CAvg]]) / Table1[[#This Row],[CStd]])</f>
        <v>-0.51972435288565089</v>
      </c>
      <c r="AC983" t="str">
        <f>IF(Table1[[#This Row],[CStd]]=0,"Normal", IF(ABS(Table1[[#This Row],[CZscore]])&gt;2,"Outlier","Normal"))</f>
        <v>Normal</v>
      </c>
    </row>
    <row r="984" spans="1:29" x14ac:dyDescent="0.35">
      <c r="A984" t="s">
        <v>1146</v>
      </c>
      <c r="B984">
        <v>65.8</v>
      </c>
      <c r="C984">
        <v>174</v>
      </c>
      <c r="D984" t="s">
        <v>452</v>
      </c>
      <c r="E984">
        <v>33</v>
      </c>
      <c r="F984" t="s">
        <v>1147</v>
      </c>
      <c r="G984" t="s">
        <v>40</v>
      </c>
      <c r="H984" t="s">
        <v>29</v>
      </c>
      <c r="I984" t="s">
        <v>48</v>
      </c>
      <c r="J984">
        <v>1</v>
      </c>
      <c r="K984">
        <v>0</v>
      </c>
      <c r="L984">
        <v>0</v>
      </c>
      <c r="M984">
        <v>0</v>
      </c>
      <c r="N984">
        <v>1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1</v>
      </c>
      <c r="X984">
        <v>1059.23</v>
      </c>
      <c r="Y984">
        <v>1059.23</v>
      </c>
      <c r="Z984">
        <f>AVERAGEIFS(Table1[FinalElo], Table1[Country], Table1[[#This Row],[Country]])</f>
        <v>1035.0040000000001</v>
      </c>
      <c r="AA984" cm="1">
        <f t="array" ref="AA984">IF(COUNTIFS(Table1[Country],Table1[[#This Row],[Country]])=1,0, _xlfn.STDEV.S(IF(Table1[Country]=Table1[[#This Row],[Country]],Table1[FinalElo])))</f>
        <v>97.988999790792832</v>
      </c>
      <c r="AB984">
        <f>IF(Table1[[#This Row],[CStd]]=0,0, (Table1[[#This Row],[FinalElo]]-Table1[[#This Row],[CAvg]]) / Table1[[#This Row],[CStd]])</f>
        <v>0.24723183267226481</v>
      </c>
      <c r="AC984" t="str">
        <f>IF(Table1[[#This Row],[CStd]]=0,"Normal", IF(ABS(Table1[[#This Row],[CZscore]])&gt;2,"Outlier","Normal"))</f>
        <v>Normal</v>
      </c>
    </row>
    <row r="985" spans="1:29" x14ac:dyDescent="0.35">
      <c r="A985" t="s">
        <v>1145</v>
      </c>
      <c r="B985">
        <v>61.1</v>
      </c>
      <c r="C985">
        <v>170</v>
      </c>
      <c r="D985" t="s">
        <v>60</v>
      </c>
      <c r="E985">
        <v>30</v>
      </c>
      <c r="F985" t="s">
        <v>168</v>
      </c>
      <c r="G985" t="s">
        <v>40</v>
      </c>
      <c r="H985" t="s">
        <v>29</v>
      </c>
      <c r="I985" t="s">
        <v>58</v>
      </c>
      <c r="J985">
        <v>2</v>
      </c>
      <c r="K985">
        <v>1</v>
      </c>
      <c r="L985">
        <v>0</v>
      </c>
      <c r="M985">
        <v>2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1</v>
      </c>
      <c r="T985">
        <v>0</v>
      </c>
      <c r="U985">
        <v>0</v>
      </c>
      <c r="V985">
        <v>0</v>
      </c>
      <c r="W985">
        <v>3</v>
      </c>
      <c r="X985">
        <v>1037.8399999999999</v>
      </c>
      <c r="Y985">
        <v>1187</v>
      </c>
      <c r="Z985">
        <f>AVERAGEIFS(Table1[FinalElo], Table1[Country], Table1[[#This Row],[Country]])</f>
        <v>1034.681315789474</v>
      </c>
      <c r="AA985" cm="1">
        <f t="array" ref="AA985">IF(COUNTIFS(Table1[Country],Table1[[#This Row],[Country]])=1,0, _xlfn.STDEV.S(IF(Table1[Country]=Table1[[#This Row],[Country]],Table1[FinalElo])))</f>
        <v>152.902810204692</v>
      </c>
      <c r="AB985">
        <f>IF(Table1[[#This Row],[CStd]]=0,0, (Table1[[#This Row],[FinalElo]]-Table1[[#This Row],[CAvg]]) / Table1[[#This Row],[CStd]])</f>
        <v>2.0658117442690624E-2</v>
      </c>
      <c r="AC985" t="str">
        <f>IF(Table1[[#This Row],[CStd]]=0,"Normal", IF(ABS(Table1[[#This Row],[CZscore]])&gt;2,"Outlier","Normal"))</f>
        <v>Normal</v>
      </c>
    </row>
    <row r="986" spans="1:29" x14ac:dyDescent="0.35">
      <c r="A986" t="s">
        <v>1143</v>
      </c>
      <c r="B986">
        <v>76.3</v>
      </c>
      <c r="C986">
        <v>186</v>
      </c>
      <c r="D986" t="s">
        <v>32</v>
      </c>
      <c r="E986">
        <v>28</v>
      </c>
      <c r="F986" t="s">
        <v>1144</v>
      </c>
      <c r="G986" t="s">
        <v>40</v>
      </c>
      <c r="H986" t="s">
        <v>29</v>
      </c>
      <c r="I986" t="s">
        <v>30</v>
      </c>
      <c r="J986">
        <v>1</v>
      </c>
      <c r="K986">
        <v>0</v>
      </c>
      <c r="L986">
        <v>0</v>
      </c>
      <c r="M986">
        <v>0</v>
      </c>
      <c r="N986">
        <v>1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1</v>
      </c>
      <c r="X986">
        <v>1100</v>
      </c>
      <c r="Y986">
        <v>1100</v>
      </c>
      <c r="Z986">
        <f>AVERAGEIFS(Table1[FinalElo], Table1[Country], Table1[[#This Row],[Country]])</f>
        <v>1025.3786885245902</v>
      </c>
      <c r="AA986" cm="1">
        <f t="array" ref="AA986">IF(COUNTIFS(Table1[Country],Table1[[#This Row],[Country]])=1,0, _xlfn.STDEV.S(IF(Table1[Country]=Table1[[#This Row],[Country]],Table1[FinalElo])))</f>
        <v>144.71595558743479</v>
      </c>
      <c r="AB986">
        <f>IF(Table1[[#This Row],[CStd]]=0,0, (Table1[[#This Row],[FinalElo]]-Table1[[#This Row],[CAvg]]) / Table1[[#This Row],[CStd]])</f>
        <v>0.51563983509976519</v>
      </c>
      <c r="AC986" t="str">
        <f>IF(Table1[[#This Row],[CStd]]=0,"Normal", IF(ABS(Table1[[#This Row],[CZscore]])&gt;2,"Outlier","Normal"))</f>
        <v>Normal</v>
      </c>
    </row>
    <row r="987" spans="1:29" x14ac:dyDescent="0.35">
      <c r="A987" t="s">
        <v>1142</v>
      </c>
      <c r="B987">
        <v>70.31</v>
      </c>
      <c r="C987">
        <v>185</v>
      </c>
      <c r="D987" t="s">
        <v>52</v>
      </c>
      <c r="E987">
        <v>38</v>
      </c>
      <c r="F987" t="s">
        <v>678</v>
      </c>
      <c r="G987" t="s">
        <v>40</v>
      </c>
      <c r="H987" t="s">
        <v>29</v>
      </c>
      <c r="I987" t="s">
        <v>30</v>
      </c>
      <c r="J987">
        <v>0</v>
      </c>
      <c r="K987">
        <v>1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1</v>
      </c>
      <c r="S987">
        <v>0</v>
      </c>
      <c r="T987">
        <v>0</v>
      </c>
      <c r="U987">
        <v>0</v>
      </c>
      <c r="V987">
        <v>0</v>
      </c>
      <c r="W987">
        <v>1</v>
      </c>
      <c r="X987">
        <v>900</v>
      </c>
      <c r="Y987">
        <v>1000</v>
      </c>
      <c r="Z987">
        <f>AVERAGEIFS(Table1[FinalElo], Table1[Country], Table1[[#This Row],[Country]])</f>
        <v>1039.8985714285714</v>
      </c>
      <c r="AA987" cm="1">
        <f t="array" ref="AA987">IF(COUNTIFS(Table1[Country],Table1[[#This Row],[Country]])=1,0, _xlfn.STDEV.S(IF(Table1[Country]=Table1[[#This Row],[Country]],Table1[FinalElo])))</f>
        <v>194.01778111336392</v>
      </c>
      <c r="AB987">
        <f>IF(Table1[[#This Row],[CStd]]=0,0, (Table1[[#This Row],[FinalElo]]-Table1[[#This Row],[CAvg]]) / Table1[[#This Row],[CStd]])</f>
        <v>-0.72106056788078154</v>
      </c>
      <c r="AC987" t="str">
        <f>IF(Table1[[#This Row],[CStd]]=0,"Normal", IF(ABS(Table1[[#This Row],[CZscore]])&gt;2,"Outlier","Normal"))</f>
        <v>Normal</v>
      </c>
    </row>
    <row r="988" spans="1:29" x14ac:dyDescent="0.35">
      <c r="A988" t="s">
        <v>1140</v>
      </c>
      <c r="B988">
        <v>52.16</v>
      </c>
      <c r="C988">
        <v>175</v>
      </c>
      <c r="D988" t="s">
        <v>60</v>
      </c>
      <c r="E988">
        <v>21</v>
      </c>
      <c r="F988" t="s">
        <v>1141</v>
      </c>
      <c r="G988" t="s">
        <v>40</v>
      </c>
      <c r="H988" t="s">
        <v>29</v>
      </c>
      <c r="I988" t="s">
        <v>36</v>
      </c>
      <c r="J988">
        <v>2</v>
      </c>
      <c r="K988">
        <v>1</v>
      </c>
      <c r="L988">
        <v>0</v>
      </c>
      <c r="M988">
        <v>1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1</v>
      </c>
      <c r="V988">
        <v>0</v>
      </c>
      <c r="W988">
        <v>3</v>
      </c>
      <c r="X988">
        <v>1134.5899999999999</v>
      </c>
      <c r="Y988">
        <v>1134.5899999999999</v>
      </c>
      <c r="Z988">
        <f>AVERAGEIFS(Table1[FinalElo], Table1[Country], Table1[[#This Row],[Country]])</f>
        <v>1034.681315789474</v>
      </c>
      <c r="AA988" cm="1">
        <f t="array" ref="AA988">IF(COUNTIFS(Table1[Country],Table1[[#This Row],[Country]])=1,0, _xlfn.STDEV.S(IF(Table1[Country]=Table1[[#This Row],[Country]],Table1[FinalElo])))</f>
        <v>152.902810204692</v>
      </c>
      <c r="AB988">
        <f>IF(Table1[[#This Row],[CStd]]=0,0, (Table1[[#This Row],[FinalElo]]-Table1[[#This Row],[CAvg]]) / Table1[[#This Row],[CStd]])</f>
        <v>0.65341300187208817</v>
      </c>
      <c r="AC988" t="str">
        <f>IF(Table1[[#This Row],[CStd]]=0,"Normal", IF(ABS(Table1[[#This Row],[CZscore]])&gt;2,"Outlier","Normal"))</f>
        <v>Normal</v>
      </c>
    </row>
    <row r="989" spans="1:29" x14ac:dyDescent="0.35">
      <c r="A989" t="s">
        <v>1139</v>
      </c>
      <c r="B989">
        <v>76.3</v>
      </c>
      <c r="C989">
        <v>194</v>
      </c>
      <c r="D989" t="s">
        <v>218</v>
      </c>
      <c r="E989">
        <v>33</v>
      </c>
      <c r="F989" t="s">
        <v>304</v>
      </c>
      <c r="G989" t="s">
        <v>34</v>
      </c>
      <c r="H989" t="s">
        <v>29</v>
      </c>
      <c r="I989" t="s">
        <v>30</v>
      </c>
      <c r="J989">
        <v>0</v>
      </c>
      <c r="K989">
        <v>1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1</v>
      </c>
      <c r="X989">
        <v>900</v>
      </c>
      <c r="Y989">
        <v>1000</v>
      </c>
      <c r="Z989">
        <f>AVERAGEIFS(Table1[FinalElo], Table1[Country], Table1[[#This Row],[Country]])</f>
        <v>953.02272727272725</v>
      </c>
      <c r="AA989" cm="1">
        <f t="array" ref="AA989">IF(COUNTIFS(Table1[Country],Table1[[#This Row],[Country]])=1,0, _xlfn.STDEV.S(IF(Table1[Country]=Table1[[#This Row],[Country]],Table1[FinalElo])))</f>
        <v>75.051454894746612</v>
      </c>
      <c r="AB989">
        <f>IF(Table1[[#This Row],[CStd]]=0,0, (Table1[[#This Row],[FinalElo]]-Table1[[#This Row],[CAvg]]) / Table1[[#This Row],[CStd]])</f>
        <v>-0.70648500215068699</v>
      </c>
      <c r="AC989" t="str">
        <f>IF(Table1[[#This Row],[CStd]]=0,"Normal", IF(ABS(Table1[[#This Row],[CZscore]])&gt;2,"Outlier","Normal"))</f>
        <v>Normal</v>
      </c>
    </row>
    <row r="990" spans="1:29" x14ac:dyDescent="0.35">
      <c r="A990" t="s">
        <v>1138</v>
      </c>
      <c r="B990">
        <v>56.7</v>
      </c>
      <c r="C990">
        <v>171</v>
      </c>
      <c r="D990" t="s">
        <v>146</v>
      </c>
      <c r="E990">
        <v>31</v>
      </c>
      <c r="F990" t="s">
        <v>133</v>
      </c>
      <c r="G990" t="s">
        <v>34</v>
      </c>
      <c r="H990" t="s">
        <v>29</v>
      </c>
      <c r="I990" t="s">
        <v>58</v>
      </c>
      <c r="J990">
        <v>0</v>
      </c>
      <c r="K990">
        <v>2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1</v>
      </c>
      <c r="S990">
        <v>0</v>
      </c>
      <c r="T990">
        <v>0</v>
      </c>
      <c r="U990">
        <v>1</v>
      </c>
      <c r="V990">
        <v>0</v>
      </c>
      <c r="W990">
        <v>2</v>
      </c>
      <c r="X990">
        <v>848.44</v>
      </c>
      <c r="Y990">
        <v>1000</v>
      </c>
      <c r="Z990">
        <f>AVERAGEIFS(Table1[FinalElo], Table1[Country], Table1[[#This Row],[Country]])</f>
        <v>971.46103448275846</v>
      </c>
      <c r="AA990" cm="1">
        <f t="array" ref="AA990">IF(COUNTIFS(Table1[Country],Table1[[#This Row],[Country]])=1,0, _xlfn.STDEV.S(IF(Table1[Country]=Table1[[#This Row],[Country]],Table1[FinalElo])))</f>
        <v>107.62263899334665</v>
      </c>
      <c r="AB990">
        <f>IF(Table1[[#This Row],[CStd]]=0,0, (Table1[[#This Row],[FinalElo]]-Table1[[#This Row],[CAvg]]) / Table1[[#This Row],[CStd]])</f>
        <v>-1.1430776612935842</v>
      </c>
      <c r="AC990" t="str">
        <f>IF(Table1[[#This Row],[CStd]]=0,"Normal", IF(ABS(Table1[[#This Row],[CZscore]])&gt;2,"Outlier","Normal"))</f>
        <v>Normal</v>
      </c>
    </row>
    <row r="991" spans="1:29" x14ac:dyDescent="0.35">
      <c r="A991" t="s">
        <v>1136</v>
      </c>
      <c r="B991">
        <v>63.502879999999998</v>
      </c>
      <c r="C991">
        <v>175</v>
      </c>
      <c r="D991" t="s">
        <v>89</v>
      </c>
      <c r="E991">
        <v>25</v>
      </c>
      <c r="F991" t="s">
        <v>1137</v>
      </c>
      <c r="G991" t="s">
        <v>34</v>
      </c>
      <c r="H991" t="s">
        <v>29</v>
      </c>
      <c r="I991" t="s">
        <v>73</v>
      </c>
      <c r="J991">
        <v>2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1</v>
      </c>
      <c r="Q991">
        <v>1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2</v>
      </c>
      <c r="X991">
        <v>1135.24</v>
      </c>
      <c r="Y991">
        <v>1135.24</v>
      </c>
      <c r="Z991">
        <f>AVERAGEIFS(Table1[FinalElo], Table1[Country], Table1[[#This Row],[Country]])</f>
        <v>1012.0629025423733</v>
      </c>
      <c r="AA991" cm="1">
        <f t="array" ref="AA991">IF(COUNTIFS(Table1[Country],Table1[[#This Row],[Country]])=1,0, _xlfn.STDEV.S(IF(Table1[Country]=Table1[[#This Row],[Country]],Table1[FinalElo])))</f>
        <v>148.42180446198614</v>
      </c>
      <c r="AB991">
        <f>IF(Table1[[#This Row],[CStd]]=0,0, (Table1[[#This Row],[FinalElo]]-Table1[[#This Row],[CAvg]]) / Table1[[#This Row],[CStd]])</f>
        <v>0.8299124101349602</v>
      </c>
      <c r="AC991" t="str">
        <f>IF(Table1[[#This Row],[CStd]]=0,"Normal", IF(ABS(Table1[[#This Row],[CZscore]])&gt;2,"Outlier","Normal"))</f>
        <v>Normal</v>
      </c>
    </row>
    <row r="992" spans="1:29" x14ac:dyDescent="0.35">
      <c r="A992" t="s">
        <v>65</v>
      </c>
      <c r="B992">
        <v>56.5</v>
      </c>
      <c r="C992">
        <v>160</v>
      </c>
      <c r="D992" t="s">
        <v>52</v>
      </c>
      <c r="E992">
        <v>32</v>
      </c>
      <c r="F992" t="s">
        <v>66</v>
      </c>
      <c r="G992" t="s">
        <v>40</v>
      </c>
      <c r="H992" t="s">
        <v>29</v>
      </c>
      <c r="I992" t="s">
        <v>36</v>
      </c>
      <c r="J992">
        <v>5</v>
      </c>
      <c r="K992">
        <v>4</v>
      </c>
      <c r="L992">
        <v>0</v>
      </c>
      <c r="M992">
        <v>0</v>
      </c>
      <c r="N992">
        <v>3</v>
      </c>
      <c r="O992">
        <v>0</v>
      </c>
      <c r="P992">
        <v>2</v>
      </c>
      <c r="Q992">
        <v>0</v>
      </c>
      <c r="R992">
        <v>1</v>
      </c>
      <c r="S992">
        <v>1</v>
      </c>
      <c r="T992">
        <v>1</v>
      </c>
      <c r="U992">
        <v>0</v>
      </c>
      <c r="V992">
        <v>1</v>
      </c>
      <c r="W992">
        <v>9</v>
      </c>
      <c r="X992">
        <v>1216.95</v>
      </c>
      <c r="Y992">
        <v>1494.78</v>
      </c>
      <c r="Z992">
        <f>AVERAGEIFS(Table1[FinalElo], Table1[Country], Table1[[#This Row],[Country]])</f>
        <v>1039.8985714285714</v>
      </c>
      <c r="AA992" cm="1">
        <f t="array" ref="AA992">IF(COUNTIFS(Table1[Country],Table1[[#This Row],[Country]])=1,0, _xlfn.STDEV.S(IF(Table1[Country]=Table1[[#This Row],[Country]],Table1[FinalElo])))</f>
        <v>194.01778111336392</v>
      </c>
      <c r="AB992">
        <f>IF(Table1[[#This Row],[CStd]]=0,0, (Table1[[#This Row],[FinalElo]]-Table1[[#This Row],[CAvg]]) / Table1[[#This Row],[CStd]])</f>
        <v>0.91255258953805962</v>
      </c>
      <c r="AC992" t="str">
        <f>IF(Table1[[#This Row],[CStd]]=0,"Normal", IF(ABS(Table1[[#This Row],[CZscore]])&gt;2,"Outlier","Normal"))</f>
        <v>Normal</v>
      </c>
    </row>
    <row r="993" spans="1:29" x14ac:dyDescent="0.35">
      <c r="A993" t="s">
        <v>1134</v>
      </c>
      <c r="B993">
        <v>52.616672000000001</v>
      </c>
      <c r="C993">
        <v>165</v>
      </c>
      <c r="D993" t="s">
        <v>89</v>
      </c>
      <c r="E993">
        <v>27</v>
      </c>
      <c r="F993" t="s">
        <v>1135</v>
      </c>
      <c r="G993" t="s">
        <v>34</v>
      </c>
      <c r="H993" t="s">
        <v>29</v>
      </c>
      <c r="I993" t="s">
        <v>36</v>
      </c>
      <c r="J993">
        <v>1</v>
      </c>
      <c r="K993">
        <v>1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2</v>
      </c>
      <c r="X993">
        <v>961.19</v>
      </c>
      <c r="Y993">
        <v>1128.01</v>
      </c>
      <c r="Z993">
        <f>AVERAGEIFS(Table1[FinalElo], Table1[Country], Table1[[#This Row],[Country]])</f>
        <v>1012.0629025423733</v>
      </c>
      <c r="AA993" cm="1">
        <f t="array" ref="AA993">IF(COUNTIFS(Table1[Country],Table1[[#This Row],[Country]])=1,0, _xlfn.STDEV.S(IF(Table1[Country]=Table1[[#This Row],[Country]],Table1[FinalElo])))</f>
        <v>148.42180446198614</v>
      </c>
      <c r="AB993">
        <f>IF(Table1[[#This Row],[CStd]]=0,0, (Table1[[#This Row],[FinalElo]]-Table1[[#This Row],[CAvg]]) / Table1[[#This Row],[CStd]])</f>
        <v>-0.34275895463461264</v>
      </c>
      <c r="AC993" t="str">
        <f>IF(Table1[[#This Row],[CStd]]=0,"Normal", IF(ABS(Table1[[#This Row],[CZscore]])&gt;2,"Outlier","Normal"))</f>
        <v>Normal</v>
      </c>
    </row>
    <row r="994" spans="1:29" x14ac:dyDescent="0.35">
      <c r="A994" t="s">
        <v>1132</v>
      </c>
      <c r="B994">
        <v>56.7</v>
      </c>
      <c r="C994">
        <v>182</v>
      </c>
      <c r="D994" t="s">
        <v>89</v>
      </c>
      <c r="E994">
        <v>18</v>
      </c>
      <c r="F994" t="s">
        <v>1133</v>
      </c>
      <c r="G994" t="s">
        <v>34</v>
      </c>
      <c r="H994" t="s">
        <v>29</v>
      </c>
      <c r="I994" t="s">
        <v>58</v>
      </c>
      <c r="J994">
        <v>1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1</v>
      </c>
      <c r="X994">
        <v>1100</v>
      </c>
      <c r="Y994">
        <v>1100</v>
      </c>
      <c r="Z994">
        <f>AVERAGEIFS(Table1[FinalElo], Table1[Country], Table1[[#This Row],[Country]])</f>
        <v>1012.0629025423733</v>
      </c>
      <c r="AA994" cm="1">
        <f t="array" ref="AA994">IF(COUNTIFS(Table1[Country],Table1[[#This Row],[Country]])=1,0, _xlfn.STDEV.S(IF(Table1[Country]=Table1[[#This Row],[Country]],Table1[FinalElo])))</f>
        <v>148.42180446198614</v>
      </c>
      <c r="AB994">
        <f>IF(Table1[[#This Row],[CStd]]=0,0, (Table1[[#This Row],[FinalElo]]-Table1[[#This Row],[CAvg]]) / Table1[[#This Row],[CStd]])</f>
        <v>0.59248098873605315</v>
      </c>
      <c r="AC994" t="str">
        <f>IF(Table1[[#This Row],[CStd]]=0,"Normal", IF(ABS(Table1[[#This Row],[CZscore]])&gt;2,"Outlier","Normal"))</f>
        <v>Normal</v>
      </c>
    </row>
    <row r="995" spans="1:29" x14ac:dyDescent="0.35">
      <c r="A995" t="s">
        <v>1131</v>
      </c>
      <c r="B995">
        <v>60.9</v>
      </c>
      <c r="C995">
        <v>166</v>
      </c>
      <c r="D995" t="s">
        <v>89</v>
      </c>
      <c r="E995">
        <v>23</v>
      </c>
      <c r="F995" t="s">
        <v>154</v>
      </c>
      <c r="G995" t="s">
        <v>34</v>
      </c>
      <c r="H995" t="s">
        <v>29</v>
      </c>
      <c r="I995" t="s">
        <v>58</v>
      </c>
      <c r="J995">
        <v>8</v>
      </c>
      <c r="K995">
        <v>2</v>
      </c>
      <c r="L995">
        <v>0</v>
      </c>
      <c r="M995">
        <v>0</v>
      </c>
      <c r="N995">
        <v>0</v>
      </c>
      <c r="O995">
        <v>0</v>
      </c>
      <c r="P995">
        <v>1</v>
      </c>
      <c r="Q995">
        <v>0</v>
      </c>
      <c r="R995">
        <v>0</v>
      </c>
      <c r="S995">
        <v>0</v>
      </c>
      <c r="T995">
        <v>0</v>
      </c>
      <c r="U995">
        <v>2</v>
      </c>
      <c r="V995">
        <v>0</v>
      </c>
      <c r="W995">
        <v>10</v>
      </c>
      <c r="X995">
        <v>1563.02</v>
      </c>
      <c r="Y995">
        <v>1563.02</v>
      </c>
      <c r="Z995">
        <f>AVERAGEIFS(Table1[FinalElo], Table1[Country], Table1[[#This Row],[Country]])</f>
        <v>1012.0629025423733</v>
      </c>
      <c r="AA995" cm="1">
        <f t="array" ref="AA995">IF(COUNTIFS(Table1[Country],Table1[[#This Row],[Country]])=1,0, _xlfn.STDEV.S(IF(Table1[Country]=Table1[[#This Row],[Country]],Table1[FinalElo])))</f>
        <v>148.42180446198614</v>
      </c>
      <c r="AB995">
        <f>IF(Table1[[#This Row],[CStd]]=0,0, (Table1[[#This Row],[FinalElo]]-Table1[[#This Row],[CAvg]]) / Table1[[#This Row],[CStd]])</f>
        <v>3.7121034840857097</v>
      </c>
      <c r="AC995" t="str">
        <f>IF(Table1[[#This Row],[CStd]]=0,"Normal", IF(ABS(Table1[[#This Row],[CZscore]])&gt;2,"Outlier","Normal"))</f>
        <v>Outlier</v>
      </c>
    </row>
    <row r="996" spans="1:29" x14ac:dyDescent="0.35">
      <c r="A996" t="s">
        <v>1129</v>
      </c>
      <c r="B996">
        <v>61.688512000000003</v>
      </c>
      <c r="C996">
        <v>173</v>
      </c>
      <c r="D996" t="s">
        <v>89</v>
      </c>
      <c r="E996">
        <v>22</v>
      </c>
      <c r="F996" t="s">
        <v>1130</v>
      </c>
      <c r="G996" t="s">
        <v>34</v>
      </c>
      <c r="H996" t="s">
        <v>29</v>
      </c>
      <c r="I996" t="s">
        <v>73</v>
      </c>
      <c r="J996">
        <v>0</v>
      </c>
      <c r="K996">
        <v>1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1</v>
      </c>
      <c r="X996">
        <v>936.93</v>
      </c>
      <c r="Y996">
        <v>1000</v>
      </c>
      <c r="Z996">
        <f>AVERAGEIFS(Table1[FinalElo], Table1[Country], Table1[[#This Row],[Country]])</f>
        <v>1012.0629025423733</v>
      </c>
      <c r="AA996" cm="1">
        <f t="array" ref="AA996">IF(COUNTIFS(Table1[Country],Table1[[#This Row],[Country]])=1,0, _xlfn.STDEV.S(IF(Table1[Country]=Table1[[#This Row],[Country]],Table1[FinalElo])))</f>
        <v>148.42180446198614</v>
      </c>
      <c r="AB996">
        <f>IF(Table1[[#This Row],[CStd]]=0,0, (Table1[[#This Row],[FinalElo]]-Table1[[#This Row],[CAvg]]) / Table1[[#This Row],[CStd]])</f>
        <v>-0.50621202736836712</v>
      </c>
      <c r="AC996" t="str">
        <f>IF(Table1[[#This Row],[CStd]]=0,"Normal", IF(ABS(Table1[[#This Row],[CZscore]])&gt;2,"Outlier","Normal"))</f>
        <v>Normal</v>
      </c>
    </row>
    <row r="997" spans="1:29" x14ac:dyDescent="0.35">
      <c r="A997" t="s">
        <v>1128</v>
      </c>
      <c r="B997">
        <v>54.431040000000003</v>
      </c>
      <c r="C997">
        <v>164</v>
      </c>
      <c r="D997" t="s">
        <v>89</v>
      </c>
      <c r="E997">
        <v>28</v>
      </c>
      <c r="F997" t="s">
        <v>99</v>
      </c>
      <c r="G997" t="s">
        <v>34</v>
      </c>
      <c r="H997" t="s">
        <v>29</v>
      </c>
      <c r="I997" t="s">
        <v>36</v>
      </c>
      <c r="J997">
        <v>1</v>
      </c>
      <c r="K997">
        <v>2</v>
      </c>
      <c r="L997">
        <v>0</v>
      </c>
      <c r="M997">
        <v>0</v>
      </c>
      <c r="N997">
        <v>0</v>
      </c>
      <c r="O997">
        <v>0</v>
      </c>
      <c r="P997">
        <v>1</v>
      </c>
      <c r="Q997">
        <v>0</v>
      </c>
      <c r="R997">
        <v>0</v>
      </c>
      <c r="S997">
        <v>0</v>
      </c>
      <c r="T997">
        <v>0</v>
      </c>
      <c r="U997">
        <v>2</v>
      </c>
      <c r="V997">
        <v>0</v>
      </c>
      <c r="W997">
        <v>3</v>
      </c>
      <c r="X997">
        <v>923.83</v>
      </c>
      <c r="Y997">
        <v>1135.26</v>
      </c>
      <c r="Z997">
        <f>AVERAGEIFS(Table1[FinalElo], Table1[Country], Table1[[#This Row],[Country]])</f>
        <v>1012.0629025423733</v>
      </c>
      <c r="AA997" cm="1">
        <f t="array" ref="AA997">IF(COUNTIFS(Table1[Country],Table1[[#This Row],[Country]])=1,0, _xlfn.STDEV.S(IF(Table1[Country]=Table1[[#This Row],[Country]],Table1[FinalElo])))</f>
        <v>148.42180446198614</v>
      </c>
      <c r="AB997">
        <f>IF(Table1[[#This Row],[CStd]]=0,0, (Table1[[#This Row],[FinalElo]]-Table1[[#This Row],[CAvg]]) / Table1[[#This Row],[CStd]])</f>
        <v>-0.59447399162278425</v>
      </c>
      <c r="AC997" t="str">
        <f>IF(Table1[[#This Row],[CStd]]=0,"Normal", IF(ABS(Table1[[#This Row],[CZscore]])&gt;2,"Outlier","Normal"))</f>
        <v>Normal</v>
      </c>
    </row>
    <row r="998" spans="1:29" x14ac:dyDescent="0.35">
      <c r="A998" t="s">
        <v>1126</v>
      </c>
      <c r="B998">
        <v>56.7</v>
      </c>
      <c r="C998">
        <v>170</v>
      </c>
      <c r="D998" t="s">
        <v>513</v>
      </c>
      <c r="E998">
        <v>24</v>
      </c>
      <c r="F998" t="s">
        <v>1127</v>
      </c>
      <c r="G998" t="s">
        <v>40</v>
      </c>
      <c r="H998" t="s">
        <v>29</v>
      </c>
      <c r="I998" t="s">
        <v>58</v>
      </c>
      <c r="J998">
        <v>2</v>
      </c>
      <c r="K998">
        <v>1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1</v>
      </c>
      <c r="R998">
        <v>0</v>
      </c>
      <c r="S998">
        <v>0</v>
      </c>
      <c r="T998">
        <v>0</v>
      </c>
      <c r="U998">
        <v>0</v>
      </c>
      <c r="V998">
        <v>1</v>
      </c>
      <c r="W998">
        <v>3</v>
      </c>
      <c r="X998">
        <v>1102.21</v>
      </c>
      <c r="Y998">
        <v>1240.5999999999999</v>
      </c>
      <c r="Z998">
        <f>AVERAGEIFS(Table1[FinalElo], Table1[Country], Table1[[#This Row],[Country]])</f>
        <v>991.92857142857144</v>
      </c>
      <c r="AA998" cm="1">
        <f t="array" ref="AA998">IF(COUNTIFS(Table1[Country],Table1[[#This Row],[Country]])=1,0, _xlfn.STDEV.S(IF(Table1[Country]=Table1[[#This Row],[Country]],Table1[FinalElo])))</f>
        <v>154.84924955929111</v>
      </c>
      <c r="AB998">
        <f>IF(Table1[[#This Row],[CStd]]=0,0, (Table1[[#This Row],[FinalElo]]-Table1[[#This Row],[CAvg]]) / Table1[[#This Row],[CStd]])</f>
        <v>0.71218574765648002</v>
      </c>
      <c r="AC998" t="str">
        <f>IF(Table1[[#This Row],[CStd]]=0,"Normal", IF(ABS(Table1[[#This Row],[CZscore]])&gt;2,"Outlier","Normal"))</f>
        <v>Normal</v>
      </c>
    </row>
    <row r="999" spans="1:29" x14ac:dyDescent="0.35">
      <c r="A999" t="s">
        <v>1124</v>
      </c>
      <c r="B999">
        <v>52.16</v>
      </c>
      <c r="C999">
        <v>174</v>
      </c>
      <c r="D999" t="s">
        <v>60</v>
      </c>
      <c r="E999">
        <v>21</v>
      </c>
      <c r="F999" t="s">
        <v>1125</v>
      </c>
      <c r="G999" t="s">
        <v>40</v>
      </c>
      <c r="H999" t="s">
        <v>29</v>
      </c>
      <c r="I999" t="s">
        <v>36</v>
      </c>
      <c r="J999">
        <v>0</v>
      </c>
      <c r="K999">
        <v>1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1</v>
      </c>
      <c r="T999">
        <v>0</v>
      </c>
      <c r="U999">
        <v>0</v>
      </c>
      <c r="V999">
        <v>0</v>
      </c>
      <c r="W999">
        <v>1</v>
      </c>
      <c r="X999">
        <v>900</v>
      </c>
      <c r="Y999">
        <v>1000</v>
      </c>
      <c r="Z999">
        <f>AVERAGEIFS(Table1[FinalElo], Table1[Country], Table1[[#This Row],[Country]])</f>
        <v>1034.681315789474</v>
      </c>
      <c r="AA999" cm="1">
        <f t="array" ref="AA999">IF(COUNTIFS(Table1[Country],Table1[[#This Row],[Country]])=1,0, _xlfn.STDEV.S(IF(Table1[Country]=Table1[[#This Row],[Country]],Table1[FinalElo])))</f>
        <v>152.902810204692</v>
      </c>
      <c r="AB999">
        <f>IF(Table1[[#This Row],[CStd]]=0,0, (Table1[[#This Row],[FinalElo]]-Table1[[#This Row],[CAvg]]) / Table1[[#This Row],[CStd]])</f>
        <v>-0.88082956493196685</v>
      </c>
      <c r="AC999" t="str">
        <f>IF(Table1[[#This Row],[CStd]]=0,"Normal", IF(ABS(Table1[[#This Row],[CZscore]])&gt;2,"Outlier","Normal"))</f>
        <v>Normal</v>
      </c>
    </row>
    <row r="1000" spans="1:29" x14ac:dyDescent="0.35">
      <c r="A1000" t="s">
        <v>1123</v>
      </c>
      <c r="B1000">
        <v>70.099999999999994</v>
      </c>
      <c r="C1000">
        <v>173</v>
      </c>
      <c r="D1000" t="s">
        <v>52</v>
      </c>
      <c r="E1000">
        <v>35</v>
      </c>
      <c r="F1000" t="s">
        <v>469</v>
      </c>
      <c r="G1000" t="s">
        <v>40</v>
      </c>
      <c r="H1000" t="s">
        <v>29</v>
      </c>
      <c r="I1000" t="s">
        <v>48</v>
      </c>
      <c r="J1000">
        <v>1</v>
      </c>
      <c r="K1000">
        <v>1</v>
      </c>
      <c r="L1000">
        <v>0</v>
      </c>
      <c r="M1000">
        <v>1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1</v>
      </c>
      <c r="V1000">
        <v>0</v>
      </c>
      <c r="W1000">
        <v>2</v>
      </c>
      <c r="X1000">
        <v>937.15</v>
      </c>
      <c r="Y1000">
        <v>1087.5999999999999</v>
      </c>
      <c r="Z1000">
        <f>AVERAGEIFS(Table1[FinalElo], Table1[Country], Table1[[#This Row],[Country]])</f>
        <v>1039.8985714285714</v>
      </c>
      <c r="AA1000" cm="1">
        <f t="array" ref="AA1000">IF(COUNTIFS(Table1[Country],Table1[[#This Row],[Country]])=1,0, _xlfn.STDEV.S(IF(Table1[Country]=Table1[[#This Row],[Country]],Table1[FinalElo])))</f>
        <v>194.01778111336392</v>
      </c>
      <c r="AB1000">
        <f>IF(Table1[[#This Row],[CStd]]=0,0, (Table1[[#This Row],[FinalElo]]-Table1[[#This Row],[CAvg]]) / Table1[[#This Row],[CStd]])</f>
        <v>-0.52958327241427294</v>
      </c>
      <c r="AC1000" t="str">
        <f>IF(Table1[[#This Row],[CStd]]=0,"Normal", IF(ABS(Table1[[#This Row],[CZscore]])&gt;2,"Outlier","Normal"))</f>
        <v>Normal</v>
      </c>
    </row>
    <row r="1001" spans="1:29" x14ac:dyDescent="0.35">
      <c r="A1001" t="s">
        <v>1121</v>
      </c>
      <c r="B1001">
        <v>77.099999999999994</v>
      </c>
      <c r="C1001">
        <v>178</v>
      </c>
      <c r="D1001" t="s">
        <v>52</v>
      </c>
      <c r="E1001">
        <v>36</v>
      </c>
      <c r="F1001" t="s">
        <v>1122</v>
      </c>
      <c r="G1001" t="s">
        <v>40</v>
      </c>
      <c r="H1001" t="s">
        <v>29</v>
      </c>
      <c r="I1001" t="s">
        <v>30</v>
      </c>
      <c r="J1001">
        <v>3</v>
      </c>
      <c r="K1001">
        <v>3</v>
      </c>
      <c r="L1001">
        <v>0</v>
      </c>
      <c r="M1001">
        <v>1</v>
      </c>
      <c r="N1001">
        <v>0</v>
      </c>
      <c r="O1001">
        <v>0</v>
      </c>
      <c r="P1001">
        <v>2</v>
      </c>
      <c r="Q1001">
        <v>0</v>
      </c>
      <c r="R1001">
        <v>1</v>
      </c>
      <c r="S1001">
        <v>2</v>
      </c>
      <c r="T1001">
        <v>0</v>
      </c>
      <c r="U1001">
        <v>0</v>
      </c>
      <c r="V1001">
        <v>0</v>
      </c>
      <c r="W1001">
        <v>6</v>
      </c>
      <c r="X1001">
        <v>928.78</v>
      </c>
      <c r="Y1001">
        <v>1226.17</v>
      </c>
      <c r="Z1001">
        <f>AVERAGEIFS(Table1[FinalElo], Table1[Country], Table1[[#This Row],[Country]])</f>
        <v>1039.8985714285714</v>
      </c>
      <c r="AA1001" cm="1">
        <f t="array" ref="AA1001">IF(COUNTIFS(Table1[Country],Table1[[#This Row],[Country]])=1,0, _xlfn.STDEV.S(IF(Table1[Country]=Table1[[#This Row],[Country]],Table1[FinalElo])))</f>
        <v>194.01778111336392</v>
      </c>
      <c r="AB1001">
        <f>IF(Table1[[#This Row],[CStd]]=0,0, (Table1[[#This Row],[FinalElo]]-Table1[[#This Row],[CAvg]]) / Table1[[#This Row],[CStd]])</f>
        <v>-0.57272364827038813</v>
      </c>
      <c r="AC1001" t="str">
        <f>IF(Table1[[#This Row],[CStd]]=0,"Normal", IF(ABS(Table1[[#This Row],[CZscore]])&gt;2,"Outlier","Normal"))</f>
        <v>Normal</v>
      </c>
    </row>
    <row r="1002" spans="1:29" x14ac:dyDescent="0.35">
      <c r="A1002" t="s">
        <v>1120</v>
      </c>
      <c r="B1002">
        <v>54.1</v>
      </c>
      <c r="C1002">
        <v>167</v>
      </c>
      <c r="D1002" t="s">
        <v>52</v>
      </c>
      <c r="E1002">
        <v>35</v>
      </c>
      <c r="F1002" t="s">
        <v>133</v>
      </c>
      <c r="G1002" t="s">
        <v>28</v>
      </c>
      <c r="H1002" t="s">
        <v>29</v>
      </c>
      <c r="I1002" t="s">
        <v>36</v>
      </c>
      <c r="J1002">
        <v>0</v>
      </c>
      <c r="K1002">
        <v>1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1</v>
      </c>
      <c r="X1002">
        <v>900</v>
      </c>
      <c r="Y1002">
        <v>1000</v>
      </c>
      <c r="Z1002">
        <f>AVERAGEIFS(Table1[FinalElo], Table1[Country], Table1[[#This Row],[Country]])</f>
        <v>1039.8985714285714</v>
      </c>
      <c r="AA1002" cm="1">
        <f t="array" ref="AA1002">IF(COUNTIFS(Table1[Country],Table1[[#This Row],[Country]])=1,0, _xlfn.STDEV.S(IF(Table1[Country]=Table1[[#This Row],[Country]],Table1[FinalElo])))</f>
        <v>194.01778111336392</v>
      </c>
      <c r="AB1002">
        <f>IF(Table1[[#This Row],[CStd]]=0,0, (Table1[[#This Row],[FinalElo]]-Table1[[#This Row],[CAvg]]) / Table1[[#This Row],[CStd]])</f>
        <v>-0.72106056788078154</v>
      </c>
      <c r="AC1002" t="str">
        <f>IF(Table1[[#This Row],[CStd]]=0,"Normal", IF(ABS(Table1[[#This Row],[CZscore]])&gt;2,"Outlier","Normal"))</f>
        <v>Normal</v>
      </c>
    </row>
    <row r="1003" spans="1:29" hidden="1" x14ac:dyDescent="0.35">
      <c r="A1003" t="s">
        <v>1839</v>
      </c>
      <c r="B1003">
        <v>77.099999999999994</v>
      </c>
      <c r="C1003">
        <v>177</v>
      </c>
      <c r="D1003" t="s">
        <v>368</v>
      </c>
      <c r="E1003">
        <v>33</v>
      </c>
      <c r="F1003" t="s">
        <v>1840</v>
      </c>
      <c r="G1003" t="s">
        <v>40</v>
      </c>
      <c r="I1003" t="s">
        <v>30</v>
      </c>
      <c r="J1003">
        <v>0</v>
      </c>
      <c r="K1003">
        <v>1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1</v>
      </c>
      <c r="T1003">
        <v>0</v>
      </c>
      <c r="U1003">
        <v>0</v>
      </c>
      <c r="V1003">
        <v>0</v>
      </c>
      <c r="W1003">
        <v>1</v>
      </c>
      <c r="X1003">
        <v>900</v>
      </c>
      <c r="Y1003">
        <v>1000</v>
      </c>
      <c r="Z1003">
        <f>AVERAGEIFS(Table1[FinalElo], Table1[Country], Table1[[#This Row],[Country]])</f>
        <v>980.53583333333336</v>
      </c>
      <c r="AA1003" cm="1">
        <f t="array" ref="AA1003">IF(COUNTIFS(Table1[Country],Table1[[#This Row],[Country]])=1,0, _xlfn.STDEV.S(IF(Table1[Country]=Table1[[#This Row],[Country]],Table1[FinalElo])))</f>
        <v>85.643213227725752</v>
      </c>
      <c r="AB1003">
        <f>IF(Table1[[#This Row],[CStd]]=0,0, (Table1[[#This Row],[FinalElo]]-Table1[[#This Row],[CAvg]]) / Table1[[#This Row],[CStd]])</f>
        <v>-0.94036445268801572</v>
      </c>
      <c r="AC1003" t="str">
        <f>IF(Table1[[#This Row],[CStd]]=0,"Normal", IF(ABS(Table1[[#This Row],[CZscore]])&gt;2,"Outlier","Normal"))</f>
        <v>Normal</v>
      </c>
    </row>
    <row r="1004" spans="1:29" x14ac:dyDescent="0.35">
      <c r="A1004" t="s">
        <v>1119</v>
      </c>
      <c r="B1004">
        <v>69.900000000000006</v>
      </c>
      <c r="C1004">
        <v>176</v>
      </c>
      <c r="D1004" t="s">
        <v>247</v>
      </c>
      <c r="E1004">
        <v>42</v>
      </c>
      <c r="F1004" t="s">
        <v>258</v>
      </c>
      <c r="G1004" t="s">
        <v>34</v>
      </c>
      <c r="H1004" t="s">
        <v>29</v>
      </c>
      <c r="I1004" t="s">
        <v>48</v>
      </c>
      <c r="J1004">
        <v>3</v>
      </c>
      <c r="K1004">
        <v>1</v>
      </c>
      <c r="L1004">
        <v>0</v>
      </c>
      <c r="M1004">
        <v>0</v>
      </c>
      <c r="N1004">
        <v>0</v>
      </c>
      <c r="O1004">
        <v>0</v>
      </c>
      <c r="P1004">
        <v>2</v>
      </c>
      <c r="Q1004">
        <v>0</v>
      </c>
      <c r="R1004">
        <v>1</v>
      </c>
      <c r="S1004">
        <v>0</v>
      </c>
      <c r="T1004">
        <v>0</v>
      </c>
      <c r="U1004">
        <v>0</v>
      </c>
      <c r="V1004">
        <v>0</v>
      </c>
      <c r="W1004">
        <v>4</v>
      </c>
      <c r="X1004">
        <v>1166.46</v>
      </c>
      <c r="Y1004">
        <v>1254.23</v>
      </c>
      <c r="Z1004">
        <f>AVERAGEIFS(Table1[FinalElo], Table1[Country], Table1[[#This Row],[Country]])</f>
        <v>1050.0176190476191</v>
      </c>
      <c r="AA1004" cm="1">
        <f t="array" ref="AA1004">IF(COUNTIFS(Table1[Country],Table1[[#This Row],[Country]])=1,0, _xlfn.STDEV.S(IF(Table1[Country]=Table1[[#This Row],[Country]],Table1[FinalElo])))</f>
        <v>127.00578096703971</v>
      </c>
      <c r="AB1004">
        <f>IF(Table1[[#This Row],[CStd]]=0,0, (Table1[[#This Row],[FinalElo]]-Table1[[#This Row],[CAvg]]) / Table1[[#This Row],[CStd]])</f>
        <v>0.91682740790043149</v>
      </c>
      <c r="AC1004" t="str">
        <f>IF(Table1[[#This Row],[CStd]]=0,"Normal", IF(ABS(Table1[[#This Row],[CZscore]])&gt;2,"Outlier","Normal"))</f>
        <v>Normal</v>
      </c>
    </row>
    <row r="1005" spans="1:29" x14ac:dyDescent="0.35">
      <c r="A1005" t="s">
        <v>1118</v>
      </c>
      <c r="B1005">
        <v>60.327736000000002</v>
      </c>
      <c r="C1005">
        <v>175</v>
      </c>
      <c r="D1005" t="s">
        <v>52</v>
      </c>
      <c r="E1005">
        <v>27</v>
      </c>
      <c r="F1005" t="s">
        <v>33</v>
      </c>
      <c r="G1005" t="s">
        <v>34</v>
      </c>
      <c r="H1005" t="s">
        <v>29</v>
      </c>
      <c r="I1005" t="s">
        <v>58</v>
      </c>
      <c r="J1005">
        <v>1</v>
      </c>
      <c r="K1005">
        <v>1</v>
      </c>
      <c r="L1005">
        <v>0</v>
      </c>
      <c r="M1005">
        <v>0</v>
      </c>
      <c r="N1005">
        <v>0</v>
      </c>
      <c r="O1005">
        <v>0</v>
      </c>
      <c r="P1005">
        <v>1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2</v>
      </c>
      <c r="X1005">
        <v>948.05</v>
      </c>
      <c r="Y1005">
        <v>1100</v>
      </c>
      <c r="Z1005">
        <f>AVERAGEIFS(Table1[FinalElo], Table1[Country], Table1[[#This Row],[Country]])</f>
        <v>1039.8985714285714</v>
      </c>
      <c r="AA1005" cm="1">
        <f t="array" ref="AA1005">IF(COUNTIFS(Table1[Country],Table1[[#This Row],[Country]])=1,0, _xlfn.STDEV.S(IF(Table1[Country]=Table1[[#This Row],[Country]],Table1[FinalElo])))</f>
        <v>194.01778111336392</v>
      </c>
      <c r="AB1005">
        <f>IF(Table1[[#This Row],[CStd]]=0,0, (Table1[[#This Row],[FinalElo]]-Table1[[#This Row],[CAvg]]) / Table1[[#This Row],[CStd]])</f>
        <v>-0.47340285463271325</v>
      </c>
      <c r="AC1005" t="str">
        <f>IF(Table1[[#This Row],[CStd]]=0,"Normal", IF(ABS(Table1[[#This Row],[CZscore]])&gt;2,"Outlier","Normal"))</f>
        <v>Normal</v>
      </c>
    </row>
    <row r="1006" spans="1:29" x14ac:dyDescent="0.35">
      <c r="A1006" t="s">
        <v>1116</v>
      </c>
      <c r="B1006">
        <v>61.23</v>
      </c>
      <c r="C1006">
        <v>180</v>
      </c>
      <c r="D1006" t="s">
        <v>52</v>
      </c>
      <c r="E1006">
        <v>22</v>
      </c>
      <c r="F1006" t="s">
        <v>1117</v>
      </c>
      <c r="G1006" t="s">
        <v>40</v>
      </c>
      <c r="H1006" t="s">
        <v>29</v>
      </c>
      <c r="I1006" t="s">
        <v>73</v>
      </c>
      <c r="J1006">
        <v>1</v>
      </c>
      <c r="K1006">
        <v>0</v>
      </c>
      <c r="L1006">
        <v>0</v>
      </c>
      <c r="M1006">
        <v>1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1</v>
      </c>
      <c r="X1006">
        <v>1100</v>
      </c>
      <c r="Y1006">
        <v>1100</v>
      </c>
      <c r="Z1006">
        <f>AVERAGEIFS(Table1[FinalElo], Table1[Country], Table1[[#This Row],[Country]])</f>
        <v>1039.8985714285714</v>
      </c>
      <c r="AA1006" cm="1">
        <f t="array" ref="AA1006">IF(COUNTIFS(Table1[Country],Table1[[#This Row],[Country]])=1,0, _xlfn.STDEV.S(IF(Table1[Country]=Table1[[#This Row],[Country]],Table1[FinalElo])))</f>
        <v>194.01778111336392</v>
      </c>
      <c r="AB1006">
        <f>IF(Table1[[#This Row],[CStd]]=0,0, (Table1[[#This Row],[FinalElo]]-Table1[[#This Row],[CAvg]]) / Table1[[#This Row],[CStd]])</f>
        <v>0.30977278590930585</v>
      </c>
      <c r="AC1006" t="str">
        <f>IF(Table1[[#This Row],[CStd]]=0,"Normal", IF(ABS(Table1[[#This Row],[CZscore]])&gt;2,"Outlier","Normal"))</f>
        <v>Normal</v>
      </c>
    </row>
    <row r="1007" spans="1:29" x14ac:dyDescent="0.35">
      <c r="A1007" t="s">
        <v>1114</v>
      </c>
      <c r="B1007">
        <v>63.502879999999998</v>
      </c>
      <c r="C1007">
        <v>173</v>
      </c>
      <c r="D1007" t="s">
        <v>436</v>
      </c>
      <c r="E1007">
        <v>23</v>
      </c>
      <c r="F1007" t="s">
        <v>1115</v>
      </c>
      <c r="G1007" t="s">
        <v>34</v>
      </c>
      <c r="H1007" t="s">
        <v>29</v>
      </c>
      <c r="I1007" t="s">
        <v>73</v>
      </c>
      <c r="J1007">
        <v>0</v>
      </c>
      <c r="K1007">
        <v>1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1</v>
      </c>
      <c r="X1007">
        <v>967.56</v>
      </c>
      <c r="Y1007">
        <v>1000</v>
      </c>
      <c r="Z1007">
        <f>AVERAGEIFS(Table1[FinalElo], Table1[Country], Table1[[#This Row],[Country]])</f>
        <v>1053.6925000000001</v>
      </c>
      <c r="AA1007" cm="1">
        <f t="array" ref="AA1007">IF(COUNTIFS(Table1[Country],Table1[[#This Row],[Country]])=1,0, _xlfn.STDEV.S(IF(Table1[Country]=Table1[[#This Row],[Country]],Table1[FinalElo])))</f>
        <v>84.046811311712901</v>
      </c>
      <c r="AB1007">
        <f>IF(Table1[[#This Row],[CStd]]=0,0, (Table1[[#This Row],[FinalElo]]-Table1[[#This Row],[CAvg]]) / Table1[[#This Row],[CStd]])</f>
        <v>-1.024815797955164</v>
      </c>
      <c r="AC1007" t="str">
        <f>IF(Table1[[#This Row],[CStd]]=0,"Normal", IF(ABS(Table1[[#This Row],[CZscore]])&gt;2,"Outlier","Normal"))</f>
        <v>Normal</v>
      </c>
    </row>
    <row r="1008" spans="1:29" x14ac:dyDescent="0.35">
      <c r="A1008" t="s">
        <v>1111</v>
      </c>
      <c r="B1008">
        <v>61.23</v>
      </c>
      <c r="C1008">
        <v>171</v>
      </c>
      <c r="D1008" t="s">
        <v>1112</v>
      </c>
      <c r="E1008">
        <v>32</v>
      </c>
      <c r="F1008" t="s">
        <v>1113</v>
      </c>
      <c r="G1008" t="s">
        <v>34</v>
      </c>
      <c r="H1008" t="s">
        <v>29</v>
      </c>
      <c r="I1008" t="s">
        <v>73</v>
      </c>
      <c r="J1008">
        <v>2</v>
      </c>
      <c r="K1008">
        <v>0</v>
      </c>
      <c r="L1008">
        <v>0</v>
      </c>
      <c r="M1008">
        <v>1</v>
      </c>
      <c r="N1008">
        <v>0</v>
      </c>
      <c r="O1008">
        <v>0</v>
      </c>
      <c r="P1008">
        <v>1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2</v>
      </c>
      <c r="X1008">
        <v>1178.6099999999999</v>
      </c>
      <c r="Y1008">
        <v>1178.6099999999999</v>
      </c>
      <c r="Z1008">
        <f>AVERAGEIFS(Table1[FinalElo], Table1[Country], Table1[[#This Row],[Country]])</f>
        <v>1178.6099999999999</v>
      </c>
      <c r="AA1008" cm="1">
        <f t="array" ref="AA1008">IF(COUNTIFS(Table1[Country],Table1[[#This Row],[Country]])=1,0, _xlfn.STDEV.S(IF(Table1[Country]=Table1[[#This Row],[Country]],Table1[FinalElo])))</f>
        <v>0</v>
      </c>
      <c r="AB1008">
        <f>IF(Table1[[#This Row],[CStd]]=0,0, (Table1[[#This Row],[FinalElo]]-Table1[[#This Row],[CAvg]]) / Table1[[#This Row],[CStd]])</f>
        <v>0</v>
      </c>
      <c r="AC1008" t="str">
        <f>IF(Table1[[#This Row],[CStd]]=0,"Normal", IF(ABS(Table1[[#This Row],[CZscore]])&gt;2,"Outlier","Normal"))</f>
        <v>Normal</v>
      </c>
    </row>
    <row r="1009" spans="1:29" x14ac:dyDescent="0.35">
      <c r="A1009" t="s">
        <v>1109</v>
      </c>
      <c r="B1009">
        <v>62.595695999999997</v>
      </c>
      <c r="C1009">
        <v>167</v>
      </c>
      <c r="D1009" t="s">
        <v>89</v>
      </c>
      <c r="E1009">
        <v>29</v>
      </c>
      <c r="F1009" t="s">
        <v>1110</v>
      </c>
      <c r="G1009" t="s">
        <v>34</v>
      </c>
      <c r="H1009" t="s">
        <v>29</v>
      </c>
      <c r="I1009" t="s">
        <v>73</v>
      </c>
      <c r="J1009">
        <v>2</v>
      </c>
      <c r="K1009">
        <v>2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1</v>
      </c>
      <c r="S1009">
        <v>0</v>
      </c>
      <c r="T1009">
        <v>0</v>
      </c>
      <c r="U1009">
        <v>0</v>
      </c>
      <c r="V1009">
        <v>0</v>
      </c>
      <c r="W1009">
        <v>4</v>
      </c>
      <c r="X1009">
        <v>918.65</v>
      </c>
      <c r="Y1009">
        <v>1171.99</v>
      </c>
      <c r="Z1009">
        <f>AVERAGEIFS(Table1[FinalElo], Table1[Country], Table1[[#This Row],[Country]])</f>
        <v>1012.0629025423733</v>
      </c>
      <c r="AA1009" cm="1">
        <f t="array" ref="AA1009">IF(COUNTIFS(Table1[Country],Table1[[#This Row],[Country]])=1,0, _xlfn.STDEV.S(IF(Table1[Country]=Table1[[#This Row],[Country]],Table1[FinalElo])))</f>
        <v>148.42180446198614</v>
      </c>
      <c r="AB1009">
        <f>IF(Table1[[#This Row],[CStd]]=0,0, (Table1[[#This Row],[FinalElo]]-Table1[[#This Row],[CAvg]]) / Table1[[#This Row],[CStd]])</f>
        <v>-0.62937452405315741</v>
      </c>
      <c r="AC1009" t="str">
        <f>IF(Table1[[#This Row],[CStd]]=0,"Normal", IF(ABS(Table1[[#This Row],[CZscore]])&gt;2,"Outlier","Normal"))</f>
        <v>Normal</v>
      </c>
    </row>
    <row r="1010" spans="1:29" x14ac:dyDescent="0.35">
      <c r="A1010" t="s">
        <v>1108</v>
      </c>
      <c r="B1010">
        <v>60.781328000000002</v>
      </c>
      <c r="C1010">
        <v>173</v>
      </c>
      <c r="D1010" t="s">
        <v>89</v>
      </c>
      <c r="E1010">
        <v>19</v>
      </c>
      <c r="F1010" t="s">
        <v>674</v>
      </c>
      <c r="G1010" t="s">
        <v>34</v>
      </c>
      <c r="H1010" t="s">
        <v>29</v>
      </c>
      <c r="I1010" t="s">
        <v>58</v>
      </c>
      <c r="J1010">
        <v>0</v>
      </c>
      <c r="K1010">
        <v>1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1</v>
      </c>
      <c r="W1010">
        <v>1</v>
      </c>
      <c r="X1010">
        <v>900</v>
      </c>
      <c r="Y1010">
        <v>1000</v>
      </c>
      <c r="Z1010">
        <f>AVERAGEIFS(Table1[FinalElo], Table1[Country], Table1[[#This Row],[Country]])</f>
        <v>1012.0629025423733</v>
      </c>
      <c r="AA1010" cm="1">
        <f t="array" ref="AA1010">IF(COUNTIFS(Table1[Country],Table1[[#This Row],[Country]])=1,0, _xlfn.STDEV.S(IF(Table1[Country]=Table1[[#This Row],[Country]],Table1[FinalElo])))</f>
        <v>148.42180446198614</v>
      </c>
      <c r="AB1010">
        <f>IF(Table1[[#This Row],[CStd]]=0,0, (Table1[[#This Row],[FinalElo]]-Table1[[#This Row],[CAvg]]) / Table1[[#This Row],[CStd]])</f>
        <v>-0.75502991591154589</v>
      </c>
      <c r="AC1010" t="str">
        <f>IF(Table1[[#This Row],[CStd]]=0,"Normal", IF(ABS(Table1[[#This Row],[CZscore]])&gt;2,"Outlier","Normal"))</f>
        <v>Normal</v>
      </c>
    </row>
    <row r="1011" spans="1:29" x14ac:dyDescent="0.35">
      <c r="A1011" t="s">
        <v>1106</v>
      </c>
      <c r="B1011">
        <v>59.874144000000001</v>
      </c>
      <c r="C1011">
        <v>173</v>
      </c>
      <c r="D1011" t="s">
        <v>71</v>
      </c>
      <c r="E1011">
        <v>22</v>
      </c>
      <c r="F1011" t="s">
        <v>1107</v>
      </c>
      <c r="G1011" t="s">
        <v>34</v>
      </c>
      <c r="H1011" t="s">
        <v>29</v>
      </c>
      <c r="I1011" t="s">
        <v>58</v>
      </c>
      <c r="J1011">
        <v>0</v>
      </c>
      <c r="K1011">
        <v>1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1</v>
      </c>
      <c r="V1011">
        <v>0</v>
      </c>
      <c r="W1011">
        <v>1</v>
      </c>
      <c r="X1011">
        <v>931.59</v>
      </c>
      <c r="Y1011">
        <v>1000</v>
      </c>
      <c r="Z1011">
        <f>AVERAGEIFS(Table1[FinalElo], Table1[Country], Table1[[#This Row],[Country]])</f>
        <v>991.47826086956536</v>
      </c>
      <c r="AA1011" cm="1">
        <f t="array" ref="AA1011">IF(COUNTIFS(Table1[Country],Table1[[#This Row],[Country]])=1,0, _xlfn.STDEV.S(IF(Table1[Country]=Table1[[#This Row],[Country]],Table1[FinalElo])))</f>
        <v>164.61500422203164</v>
      </c>
      <c r="AB1011">
        <f>IF(Table1[[#This Row],[CStd]]=0,0, (Table1[[#This Row],[FinalElo]]-Table1[[#This Row],[CAvg]]) / Table1[[#This Row],[CStd]])</f>
        <v>-0.36380803288616653</v>
      </c>
      <c r="AC1011" t="str">
        <f>IF(Table1[[#This Row],[CStd]]=0,"Normal", IF(ABS(Table1[[#This Row],[CZscore]])&gt;2,"Outlier","Normal"))</f>
        <v>Normal</v>
      </c>
    </row>
    <row r="1012" spans="1:29" x14ac:dyDescent="0.35">
      <c r="A1012" t="s">
        <v>1104</v>
      </c>
      <c r="B1012">
        <v>60.6</v>
      </c>
      <c r="C1012">
        <v>169</v>
      </c>
      <c r="D1012" t="s">
        <v>71</v>
      </c>
      <c r="E1012">
        <v>32</v>
      </c>
      <c r="F1012" t="s">
        <v>1105</v>
      </c>
      <c r="G1012" t="s">
        <v>34</v>
      </c>
      <c r="H1012" t="s">
        <v>29</v>
      </c>
      <c r="I1012" t="s">
        <v>58</v>
      </c>
      <c r="J1012">
        <v>1</v>
      </c>
      <c r="K1012">
        <v>3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3</v>
      </c>
      <c r="V1012">
        <v>0</v>
      </c>
      <c r="W1012">
        <v>4</v>
      </c>
      <c r="X1012">
        <v>943.19</v>
      </c>
      <c r="Y1012">
        <v>1037.4100000000001</v>
      </c>
      <c r="Z1012">
        <f>AVERAGEIFS(Table1[FinalElo], Table1[Country], Table1[[#This Row],[Country]])</f>
        <v>991.47826086956536</v>
      </c>
      <c r="AA1012" cm="1">
        <f t="array" ref="AA1012">IF(COUNTIFS(Table1[Country],Table1[[#This Row],[Country]])=1,0, _xlfn.STDEV.S(IF(Table1[Country]=Table1[[#This Row],[Country]],Table1[FinalElo])))</f>
        <v>164.61500422203164</v>
      </c>
      <c r="AB1012">
        <f>IF(Table1[[#This Row],[CStd]]=0,0, (Table1[[#This Row],[FinalElo]]-Table1[[#This Row],[CAvg]]) / Table1[[#This Row],[CStd]])</f>
        <v>-0.29334058033029853</v>
      </c>
      <c r="AC1012" t="str">
        <f>IF(Table1[[#This Row],[CStd]]=0,"Normal", IF(ABS(Table1[[#This Row],[CZscore]])&gt;2,"Outlier","Normal"))</f>
        <v>Normal</v>
      </c>
    </row>
    <row r="1013" spans="1:29" x14ac:dyDescent="0.35">
      <c r="A1013" t="s">
        <v>1102</v>
      </c>
      <c r="B1013">
        <v>62.595695999999997</v>
      </c>
      <c r="C1013">
        <v>170</v>
      </c>
      <c r="D1013" t="s">
        <v>89</v>
      </c>
      <c r="E1013">
        <v>30</v>
      </c>
      <c r="F1013" t="s">
        <v>1103</v>
      </c>
      <c r="G1013" t="s">
        <v>34</v>
      </c>
      <c r="H1013" t="s">
        <v>29</v>
      </c>
      <c r="I1013" t="s">
        <v>73</v>
      </c>
      <c r="J1013">
        <v>2</v>
      </c>
      <c r="K1013">
        <v>1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1</v>
      </c>
      <c r="V1013">
        <v>0</v>
      </c>
      <c r="W1013">
        <v>3</v>
      </c>
      <c r="X1013">
        <v>1080.03</v>
      </c>
      <c r="Y1013">
        <v>1100</v>
      </c>
      <c r="Z1013">
        <f>AVERAGEIFS(Table1[FinalElo], Table1[Country], Table1[[#This Row],[Country]])</f>
        <v>1012.0629025423733</v>
      </c>
      <c r="AA1013" cm="1">
        <f t="array" ref="AA1013">IF(COUNTIFS(Table1[Country],Table1[[#This Row],[Country]])=1,0, _xlfn.STDEV.S(IF(Table1[Country]=Table1[[#This Row],[Country]],Table1[FinalElo])))</f>
        <v>148.42180446198614</v>
      </c>
      <c r="AB1013">
        <f>IF(Table1[[#This Row],[CStd]]=0,0, (Table1[[#This Row],[FinalElo]]-Table1[[#This Row],[CAvg]]) / Table1[[#This Row],[CStd]])</f>
        <v>0.4579320249069902</v>
      </c>
      <c r="AC1013" t="str">
        <f>IF(Table1[[#This Row],[CStd]]=0,"Normal", IF(ABS(Table1[[#This Row],[CZscore]])&gt;2,"Outlier","Normal"))</f>
        <v>Normal</v>
      </c>
    </row>
    <row r="1014" spans="1:29" x14ac:dyDescent="0.35">
      <c r="A1014" t="s">
        <v>1100</v>
      </c>
      <c r="B1014">
        <v>70.3</v>
      </c>
      <c r="C1014">
        <v>178</v>
      </c>
      <c r="D1014" t="s">
        <v>358</v>
      </c>
      <c r="E1014">
        <v>33</v>
      </c>
      <c r="F1014" t="s">
        <v>1101</v>
      </c>
      <c r="G1014" t="s">
        <v>40</v>
      </c>
      <c r="H1014" t="s">
        <v>29</v>
      </c>
      <c r="I1014" t="s">
        <v>48</v>
      </c>
      <c r="J1014">
        <v>1</v>
      </c>
      <c r="K1014">
        <v>0</v>
      </c>
      <c r="L1014">
        <v>0</v>
      </c>
      <c r="M1014">
        <v>1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1</v>
      </c>
      <c r="X1014">
        <v>1071.99</v>
      </c>
      <c r="Y1014">
        <v>1071.99</v>
      </c>
      <c r="Z1014">
        <f>AVERAGEIFS(Table1[FinalElo], Table1[Country], Table1[[#This Row],[Country]])</f>
        <v>974.61500000000012</v>
      </c>
      <c r="AA1014" cm="1">
        <f t="array" ref="AA1014">IF(COUNTIFS(Table1[Country],Table1[[#This Row],[Country]])=1,0, _xlfn.STDEV.S(IF(Table1[Country]=Table1[[#This Row],[Country]],Table1[FinalElo])))</f>
        <v>146.82246313768914</v>
      </c>
      <c r="AB1014">
        <f>IF(Table1[[#This Row],[CStd]]=0,0, (Table1[[#This Row],[FinalElo]]-Table1[[#This Row],[CAvg]]) / Table1[[#This Row],[CStd]])</f>
        <v>0.66321595428270574</v>
      </c>
      <c r="AC1014" t="str">
        <f>IF(Table1[[#This Row],[CStd]]=0,"Normal", IF(ABS(Table1[[#This Row],[CZscore]])&gt;2,"Outlier","Normal"))</f>
        <v>Normal</v>
      </c>
    </row>
    <row r="1015" spans="1:29" x14ac:dyDescent="0.35">
      <c r="A1015" t="s">
        <v>1098</v>
      </c>
      <c r="B1015">
        <v>83.5</v>
      </c>
      <c r="C1015">
        <v>178</v>
      </c>
      <c r="D1015" t="s">
        <v>174</v>
      </c>
      <c r="E1015">
        <v>26</v>
      </c>
      <c r="F1015" t="s">
        <v>1099</v>
      </c>
      <c r="G1015" t="s">
        <v>54</v>
      </c>
      <c r="H1015" t="s">
        <v>29</v>
      </c>
      <c r="I1015" t="s">
        <v>50</v>
      </c>
      <c r="J1015">
        <v>0</v>
      </c>
      <c r="K1015">
        <v>1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1</v>
      </c>
      <c r="T1015">
        <v>0</v>
      </c>
      <c r="U1015">
        <v>0</v>
      </c>
      <c r="V1015">
        <v>0</v>
      </c>
      <c r="W1015">
        <v>1</v>
      </c>
      <c r="X1015">
        <v>989.14</v>
      </c>
      <c r="Y1015">
        <v>1000</v>
      </c>
      <c r="Z1015">
        <f>AVERAGEIFS(Table1[FinalElo], Table1[Country], Table1[[#This Row],[Country]])</f>
        <v>980.52444444444427</v>
      </c>
      <c r="AA1015" cm="1">
        <f t="array" ref="AA1015">IF(COUNTIFS(Table1[Country],Table1[[#This Row],[Country]])=1,0, _xlfn.STDEV.S(IF(Table1[Country]=Table1[[#This Row],[Country]],Table1[FinalElo])))</f>
        <v>143.66034832022171</v>
      </c>
      <c r="AB1015">
        <f>IF(Table1[[#This Row],[CStd]]=0,0, (Table1[[#This Row],[FinalElo]]-Table1[[#This Row],[CAvg]]) / Table1[[#This Row],[CStd]])</f>
        <v>5.9971701699841867E-2</v>
      </c>
      <c r="AC1015" t="str">
        <f>IF(Table1[[#This Row],[CStd]]=0,"Normal", IF(ABS(Table1[[#This Row],[CZscore]])&gt;2,"Outlier","Normal"))</f>
        <v>Normal</v>
      </c>
    </row>
    <row r="1016" spans="1:29" x14ac:dyDescent="0.35">
      <c r="A1016" t="s">
        <v>1096</v>
      </c>
      <c r="B1016">
        <v>70.31</v>
      </c>
      <c r="C1016">
        <v>190</v>
      </c>
      <c r="D1016" t="s">
        <v>38</v>
      </c>
      <c r="E1016">
        <v>24</v>
      </c>
      <c r="F1016" t="s">
        <v>1097</v>
      </c>
      <c r="G1016" t="s">
        <v>40</v>
      </c>
      <c r="H1016" t="s">
        <v>29</v>
      </c>
      <c r="I1016" t="s">
        <v>30</v>
      </c>
      <c r="J1016">
        <v>1</v>
      </c>
      <c r="K1016">
        <v>0</v>
      </c>
      <c r="L1016">
        <v>0</v>
      </c>
      <c r="M1016">
        <v>0</v>
      </c>
      <c r="N1016">
        <v>1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1</v>
      </c>
      <c r="X1016">
        <v>1128.01</v>
      </c>
      <c r="Y1016">
        <v>1128.01</v>
      </c>
      <c r="Z1016">
        <f>AVERAGEIFS(Table1[FinalElo], Table1[Country], Table1[[#This Row],[Country]])</f>
        <v>1057.4495402298851</v>
      </c>
      <c r="AA1016" cm="1">
        <f t="array" ref="AA1016">IF(COUNTIFS(Table1[Country],Table1[[#This Row],[Country]])=1,0, _xlfn.STDEV.S(IF(Table1[Country]=Table1[[#This Row],[Country]],Table1[FinalElo])))</f>
        <v>156.98667602259493</v>
      </c>
      <c r="AB1016">
        <f>IF(Table1[[#This Row],[CStd]]=0,0, (Table1[[#This Row],[FinalElo]]-Table1[[#This Row],[CAvg]]) / Table1[[#This Row],[CStd]])</f>
        <v>0.4494678246449349</v>
      </c>
      <c r="AC1016" t="str">
        <f>IF(Table1[[#This Row],[CStd]]=0,"Normal", IF(ABS(Table1[[#This Row],[CZscore]])&gt;2,"Outlier","Normal"))</f>
        <v>Normal</v>
      </c>
    </row>
    <row r="1017" spans="1:29" x14ac:dyDescent="0.35">
      <c r="A1017" t="s">
        <v>1094</v>
      </c>
      <c r="B1017">
        <v>66.678023999999994</v>
      </c>
      <c r="C1017">
        <v>167</v>
      </c>
      <c r="D1017" t="s">
        <v>38</v>
      </c>
      <c r="E1017">
        <v>27</v>
      </c>
      <c r="F1017" t="s">
        <v>1095</v>
      </c>
      <c r="G1017" t="s">
        <v>40</v>
      </c>
      <c r="H1017" t="s">
        <v>29</v>
      </c>
      <c r="I1017" t="s">
        <v>48</v>
      </c>
      <c r="J1017">
        <v>3</v>
      </c>
      <c r="K1017">
        <v>2</v>
      </c>
      <c r="L1017">
        <v>0</v>
      </c>
      <c r="M1017">
        <v>1</v>
      </c>
      <c r="N1017">
        <v>1</v>
      </c>
      <c r="O1017">
        <v>0</v>
      </c>
      <c r="P1017">
        <v>1</v>
      </c>
      <c r="Q1017">
        <v>0</v>
      </c>
      <c r="R1017">
        <v>1</v>
      </c>
      <c r="S1017">
        <v>0</v>
      </c>
      <c r="T1017">
        <v>0</v>
      </c>
      <c r="U1017">
        <v>1</v>
      </c>
      <c r="V1017">
        <v>0</v>
      </c>
      <c r="W1017">
        <v>5</v>
      </c>
      <c r="X1017">
        <v>949.35</v>
      </c>
      <c r="Y1017">
        <v>1226.17</v>
      </c>
      <c r="Z1017">
        <f>AVERAGEIFS(Table1[FinalElo], Table1[Country], Table1[[#This Row],[Country]])</f>
        <v>1057.4495402298851</v>
      </c>
      <c r="AA1017" cm="1">
        <f t="array" ref="AA1017">IF(COUNTIFS(Table1[Country],Table1[[#This Row],[Country]])=1,0, _xlfn.STDEV.S(IF(Table1[Country]=Table1[[#This Row],[Country]],Table1[FinalElo])))</f>
        <v>156.98667602259493</v>
      </c>
      <c r="AB1017">
        <f>IF(Table1[[#This Row],[CStd]]=0,0, (Table1[[#This Row],[FinalElo]]-Table1[[#This Row],[CAvg]]) / Table1[[#This Row],[CStd]])</f>
        <v>-0.6885905413675133</v>
      </c>
      <c r="AC1017" t="str">
        <f>IF(Table1[[#This Row],[CStd]]=0,"Normal", IF(ABS(Table1[[#This Row],[CZscore]])&gt;2,"Outlier","Normal"))</f>
        <v>Normal</v>
      </c>
    </row>
    <row r="1018" spans="1:29" x14ac:dyDescent="0.35">
      <c r="A1018" t="s">
        <v>1092</v>
      </c>
      <c r="B1018">
        <v>60.8</v>
      </c>
      <c r="C1018">
        <v>165</v>
      </c>
      <c r="D1018" t="s">
        <v>38</v>
      </c>
      <c r="E1018">
        <v>31</v>
      </c>
      <c r="F1018" t="s">
        <v>1093</v>
      </c>
      <c r="G1018" t="s">
        <v>40</v>
      </c>
      <c r="H1018" t="s">
        <v>29</v>
      </c>
      <c r="I1018" t="s">
        <v>58</v>
      </c>
      <c r="J1018">
        <v>0</v>
      </c>
      <c r="K1018">
        <v>1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1</v>
      </c>
      <c r="S1018">
        <v>0</v>
      </c>
      <c r="T1018">
        <v>0</v>
      </c>
      <c r="U1018">
        <v>0</v>
      </c>
      <c r="V1018">
        <v>0</v>
      </c>
      <c r="W1018">
        <v>1</v>
      </c>
      <c r="X1018">
        <v>875.94</v>
      </c>
      <c r="Y1018">
        <v>1000</v>
      </c>
      <c r="Z1018">
        <f>AVERAGEIFS(Table1[FinalElo], Table1[Country], Table1[[#This Row],[Country]])</f>
        <v>1057.4495402298851</v>
      </c>
      <c r="AA1018" cm="1">
        <f t="array" ref="AA1018">IF(COUNTIFS(Table1[Country],Table1[[#This Row],[Country]])=1,0, _xlfn.STDEV.S(IF(Table1[Country]=Table1[[#This Row],[Country]],Table1[FinalElo])))</f>
        <v>156.98667602259493</v>
      </c>
      <c r="AB1018">
        <f>IF(Table1[[#This Row],[CStd]]=0,0, (Table1[[#This Row],[FinalElo]]-Table1[[#This Row],[CAvg]]) / Table1[[#This Row],[CStd]])</f>
        <v>-1.1562098442275479</v>
      </c>
      <c r="AC1018" t="str">
        <f>IF(Table1[[#This Row],[CStd]]=0,"Normal", IF(ABS(Table1[[#This Row],[CZscore]])&gt;2,"Outlier","Normal"))</f>
        <v>Normal</v>
      </c>
    </row>
    <row r="1019" spans="1:29" x14ac:dyDescent="0.35">
      <c r="A1019" t="s">
        <v>1090</v>
      </c>
      <c r="B1019">
        <v>83.91</v>
      </c>
      <c r="C1019">
        <v>186</v>
      </c>
      <c r="D1019" t="s">
        <v>38</v>
      </c>
      <c r="E1019">
        <v>29</v>
      </c>
      <c r="F1019" t="s">
        <v>1091</v>
      </c>
      <c r="G1019" t="s">
        <v>40</v>
      </c>
      <c r="H1019" t="s">
        <v>29</v>
      </c>
      <c r="I1019" t="s">
        <v>41</v>
      </c>
      <c r="J1019">
        <v>2</v>
      </c>
      <c r="K1019">
        <v>0</v>
      </c>
      <c r="L1019">
        <v>0</v>
      </c>
      <c r="M1019">
        <v>2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2</v>
      </c>
      <c r="X1019">
        <v>1171.99</v>
      </c>
      <c r="Y1019">
        <v>1171.99</v>
      </c>
      <c r="Z1019">
        <f>AVERAGEIFS(Table1[FinalElo], Table1[Country], Table1[[#This Row],[Country]])</f>
        <v>1057.4495402298851</v>
      </c>
      <c r="AA1019" cm="1">
        <f t="array" ref="AA1019">IF(COUNTIFS(Table1[Country],Table1[[#This Row],[Country]])=1,0, _xlfn.STDEV.S(IF(Table1[Country]=Table1[[#This Row],[Country]],Table1[FinalElo])))</f>
        <v>156.98667602259493</v>
      </c>
      <c r="AB1019">
        <f>IF(Table1[[#This Row],[CStd]]=0,0, (Table1[[#This Row],[FinalElo]]-Table1[[#This Row],[CAvg]]) / Table1[[#This Row],[CStd]])</f>
        <v>0.72961898851612872</v>
      </c>
      <c r="AC1019" t="str">
        <f>IF(Table1[[#This Row],[CStd]]=0,"Normal", IF(ABS(Table1[[#This Row],[CZscore]])&gt;2,"Outlier","Normal"))</f>
        <v>Normal</v>
      </c>
    </row>
    <row r="1020" spans="1:29" x14ac:dyDescent="0.35">
      <c r="A1020" t="s">
        <v>1089</v>
      </c>
      <c r="B1020">
        <v>57.1</v>
      </c>
      <c r="C1020">
        <v>167</v>
      </c>
      <c r="D1020" t="s">
        <v>38</v>
      </c>
      <c r="E1020">
        <v>24</v>
      </c>
      <c r="F1020" t="s">
        <v>252</v>
      </c>
      <c r="G1020" t="s">
        <v>34</v>
      </c>
      <c r="H1020" t="s">
        <v>29</v>
      </c>
      <c r="I1020" t="s">
        <v>58</v>
      </c>
      <c r="J1020">
        <v>0</v>
      </c>
      <c r="K1020">
        <v>1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1</v>
      </c>
      <c r="V1020">
        <v>0</v>
      </c>
      <c r="W1020">
        <v>1</v>
      </c>
      <c r="X1020">
        <v>946.99</v>
      </c>
      <c r="Y1020">
        <v>1000</v>
      </c>
      <c r="Z1020">
        <f>AVERAGEIFS(Table1[FinalElo], Table1[Country], Table1[[#This Row],[Country]])</f>
        <v>1057.4495402298851</v>
      </c>
      <c r="AA1020" cm="1">
        <f t="array" ref="AA1020">IF(COUNTIFS(Table1[Country],Table1[[#This Row],[Country]])=1,0, _xlfn.STDEV.S(IF(Table1[Country]=Table1[[#This Row],[Country]],Table1[FinalElo])))</f>
        <v>156.98667602259493</v>
      </c>
      <c r="AB1020">
        <f>IF(Table1[[#This Row],[CStd]]=0,0, (Table1[[#This Row],[FinalElo]]-Table1[[#This Row],[CAvg]]) / Table1[[#This Row],[CStd]])</f>
        <v>-0.70362366430375756</v>
      </c>
      <c r="AC1020" t="str">
        <f>IF(Table1[[#This Row],[CStd]]=0,"Normal", IF(ABS(Table1[[#This Row],[CZscore]])&gt;2,"Outlier","Normal"))</f>
        <v>Normal</v>
      </c>
    </row>
    <row r="1021" spans="1:29" x14ac:dyDescent="0.35">
      <c r="A1021" t="s">
        <v>1088</v>
      </c>
      <c r="B1021">
        <v>70</v>
      </c>
      <c r="C1021">
        <v>182</v>
      </c>
      <c r="D1021" t="s">
        <v>38</v>
      </c>
      <c r="E1021">
        <v>28</v>
      </c>
      <c r="F1021" t="s">
        <v>252</v>
      </c>
      <c r="G1021" t="s">
        <v>40</v>
      </c>
      <c r="H1021" t="s">
        <v>29</v>
      </c>
      <c r="I1021" t="s">
        <v>48</v>
      </c>
      <c r="J1021">
        <v>3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2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3</v>
      </c>
      <c r="X1021">
        <v>1279.58</v>
      </c>
      <c r="Y1021">
        <v>1279.58</v>
      </c>
      <c r="Z1021">
        <f>AVERAGEIFS(Table1[FinalElo], Table1[Country], Table1[[#This Row],[Country]])</f>
        <v>1057.4495402298851</v>
      </c>
      <c r="AA1021" cm="1">
        <f t="array" ref="AA1021">IF(COUNTIFS(Table1[Country],Table1[[#This Row],[Country]])=1,0, _xlfn.STDEV.S(IF(Table1[Country]=Table1[[#This Row],[Country]],Table1[FinalElo])))</f>
        <v>156.98667602259493</v>
      </c>
      <c r="AB1021">
        <f>IF(Table1[[#This Row],[CStd]]=0,0, (Table1[[#This Row],[FinalElo]]-Table1[[#This Row],[CAvg]]) / Table1[[#This Row],[CStd]])</f>
        <v>1.4149637752578685</v>
      </c>
      <c r="AC1021" t="str">
        <f>IF(Table1[[#This Row],[CStd]]=0,"Normal", IF(ABS(Table1[[#This Row],[CZscore]])&gt;2,"Outlier","Normal"))</f>
        <v>Normal</v>
      </c>
    </row>
    <row r="1022" spans="1:29" x14ac:dyDescent="0.35">
      <c r="A1022" t="s">
        <v>1085</v>
      </c>
      <c r="B1022">
        <v>83.9</v>
      </c>
      <c r="C1022">
        <v>180</v>
      </c>
      <c r="D1022" t="s">
        <v>1086</v>
      </c>
      <c r="E1022">
        <v>-1</v>
      </c>
      <c r="F1022" t="s">
        <v>1087</v>
      </c>
      <c r="G1022" t="s">
        <v>40</v>
      </c>
      <c r="H1022" t="s">
        <v>29</v>
      </c>
      <c r="I1022" t="s">
        <v>50</v>
      </c>
      <c r="J1022">
        <v>2</v>
      </c>
      <c r="K1022">
        <v>2</v>
      </c>
      <c r="L1022">
        <v>1</v>
      </c>
      <c r="M1022">
        <v>0</v>
      </c>
      <c r="N1022">
        <v>2</v>
      </c>
      <c r="O1022">
        <v>0</v>
      </c>
      <c r="P1022">
        <v>0</v>
      </c>
      <c r="Q1022">
        <v>0</v>
      </c>
      <c r="R1022">
        <v>1</v>
      </c>
      <c r="S1022">
        <v>0</v>
      </c>
      <c r="T1022">
        <v>0</v>
      </c>
      <c r="U1022">
        <v>0</v>
      </c>
      <c r="V1022">
        <v>0</v>
      </c>
      <c r="W1022">
        <v>5</v>
      </c>
      <c r="X1022">
        <v>1064.42</v>
      </c>
      <c r="Y1022">
        <v>1219.72</v>
      </c>
      <c r="Z1022">
        <f>AVERAGEIFS(Table1[FinalElo], Table1[Country], Table1[[#This Row],[Country]])</f>
        <v>958.61333333333334</v>
      </c>
      <c r="AA1022" cm="1">
        <f t="array" ref="AA1022">IF(COUNTIFS(Table1[Country],Table1[[#This Row],[Country]])=1,0, _xlfn.STDEV.S(IF(Table1[Country]=Table1[[#This Row],[Country]],Table1[FinalElo])))</f>
        <v>120.13982700725606</v>
      </c>
      <c r="AB1022">
        <f>IF(Table1[[#This Row],[CStd]]=0,0, (Table1[[#This Row],[FinalElo]]-Table1[[#This Row],[CAvg]]) / Table1[[#This Row],[CStd]])</f>
        <v>0.8806960131570386</v>
      </c>
      <c r="AC1022" t="str">
        <f>IF(Table1[[#This Row],[CStd]]=0,"Normal", IF(ABS(Table1[[#This Row],[CZscore]])&gt;2,"Outlier","Normal"))</f>
        <v>Normal</v>
      </c>
    </row>
    <row r="1023" spans="1:29" x14ac:dyDescent="0.35">
      <c r="A1023" t="s">
        <v>1081</v>
      </c>
      <c r="B1023">
        <v>55.5</v>
      </c>
      <c r="C1023">
        <v>173</v>
      </c>
      <c r="D1023" t="s">
        <v>82</v>
      </c>
      <c r="E1023">
        <v>28</v>
      </c>
      <c r="F1023" t="s">
        <v>1082</v>
      </c>
      <c r="G1023" t="s">
        <v>34</v>
      </c>
      <c r="H1023" t="s">
        <v>29</v>
      </c>
      <c r="I1023" t="s">
        <v>36</v>
      </c>
      <c r="J1023">
        <v>2</v>
      </c>
      <c r="K1023">
        <v>1</v>
      </c>
      <c r="L1023">
        <v>0</v>
      </c>
      <c r="M1023">
        <v>0</v>
      </c>
      <c r="N1023">
        <v>0</v>
      </c>
      <c r="O1023">
        <v>0</v>
      </c>
      <c r="P1023">
        <v>1</v>
      </c>
      <c r="Q1023">
        <v>0</v>
      </c>
      <c r="R1023">
        <v>0</v>
      </c>
      <c r="S1023">
        <v>0</v>
      </c>
      <c r="T1023">
        <v>0</v>
      </c>
      <c r="U1023">
        <v>1</v>
      </c>
      <c r="V1023">
        <v>0</v>
      </c>
      <c r="W1023">
        <v>3</v>
      </c>
      <c r="X1023">
        <v>1000.56</v>
      </c>
      <c r="Y1023">
        <v>1138.42</v>
      </c>
      <c r="Z1023">
        <f>AVERAGEIFS(Table1[FinalElo], Table1[Country], Table1[[#This Row],[Country]])</f>
        <v>1012.5275373134326</v>
      </c>
      <c r="AA1023" cm="1">
        <f t="array" ref="AA1023">IF(COUNTIFS(Table1[Country],Table1[[#This Row],[Country]])=1,0, _xlfn.STDEV.S(IF(Table1[Country]=Table1[[#This Row],[Country]],Table1[FinalElo])))</f>
        <v>135.61062237674741</v>
      </c>
      <c r="AB1023">
        <f>IF(Table1[[#This Row],[CStd]]=0,0, (Table1[[#This Row],[FinalElo]]-Table1[[#This Row],[CAvg]]) / Table1[[#This Row],[CStd]])</f>
        <v>-8.8249261773793733E-2</v>
      </c>
      <c r="AC1023" t="str">
        <f>IF(Table1[[#This Row],[CStd]]=0,"Normal", IF(ABS(Table1[[#This Row],[CZscore]])&gt;2,"Outlier","Normal"))</f>
        <v>Normal</v>
      </c>
    </row>
    <row r="1024" spans="1:29" x14ac:dyDescent="0.35">
      <c r="A1024" t="s">
        <v>1080</v>
      </c>
      <c r="B1024">
        <v>56.7</v>
      </c>
      <c r="C1024">
        <v>170</v>
      </c>
      <c r="D1024" t="s">
        <v>193</v>
      </c>
      <c r="E1024">
        <v>27</v>
      </c>
      <c r="F1024" t="s">
        <v>419</v>
      </c>
      <c r="G1024" t="s">
        <v>40</v>
      </c>
      <c r="H1024" t="s">
        <v>29</v>
      </c>
      <c r="I1024" t="s">
        <v>58</v>
      </c>
      <c r="J1024">
        <v>2</v>
      </c>
      <c r="K1024">
        <v>1</v>
      </c>
      <c r="L1024">
        <v>0</v>
      </c>
      <c r="M1024">
        <v>0</v>
      </c>
      <c r="N1024">
        <v>1</v>
      </c>
      <c r="O1024">
        <v>0</v>
      </c>
      <c r="P1024">
        <v>1</v>
      </c>
      <c r="Q1024">
        <v>0</v>
      </c>
      <c r="R1024">
        <v>0</v>
      </c>
      <c r="S1024">
        <v>1</v>
      </c>
      <c r="T1024">
        <v>0</v>
      </c>
      <c r="U1024">
        <v>0</v>
      </c>
      <c r="V1024">
        <v>0</v>
      </c>
      <c r="W1024">
        <v>3</v>
      </c>
      <c r="X1024">
        <v>1074.3399999999999</v>
      </c>
      <c r="Y1024">
        <v>1203.2</v>
      </c>
      <c r="Z1024">
        <f>AVERAGEIFS(Table1[FinalElo], Table1[Country], Table1[[#This Row],[Country]])</f>
        <v>997.06500000000005</v>
      </c>
      <c r="AA1024" cm="1">
        <f t="array" ref="AA1024">IF(COUNTIFS(Table1[Country],Table1[[#This Row],[Country]])=1,0, _xlfn.STDEV.S(IF(Table1[Country]=Table1[[#This Row],[Country]],Table1[FinalElo])))</f>
        <v>135.83076329441192</v>
      </c>
      <c r="AB1024">
        <f>IF(Table1[[#This Row],[CStd]]=0,0, (Table1[[#This Row],[FinalElo]]-Table1[[#This Row],[CAvg]]) / Table1[[#This Row],[CStd]])</f>
        <v>0.56890646953449719</v>
      </c>
      <c r="AC1024" t="str">
        <f>IF(Table1[[#This Row],[CStd]]=0,"Normal", IF(ABS(Table1[[#This Row],[CZscore]])&gt;2,"Outlier","Normal"))</f>
        <v>Normal</v>
      </c>
    </row>
    <row r="1025" spans="1:29" x14ac:dyDescent="0.35">
      <c r="A1025" t="s">
        <v>1077</v>
      </c>
      <c r="B1025">
        <v>123.8</v>
      </c>
      <c r="C1025">
        <v>194</v>
      </c>
      <c r="D1025" t="s">
        <v>1078</v>
      </c>
      <c r="E1025">
        <v>40</v>
      </c>
      <c r="F1025" t="s">
        <v>1079</v>
      </c>
      <c r="G1025" t="s">
        <v>28</v>
      </c>
      <c r="H1025" t="s">
        <v>29</v>
      </c>
      <c r="I1025" t="s">
        <v>94</v>
      </c>
      <c r="J1025">
        <v>0</v>
      </c>
      <c r="K1025">
        <v>1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1</v>
      </c>
      <c r="X1025">
        <v>900</v>
      </c>
      <c r="Y1025">
        <v>1000</v>
      </c>
      <c r="Z1025">
        <f>AVERAGEIFS(Table1[FinalElo], Table1[Country], Table1[[#This Row],[Country]])</f>
        <v>900</v>
      </c>
      <c r="AA1025" cm="1">
        <f t="array" ref="AA1025">IF(COUNTIFS(Table1[Country],Table1[[#This Row],[Country]])=1,0, _xlfn.STDEV.S(IF(Table1[Country]=Table1[[#This Row],[Country]],Table1[FinalElo])))</f>
        <v>0</v>
      </c>
      <c r="AB1025">
        <f>IF(Table1[[#This Row],[CStd]]=0,0, (Table1[[#This Row],[FinalElo]]-Table1[[#This Row],[CAvg]]) / Table1[[#This Row],[CStd]])</f>
        <v>0</v>
      </c>
      <c r="AC1025" t="str">
        <f>IF(Table1[[#This Row],[CStd]]=0,"Normal", IF(ABS(Table1[[#This Row],[CZscore]])&gt;2,"Outlier","Normal"))</f>
        <v>Normal</v>
      </c>
    </row>
    <row r="1026" spans="1:29" x14ac:dyDescent="0.35">
      <c r="A1026" t="s">
        <v>1075</v>
      </c>
      <c r="B1026">
        <v>56.7</v>
      </c>
      <c r="C1026">
        <v>160</v>
      </c>
      <c r="D1026" t="s">
        <v>60</v>
      </c>
      <c r="E1026">
        <v>29</v>
      </c>
      <c r="F1026" t="s">
        <v>1076</v>
      </c>
      <c r="G1026" t="s">
        <v>40</v>
      </c>
      <c r="H1026" t="s">
        <v>29</v>
      </c>
      <c r="I1026" t="s">
        <v>58</v>
      </c>
      <c r="J1026">
        <v>2</v>
      </c>
      <c r="K1026">
        <v>0</v>
      </c>
      <c r="L1026">
        <v>0</v>
      </c>
      <c r="M1026">
        <v>2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2</v>
      </c>
      <c r="X1026">
        <v>1200</v>
      </c>
      <c r="Y1026">
        <v>1200</v>
      </c>
      <c r="Z1026">
        <f>AVERAGEIFS(Table1[FinalElo], Table1[Country], Table1[[#This Row],[Country]])</f>
        <v>1034.681315789474</v>
      </c>
      <c r="AA1026" cm="1">
        <f t="array" ref="AA1026">IF(COUNTIFS(Table1[Country],Table1[[#This Row],[Country]])=1,0, _xlfn.STDEV.S(IF(Table1[Country]=Table1[[#This Row],[Country]],Table1[FinalElo])))</f>
        <v>152.902810204692</v>
      </c>
      <c r="AB1026">
        <f>IF(Table1[[#This Row],[CStd]]=0,0, (Table1[[#This Row],[FinalElo]]-Table1[[#This Row],[CAvg]]) / Table1[[#This Row],[CStd]])</f>
        <v>1.0812010844615141</v>
      </c>
      <c r="AC1026" t="str">
        <f>IF(Table1[[#This Row],[CStd]]=0,"Normal", IF(ABS(Table1[[#This Row],[CZscore]])&gt;2,"Outlier","Normal"))</f>
        <v>Normal</v>
      </c>
    </row>
    <row r="1027" spans="1:29" x14ac:dyDescent="0.35">
      <c r="A1027" t="s">
        <v>1073</v>
      </c>
      <c r="B1027">
        <v>46.719976000000003</v>
      </c>
      <c r="C1027">
        <v>153</v>
      </c>
      <c r="D1027" t="s">
        <v>60</v>
      </c>
      <c r="E1027">
        <v>24</v>
      </c>
      <c r="F1027" t="s">
        <v>1074</v>
      </c>
      <c r="G1027" t="s">
        <v>34</v>
      </c>
      <c r="H1027" t="s">
        <v>29</v>
      </c>
      <c r="I1027" t="s">
        <v>55</v>
      </c>
      <c r="J1027">
        <v>3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2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3</v>
      </c>
      <c r="X1027">
        <v>1226.17</v>
      </c>
      <c r="Y1027">
        <v>1226.17</v>
      </c>
      <c r="Z1027">
        <f>AVERAGEIFS(Table1[FinalElo], Table1[Country], Table1[[#This Row],[Country]])</f>
        <v>1034.681315789474</v>
      </c>
      <c r="AA1027" cm="1">
        <f t="array" ref="AA1027">IF(COUNTIFS(Table1[Country],Table1[[#This Row],[Country]])=1,0, _xlfn.STDEV.S(IF(Table1[Country]=Table1[[#This Row],[Country]],Table1[FinalElo])))</f>
        <v>152.902810204692</v>
      </c>
      <c r="AB1027">
        <f>IF(Table1[[#This Row],[CStd]]=0,0, (Table1[[#This Row],[FinalElo]]-Table1[[#This Row],[CAvg]]) / Table1[[#This Row],[CStd]])</f>
        <v>1.2523555581102725</v>
      </c>
      <c r="AC1027" t="str">
        <f>IF(Table1[[#This Row],[CStd]]=0,"Normal", IF(ABS(Table1[[#This Row],[CZscore]])&gt;2,"Outlier","Normal"))</f>
        <v>Normal</v>
      </c>
    </row>
    <row r="1028" spans="1:29" x14ac:dyDescent="0.35">
      <c r="A1028" t="s">
        <v>1071</v>
      </c>
      <c r="B1028">
        <v>77.099999999999994</v>
      </c>
      <c r="C1028">
        <v>184</v>
      </c>
      <c r="D1028" t="s">
        <v>38</v>
      </c>
      <c r="E1028">
        <v>34</v>
      </c>
      <c r="F1028" t="s">
        <v>1072</v>
      </c>
      <c r="G1028" t="s">
        <v>28</v>
      </c>
      <c r="H1028" t="s">
        <v>29</v>
      </c>
      <c r="I1028" t="s">
        <v>30</v>
      </c>
      <c r="J1028">
        <v>0</v>
      </c>
      <c r="K1028">
        <v>2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1</v>
      </c>
      <c r="V1028">
        <v>1</v>
      </c>
      <c r="W1028">
        <v>2</v>
      </c>
      <c r="X1028">
        <v>911.82</v>
      </c>
      <c r="Y1028">
        <v>1000</v>
      </c>
      <c r="Z1028">
        <f>AVERAGEIFS(Table1[FinalElo], Table1[Country], Table1[[#This Row],[Country]])</f>
        <v>1057.4495402298851</v>
      </c>
      <c r="AA1028" cm="1">
        <f t="array" ref="AA1028">IF(COUNTIFS(Table1[Country],Table1[[#This Row],[Country]])=1,0, _xlfn.STDEV.S(IF(Table1[Country]=Table1[[#This Row],[Country]],Table1[FinalElo])))</f>
        <v>156.98667602259493</v>
      </c>
      <c r="AB1028">
        <f>IF(Table1[[#This Row],[CStd]]=0,0, (Table1[[#This Row],[FinalElo]]-Table1[[#This Row],[CAvg]]) / Table1[[#This Row],[CStd]])</f>
        <v>-0.92765541585787015</v>
      </c>
      <c r="AC1028" t="str">
        <f>IF(Table1[[#This Row],[CStd]]=0,"Normal", IF(ABS(Table1[[#This Row],[CZscore]])&gt;2,"Outlier","Normal"))</f>
        <v>Normal</v>
      </c>
    </row>
    <row r="1029" spans="1:29" x14ac:dyDescent="0.35">
      <c r="A1029" t="s">
        <v>1068</v>
      </c>
      <c r="B1029">
        <v>72.099999999999994</v>
      </c>
      <c r="C1029">
        <v>177</v>
      </c>
      <c r="D1029" t="s">
        <v>1069</v>
      </c>
      <c r="E1029">
        <v>30</v>
      </c>
      <c r="F1029" t="s">
        <v>1070</v>
      </c>
      <c r="G1029" t="s">
        <v>40</v>
      </c>
      <c r="H1029" t="s">
        <v>29</v>
      </c>
      <c r="I1029" t="s">
        <v>30</v>
      </c>
      <c r="J1029">
        <v>0</v>
      </c>
      <c r="K1029">
        <v>1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1</v>
      </c>
      <c r="S1029">
        <v>0</v>
      </c>
      <c r="T1029">
        <v>0</v>
      </c>
      <c r="U1029">
        <v>0</v>
      </c>
      <c r="V1029">
        <v>0</v>
      </c>
      <c r="W1029">
        <v>1</v>
      </c>
      <c r="X1029">
        <v>900</v>
      </c>
      <c r="Y1029">
        <v>1000</v>
      </c>
      <c r="Z1029">
        <f>AVERAGEIFS(Table1[FinalElo], Table1[Country], Table1[[#This Row],[Country]])</f>
        <v>1056.635</v>
      </c>
      <c r="AA1029" cm="1">
        <f t="array" ref="AA1029">IF(COUNTIFS(Table1[Country],Table1[[#This Row],[Country]])=1,0, _xlfn.STDEV.S(IF(Table1[Country]=Table1[[#This Row],[Country]],Table1[FinalElo])))</f>
        <v>221.51534134231031</v>
      </c>
      <c r="AB1029">
        <f>IF(Table1[[#This Row],[CStd]]=0,0, (Table1[[#This Row],[FinalElo]]-Table1[[#This Row],[CAvg]]) / Table1[[#This Row],[CStd]])</f>
        <v>-0.70710678118654569</v>
      </c>
      <c r="AC1029" t="str">
        <f>IF(Table1[[#This Row],[CStd]]=0,"Normal", IF(ABS(Table1[[#This Row],[CZscore]])&gt;2,"Outlier","Normal"))</f>
        <v>Normal</v>
      </c>
    </row>
    <row r="1030" spans="1:29" x14ac:dyDescent="0.35">
      <c r="A1030" t="s">
        <v>1065</v>
      </c>
      <c r="B1030">
        <v>83.9</v>
      </c>
      <c r="C1030">
        <v>178</v>
      </c>
      <c r="D1030" t="s">
        <v>1066</v>
      </c>
      <c r="E1030">
        <v>32</v>
      </c>
      <c r="F1030" t="s">
        <v>1067</v>
      </c>
      <c r="G1030" t="s">
        <v>40</v>
      </c>
      <c r="H1030" t="s">
        <v>29</v>
      </c>
      <c r="I1030" t="s">
        <v>50</v>
      </c>
      <c r="J1030">
        <v>2</v>
      </c>
      <c r="K1030">
        <v>1</v>
      </c>
      <c r="L1030">
        <v>0</v>
      </c>
      <c r="M1030">
        <v>0</v>
      </c>
      <c r="N1030">
        <v>1</v>
      </c>
      <c r="O1030">
        <v>0</v>
      </c>
      <c r="P1030">
        <v>1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1</v>
      </c>
      <c r="W1030">
        <v>3</v>
      </c>
      <c r="X1030">
        <v>1204.52</v>
      </c>
      <c r="Y1030">
        <v>1204.52</v>
      </c>
      <c r="Z1030">
        <f>AVERAGEIFS(Table1[FinalElo], Table1[Country], Table1[[#This Row],[Country]])</f>
        <v>1204.52</v>
      </c>
      <c r="AA1030" cm="1">
        <f t="array" ref="AA1030">IF(COUNTIFS(Table1[Country],Table1[[#This Row],[Country]])=1,0, _xlfn.STDEV.S(IF(Table1[Country]=Table1[[#This Row],[Country]],Table1[FinalElo])))</f>
        <v>0</v>
      </c>
      <c r="AB1030">
        <f>IF(Table1[[#This Row],[CStd]]=0,0, (Table1[[#This Row],[FinalElo]]-Table1[[#This Row],[CAvg]]) / Table1[[#This Row],[CStd]])</f>
        <v>0</v>
      </c>
      <c r="AC1030" t="str">
        <f>IF(Table1[[#This Row],[CStd]]=0,"Normal", IF(ABS(Table1[[#This Row],[CZscore]])&gt;2,"Outlier","Normal"))</f>
        <v>Normal</v>
      </c>
    </row>
    <row r="1031" spans="1:29" x14ac:dyDescent="0.35">
      <c r="A1031" t="s">
        <v>1063</v>
      </c>
      <c r="B1031">
        <v>61.23</v>
      </c>
      <c r="C1031">
        <v>170</v>
      </c>
      <c r="D1031" t="s">
        <v>247</v>
      </c>
      <c r="E1031">
        <v>28</v>
      </c>
      <c r="F1031" t="s">
        <v>1064</v>
      </c>
      <c r="G1031" t="s">
        <v>40</v>
      </c>
      <c r="H1031" t="s">
        <v>29</v>
      </c>
      <c r="I1031" t="s">
        <v>73</v>
      </c>
      <c r="J1031">
        <v>2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2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2</v>
      </c>
      <c r="X1031">
        <v>1171.99</v>
      </c>
      <c r="Y1031">
        <v>1171.99</v>
      </c>
      <c r="Z1031">
        <f>AVERAGEIFS(Table1[FinalElo], Table1[Country], Table1[[#This Row],[Country]])</f>
        <v>1050.0176190476191</v>
      </c>
      <c r="AA1031" cm="1">
        <f t="array" ref="AA1031">IF(COUNTIFS(Table1[Country],Table1[[#This Row],[Country]])=1,0, _xlfn.STDEV.S(IF(Table1[Country]=Table1[[#This Row],[Country]],Table1[FinalElo])))</f>
        <v>127.00578096703971</v>
      </c>
      <c r="AB1031">
        <f>IF(Table1[[#This Row],[CStd]]=0,0, (Table1[[#This Row],[FinalElo]]-Table1[[#This Row],[CAvg]]) / Table1[[#This Row],[CStd]])</f>
        <v>0.9603687330109405</v>
      </c>
      <c r="AC1031" t="str">
        <f>IF(Table1[[#This Row],[CStd]]=0,"Normal", IF(ABS(Table1[[#This Row],[CZscore]])&gt;2,"Outlier","Normal"))</f>
        <v>Normal</v>
      </c>
    </row>
    <row r="1032" spans="1:29" x14ac:dyDescent="0.35">
      <c r="A1032" t="s">
        <v>1061</v>
      </c>
      <c r="B1032">
        <v>70</v>
      </c>
      <c r="C1032">
        <v>170</v>
      </c>
      <c r="D1032" t="s">
        <v>32</v>
      </c>
      <c r="E1032">
        <v>32</v>
      </c>
      <c r="F1032" t="s">
        <v>1062</v>
      </c>
      <c r="G1032" t="s">
        <v>40</v>
      </c>
      <c r="H1032" t="s">
        <v>29</v>
      </c>
      <c r="I1032" t="s">
        <v>48</v>
      </c>
      <c r="J1032">
        <v>0</v>
      </c>
      <c r="K1032">
        <v>1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1</v>
      </c>
      <c r="V1032">
        <v>0</v>
      </c>
      <c r="W1032">
        <v>1</v>
      </c>
      <c r="X1032">
        <v>900</v>
      </c>
      <c r="Y1032">
        <v>1000</v>
      </c>
      <c r="Z1032">
        <f>AVERAGEIFS(Table1[FinalElo], Table1[Country], Table1[[#This Row],[Country]])</f>
        <v>1025.3786885245902</v>
      </c>
      <c r="AA1032" cm="1">
        <f t="array" ref="AA1032">IF(COUNTIFS(Table1[Country],Table1[[#This Row],[Country]])=1,0, _xlfn.STDEV.S(IF(Table1[Country]=Table1[[#This Row],[Country]],Table1[FinalElo])))</f>
        <v>144.71595558743479</v>
      </c>
      <c r="AB1032">
        <f>IF(Table1[[#This Row],[CStd]]=0,0, (Table1[[#This Row],[FinalElo]]-Table1[[#This Row],[CAvg]]) / Table1[[#This Row],[CStd]])</f>
        <v>-0.86637778132791055</v>
      </c>
      <c r="AC1032" t="str">
        <f>IF(Table1[[#This Row],[CStd]]=0,"Normal", IF(ABS(Table1[[#This Row],[CZscore]])&gt;2,"Outlier","Normal"))</f>
        <v>Normal</v>
      </c>
    </row>
    <row r="1033" spans="1:29" x14ac:dyDescent="0.35">
      <c r="A1033" t="s">
        <v>1059</v>
      </c>
      <c r="B1033">
        <v>58.96696</v>
      </c>
      <c r="C1033">
        <v>172</v>
      </c>
      <c r="D1033" t="s">
        <v>89</v>
      </c>
      <c r="E1033">
        <v>21</v>
      </c>
      <c r="F1033" t="s">
        <v>1060</v>
      </c>
      <c r="G1033" t="s">
        <v>34</v>
      </c>
      <c r="H1033" t="s">
        <v>29</v>
      </c>
      <c r="I1033" t="s">
        <v>58</v>
      </c>
      <c r="J1033">
        <v>1</v>
      </c>
      <c r="K1033">
        <v>2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1</v>
      </c>
      <c r="V1033">
        <v>1</v>
      </c>
      <c r="W1033">
        <v>3</v>
      </c>
      <c r="X1033">
        <v>914.1</v>
      </c>
      <c r="Y1033">
        <v>1100</v>
      </c>
      <c r="Z1033">
        <f>AVERAGEIFS(Table1[FinalElo], Table1[Country], Table1[[#This Row],[Country]])</f>
        <v>1012.0629025423733</v>
      </c>
      <c r="AA1033" cm="1">
        <f t="array" ref="AA1033">IF(COUNTIFS(Table1[Country],Table1[[#This Row],[Country]])=1,0, _xlfn.STDEV.S(IF(Table1[Country]=Table1[[#This Row],[Country]],Table1[FinalElo])))</f>
        <v>148.42180446198614</v>
      </c>
      <c r="AB1033">
        <f>IF(Table1[[#This Row],[CStd]]=0,0, (Table1[[#This Row],[FinalElo]]-Table1[[#This Row],[CAvg]]) / Table1[[#This Row],[CStd]])</f>
        <v>-0.66003039713389</v>
      </c>
      <c r="AC1033" t="str">
        <f>IF(Table1[[#This Row],[CStd]]=0,"Normal", IF(ABS(Table1[[#This Row],[CZscore]])&gt;2,"Outlier","Normal"))</f>
        <v>Normal</v>
      </c>
    </row>
    <row r="1034" spans="1:29" x14ac:dyDescent="0.35">
      <c r="A1034" t="s">
        <v>1057</v>
      </c>
      <c r="B1034">
        <v>52.9</v>
      </c>
      <c r="C1034">
        <v>169</v>
      </c>
      <c r="D1034" t="s">
        <v>210</v>
      </c>
      <c r="E1034">
        <v>19</v>
      </c>
      <c r="F1034" t="s">
        <v>1058</v>
      </c>
      <c r="G1034" t="s">
        <v>34</v>
      </c>
      <c r="H1034" t="s">
        <v>29</v>
      </c>
      <c r="I1034" t="s">
        <v>36</v>
      </c>
      <c r="J1034">
        <v>2</v>
      </c>
      <c r="K1034">
        <v>0</v>
      </c>
      <c r="L1034">
        <v>0</v>
      </c>
      <c r="M1034">
        <v>1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2</v>
      </c>
      <c r="X1034">
        <v>1249.73</v>
      </c>
      <c r="Y1034">
        <v>1249.73</v>
      </c>
      <c r="Z1034">
        <f>AVERAGEIFS(Table1[FinalElo], Table1[Country], Table1[[#This Row],[Country]])</f>
        <v>1013.9366666666666</v>
      </c>
      <c r="AA1034" cm="1">
        <f t="array" ref="AA1034">IF(COUNTIFS(Table1[Country],Table1[[#This Row],[Country]])=1,0, _xlfn.STDEV.S(IF(Table1[Country]=Table1[[#This Row],[Country]],Table1[FinalElo])))</f>
        <v>163.09937898921214</v>
      </c>
      <c r="AB1034">
        <f>IF(Table1[[#This Row],[CStd]]=0,0, (Table1[[#This Row],[FinalElo]]-Table1[[#This Row],[CAvg]]) / Table1[[#This Row],[CStd]])</f>
        <v>1.4457034404093558</v>
      </c>
      <c r="AC1034" t="str">
        <f>IF(Table1[[#This Row],[CStd]]=0,"Normal", IF(ABS(Table1[[#This Row],[CZscore]])&gt;2,"Outlier","Normal"))</f>
        <v>Normal</v>
      </c>
    </row>
    <row r="1035" spans="1:29" x14ac:dyDescent="0.35">
      <c r="A1035" t="s">
        <v>1055</v>
      </c>
      <c r="B1035">
        <v>63.502879999999998</v>
      </c>
      <c r="C1035">
        <v>170</v>
      </c>
      <c r="D1035" t="s">
        <v>332</v>
      </c>
      <c r="E1035">
        <v>38</v>
      </c>
      <c r="F1035" t="s">
        <v>1056</v>
      </c>
      <c r="G1035" t="s">
        <v>34</v>
      </c>
      <c r="H1035" t="s">
        <v>29</v>
      </c>
      <c r="I1035" t="s">
        <v>73</v>
      </c>
      <c r="J1035">
        <v>0</v>
      </c>
      <c r="K1035">
        <v>1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1</v>
      </c>
      <c r="X1035">
        <v>957.19</v>
      </c>
      <c r="Y1035">
        <v>1000</v>
      </c>
      <c r="Z1035">
        <f>AVERAGEIFS(Table1[FinalElo], Table1[Country], Table1[[#This Row],[Country]])</f>
        <v>975.5858333333332</v>
      </c>
      <c r="AA1035" cm="1">
        <f t="array" ref="AA1035">IF(COUNTIFS(Table1[Country],Table1[[#This Row],[Country]])=1,0, _xlfn.STDEV.S(IF(Table1[Country]=Table1[[#This Row],[Country]],Table1[FinalElo])))</f>
        <v>72.69168633948992</v>
      </c>
      <c r="AB1035">
        <f>IF(Table1[[#This Row],[CStd]]=0,0, (Table1[[#This Row],[FinalElo]]-Table1[[#This Row],[CAvg]]) / Table1[[#This Row],[CStd]])</f>
        <v>-0.25306653703725629</v>
      </c>
      <c r="AC1035" t="str">
        <f>IF(Table1[[#This Row],[CStd]]=0,"Normal", IF(ABS(Table1[[#This Row],[CZscore]])&gt;2,"Outlier","Normal"))</f>
        <v>Normal</v>
      </c>
    </row>
    <row r="1036" spans="1:29" x14ac:dyDescent="0.35">
      <c r="A1036" t="s">
        <v>1053</v>
      </c>
      <c r="B1036">
        <v>56.7</v>
      </c>
      <c r="C1036">
        <v>168</v>
      </c>
      <c r="D1036" t="s">
        <v>193</v>
      </c>
      <c r="E1036">
        <v>29</v>
      </c>
      <c r="F1036" t="s">
        <v>1054</v>
      </c>
      <c r="G1036" t="s">
        <v>40</v>
      </c>
      <c r="H1036" t="s">
        <v>29</v>
      </c>
      <c r="I1036" t="s">
        <v>58</v>
      </c>
      <c r="J1036">
        <v>2</v>
      </c>
      <c r="K1036">
        <v>0</v>
      </c>
      <c r="L1036">
        <v>0</v>
      </c>
      <c r="M1036">
        <v>0</v>
      </c>
      <c r="N1036">
        <v>1</v>
      </c>
      <c r="O1036">
        <v>0</v>
      </c>
      <c r="P1036">
        <v>1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2</v>
      </c>
      <c r="X1036">
        <v>1148.05</v>
      </c>
      <c r="Y1036">
        <v>1148.05</v>
      </c>
      <c r="Z1036">
        <f>AVERAGEIFS(Table1[FinalElo], Table1[Country], Table1[[#This Row],[Country]])</f>
        <v>997.06500000000005</v>
      </c>
      <c r="AA1036" cm="1">
        <f t="array" ref="AA1036">IF(COUNTIFS(Table1[Country],Table1[[#This Row],[Country]])=1,0, _xlfn.STDEV.S(IF(Table1[Country]=Table1[[#This Row],[Country]],Table1[FinalElo])))</f>
        <v>135.83076329441192</v>
      </c>
      <c r="AB1036">
        <f>IF(Table1[[#This Row],[CStd]]=0,0, (Table1[[#This Row],[FinalElo]]-Table1[[#This Row],[CAvg]]) / Table1[[#This Row],[CStd]])</f>
        <v>1.1115670437096883</v>
      </c>
      <c r="AC1036" t="str">
        <f>IF(Table1[[#This Row],[CStd]]=0,"Normal", IF(ABS(Table1[[#This Row],[CZscore]])&gt;2,"Outlier","Normal"))</f>
        <v>Normal</v>
      </c>
    </row>
    <row r="1037" spans="1:29" x14ac:dyDescent="0.35">
      <c r="A1037" t="s">
        <v>1051</v>
      </c>
      <c r="B1037">
        <v>61</v>
      </c>
      <c r="C1037">
        <v>170</v>
      </c>
      <c r="D1037" t="s">
        <v>38</v>
      </c>
      <c r="E1037">
        <v>26</v>
      </c>
      <c r="F1037" t="s">
        <v>1052</v>
      </c>
      <c r="G1037" t="s">
        <v>40</v>
      </c>
      <c r="H1037" t="s">
        <v>29</v>
      </c>
      <c r="I1037" t="s">
        <v>58</v>
      </c>
      <c r="J1037">
        <v>1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1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1</v>
      </c>
      <c r="X1037">
        <v>1125.8699999999999</v>
      </c>
      <c r="Y1037">
        <v>1125.8699999999999</v>
      </c>
      <c r="Z1037">
        <f>AVERAGEIFS(Table1[FinalElo], Table1[Country], Table1[[#This Row],[Country]])</f>
        <v>1057.4495402298851</v>
      </c>
      <c r="AA1037" cm="1">
        <f t="array" ref="AA1037">IF(COUNTIFS(Table1[Country],Table1[[#This Row],[Country]])=1,0, _xlfn.STDEV.S(IF(Table1[Country]=Table1[[#This Row],[Country]],Table1[FinalElo])))</f>
        <v>156.98667602259493</v>
      </c>
      <c r="AB1037">
        <f>IF(Table1[[#This Row],[CStd]]=0,0, (Table1[[#This Row],[FinalElo]]-Table1[[#This Row],[CAvg]]) / Table1[[#This Row],[CStd]])</f>
        <v>0.43583609452478067</v>
      </c>
      <c r="AC1037" t="str">
        <f>IF(Table1[[#This Row],[CStd]]=0,"Normal", IF(ABS(Table1[[#This Row],[CZscore]])&gt;2,"Outlier","Normal"))</f>
        <v>Normal</v>
      </c>
    </row>
    <row r="1038" spans="1:29" x14ac:dyDescent="0.35">
      <c r="A1038" t="s">
        <v>1046</v>
      </c>
      <c r="B1038">
        <v>54.8</v>
      </c>
      <c r="C1038">
        <v>172</v>
      </c>
      <c r="D1038" t="s">
        <v>1047</v>
      </c>
      <c r="E1038">
        <v>23</v>
      </c>
      <c r="F1038" t="s">
        <v>1048</v>
      </c>
      <c r="G1038" t="s">
        <v>34</v>
      </c>
      <c r="H1038" t="s">
        <v>29</v>
      </c>
      <c r="I1038" t="s">
        <v>36</v>
      </c>
      <c r="J1038">
        <v>1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1</v>
      </c>
      <c r="X1038">
        <v>1100</v>
      </c>
      <c r="Y1038">
        <v>1100</v>
      </c>
      <c r="Z1038">
        <f>AVERAGEIFS(Table1[FinalElo], Table1[Country], Table1[[#This Row],[Country]])</f>
        <v>1100</v>
      </c>
      <c r="AA1038" cm="1">
        <f t="array" ref="AA1038">IF(COUNTIFS(Table1[Country],Table1[[#This Row],[Country]])=1,0, _xlfn.STDEV.S(IF(Table1[Country]=Table1[[#This Row],[Country]],Table1[FinalElo])))</f>
        <v>0</v>
      </c>
      <c r="AB1038">
        <f>IF(Table1[[#This Row],[CStd]]=0,0, (Table1[[#This Row],[FinalElo]]-Table1[[#This Row],[CAvg]]) / Table1[[#This Row],[CStd]])</f>
        <v>0</v>
      </c>
      <c r="AC1038" t="str">
        <f>IF(Table1[[#This Row],[CStd]]=0,"Normal", IF(ABS(Table1[[#This Row],[CZscore]])&gt;2,"Outlier","Normal"))</f>
        <v>Normal</v>
      </c>
    </row>
    <row r="1039" spans="1:29" x14ac:dyDescent="0.35">
      <c r="A1039" t="s">
        <v>1045</v>
      </c>
      <c r="B1039">
        <v>61.2</v>
      </c>
      <c r="C1039">
        <v>173</v>
      </c>
      <c r="D1039" t="s">
        <v>38</v>
      </c>
      <c r="E1039">
        <v>-1</v>
      </c>
      <c r="F1039" t="s">
        <v>87</v>
      </c>
      <c r="G1039" t="s">
        <v>34</v>
      </c>
      <c r="H1039" t="s">
        <v>29</v>
      </c>
      <c r="I1039" t="s">
        <v>58</v>
      </c>
      <c r="J1039">
        <v>3</v>
      </c>
      <c r="K1039">
        <v>5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4</v>
      </c>
      <c r="V1039">
        <v>1</v>
      </c>
      <c r="W1039">
        <v>8</v>
      </c>
      <c r="X1039">
        <v>958.47</v>
      </c>
      <c r="Y1039">
        <v>1100</v>
      </c>
      <c r="Z1039">
        <f>AVERAGEIFS(Table1[FinalElo], Table1[Country], Table1[[#This Row],[Country]])</f>
        <v>1057.4495402298851</v>
      </c>
      <c r="AA1039" cm="1">
        <f t="array" ref="AA1039">IF(COUNTIFS(Table1[Country],Table1[[#This Row],[Country]])=1,0, _xlfn.STDEV.S(IF(Table1[Country]=Table1[[#This Row],[Country]],Table1[FinalElo])))</f>
        <v>156.98667602259493</v>
      </c>
      <c r="AB1039">
        <f>IF(Table1[[#This Row],[CStd]]=0,0, (Table1[[#This Row],[FinalElo]]-Table1[[#This Row],[CAvg]]) / Table1[[#This Row],[CStd]])</f>
        <v>-0.63049643917321385</v>
      </c>
      <c r="AC1039" t="str">
        <f>IF(Table1[[#This Row],[CStd]]=0,"Normal", IF(ABS(Table1[[#This Row],[CZscore]])&gt;2,"Outlier","Normal"))</f>
        <v>Normal</v>
      </c>
    </row>
    <row r="1040" spans="1:29" x14ac:dyDescent="0.35">
      <c r="A1040" t="s">
        <v>1043</v>
      </c>
      <c r="B1040">
        <v>65.599999999999994</v>
      </c>
      <c r="C1040">
        <v>178</v>
      </c>
      <c r="D1040" t="s">
        <v>771</v>
      </c>
      <c r="E1040">
        <v>24</v>
      </c>
      <c r="F1040" t="s">
        <v>1044</v>
      </c>
      <c r="G1040" t="s">
        <v>40</v>
      </c>
      <c r="H1040" t="s">
        <v>29</v>
      </c>
      <c r="I1040" t="s">
        <v>73</v>
      </c>
      <c r="J1040">
        <v>2</v>
      </c>
      <c r="K1040">
        <v>1</v>
      </c>
      <c r="L1040">
        <v>0</v>
      </c>
      <c r="M1040">
        <v>0</v>
      </c>
      <c r="N1040">
        <v>1</v>
      </c>
      <c r="O1040">
        <v>0</v>
      </c>
      <c r="P1040">
        <v>1</v>
      </c>
      <c r="Q1040">
        <v>0</v>
      </c>
      <c r="R1040">
        <v>1</v>
      </c>
      <c r="S1040">
        <v>0</v>
      </c>
      <c r="T1040">
        <v>0</v>
      </c>
      <c r="U1040">
        <v>0</v>
      </c>
      <c r="V1040">
        <v>0</v>
      </c>
      <c r="W1040">
        <v>3</v>
      </c>
      <c r="X1040">
        <v>1026.17</v>
      </c>
      <c r="Y1040">
        <v>1171.99</v>
      </c>
      <c r="Z1040">
        <f>AVERAGEIFS(Table1[FinalElo], Table1[Country], Table1[[#This Row],[Country]])</f>
        <v>1087.95</v>
      </c>
      <c r="AA1040" cm="1">
        <f t="array" ref="AA1040">IF(COUNTIFS(Table1[Country],Table1[[#This Row],[Country]])=1,0, _xlfn.STDEV.S(IF(Table1[Country]=Table1[[#This Row],[Country]],Table1[FinalElo])))</f>
        <v>180.95070019206861</v>
      </c>
      <c r="AB1040">
        <f>IF(Table1[[#This Row],[CStd]]=0,0, (Table1[[#This Row],[FinalElo]]-Table1[[#This Row],[CAvg]]) / Table1[[#This Row],[CStd]])</f>
        <v>-0.34141896071374195</v>
      </c>
      <c r="AC1040" t="str">
        <f>IF(Table1[[#This Row],[CStd]]=0,"Normal", IF(ABS(Table1[[#This Row],[CZscore]])&gt;2,"Outlier","Normal"))</f>
        <v>Normal</v>
      </c>
    </row>
    <row r="1041" spans="1:29" x14ac:dyDescent="0.35">
      <c r="A1041" t="s">
        <v>1041</v>
      </c>
      <c r="B1041">
        <v>61.23</v>
      </c>
      <c r="C1041">
        <v>173</v>
      </c>
      <c r="D1041" t="s">
        <v>247</v>
      </c>
      <c r="E1041">
        <v>25</v>
      </c>
      <c r="F1041" t="s">
        <v>1042</v>
      </c>
      <c r="G1041" t="s">
        <v>40</v>
      </c>
      <c r="H1041" t="s">
        <v>29</v>
      </c>
      <c r="I1041" t="s">
        <v>73</v>
      </c>
      <c r="J1041">
        <v>0</v>
      </c>
      <c r="K1041">
        <v>1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1</v>
      </c>
      <c r="X1041">
        <v>945.82</v>
      </c>
      <c r="Y1041">
        <v>1000</v>
      </c>
      <c r="Z1041">
        <f>AVERAGEIFS(Table1[FinalElo], Table1[Country], Table1[[#This Row],[Country]])</f>
        <v>1050.0176190476191</v>
      </c>
      <c r="AA1041" cm="1">
        <f t="array" ref="AA1041">IF(COUNTIFS(Table1[Country],Table1[[#This Row],[Country]])=1,0, _xlfn.STDEV.S(IF(Table1[Country]=Table1[[#This Row],[Country]],Table1[FinalElo])))</f>
        <v>127.00578096703971</v>
      </c>
      <c r="AB1041">
        <f>IF(Table1[[#This Row],[CStd]]=0,0, (Table1[[#This Row],[FinalElo]]-Table1[[#This Row],[CAvg]]) / Table1[[#This Row],[CStd]])</f>
        <v>-0.82041634840748057</v>
      </c>
      <c r="AC1041" t="str">
        <f>IF(Table1[[#This Row],[CStd]]=0,"Normal", IF(ABS(Table1[[#This Row],[CZscore]])&gt;2,"Outlier","Normal"))</f>
        <v>Normal</v>
      </c>
    </row>
    <row r="1042" spans="1:29" x14ac:dyDescent="0.35">
      <c r="A1042" t="s">
        <v>1039</v>
      </c>
      <c r="B1042">
        <v>69.900000000000006</v>
      </c>
      <c r="C1042">
        <v>179</v>
      </c>
      <c r="D1042" t="s">
        <v>38</v>
      </c>
      <c r="E1042">
        <v>29</v>
      </c>
      <c r="F1042" t="s">
        <v>1040</v>
      </c>
      <c r="G1042" t="s">
        <v>40</v>
      </c>
      <c r="H1042" t="s">
        <v>29</v>
      </c>
      <c r="I1042" t="s">
        <v>48</v>
      </c>
      <c r="J1042">
        <v>2</v>
      </c>
      <c r="K1042">
        <v>1</v>
      </c>
      <c r="L1042">
        <v>0</v>
      </c>
      <c r="M1042">
        <v>1</v>
      </c>
      <c r="N1042">
        <v>1</v>
      </c>
      <c r="O1042">
        <v>0</v>
      </c>
      <c r="P1042">
        <v>0</v>
      </c>
      <c r="Q1042">
        <v>0</v>
      </c>
      <c r="R1042">
        <v>0</v>
      </c>
      <c r="S1042">
        <v>1</v>
      </c>
      <c r="T1042">
        <v>0</v>
      </c>
      <c r="U1042">
        <v>0</v>
      </c>
      <c r="V1042">
        <v>0</v>
      </c>
      <c r="W1042">
        <v>3</v>
      </c>
      <c r="X1042">
        <v>1198.19</v>
      </c>
      <c r="Y1042">
        <v>1265.58</v>
      </c>
      <c r="Z1042">
        <f>AVERAGEIFS(Table1[FinalElo], Table1[Country], Table1[[#This Row],[Country]])</f>
        <v>1057.4495402298851</v>
      </c>
      <c r="AA1042" cm="1">
        <f t="array" ref="AA1042">IF(COUNTIFS(Table1[Country],Table1[[#This Row],[Country]])=1,0, _xlfn.STDEV.S(IF(Table1[Country]=Table1[[#This Row],[Country]],Table1[FinalElo])))</f>
        <v>156.98667602259493</v>
      </c>
      <c r="AB1042">
        <f>IF(Table1[[#This Row],[CStd]]=0,0, (Table1[[#This Row],[FinalElo]]-Table1[[#This Row],[CAvg]]) / Table1[[#This Row],[CStd]])</f>
        <v>0.89651213297782251</v>
      </c>
      <c r="AC1042" t="str">
        <f>IF(Table1[[#This Row],[CStd]]=0,"Normal", IF(ABS(Table1[[#This Row],[CZscore]])&gt;2,"Outlier","Normal"))</f>
        <v>Normal</v>
      </c>
    </row>
    <row r="1043" spans="1:29" x14ac:dyDescent="0.35">
      <c r="A1043" t="s">
        <v>1037</v>
      </c>
      <c r="B1043">
        <v>83.7</v>
      </c>
      <c r="C1043">
        <v>185</v>
      </c>
      <c r="D1043" t="s">
        <v>799</v>
      </c>
      <c r="E1043">
        <v>37</v>
      </c>
      <c r="F1043" t="s">
        <v>1038</v>
      </c>
      <c r="G1043" t="s">
        <v>40</v>
      </c>
      <c r="H1043" t="s">
        <v>29</v>
      </c>
      <c r="I1043" t="s">
        <v>50</v>
      </c>
      <c r="J1043">
        <v>0</v>
      </c>
      <c r="K1043">
        <v>1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1</v>
      </c>
      <c r="T1043">
        <v>0</v>
      </c>
      <c r="U1043">
        <v>0</v>
      </c>
      <c r="V1043">
        <v>0</v>
      </c>
      <c r="W1043">
        <v>1</v>
      </c>
      <c r="X1043">
        <v>884.67</v>
      </c>
      <c r="Y1043">
        <v>1000</v>
      </c>
      <c r="Z1043">
        <f>AVERAGEIFS(Table1[FinalElo], Table1[Country], Table1[[#This Row],[Country]])</f>
        <v>908.56333333333316</v>
      </c>
      <c r="AA1043" cm="1">
        <f t="array" ref="AA1043">IF(COUNTIFS(Table1[Country],Table1[[#This Row],[Country]])=1,0, _xlfn.STDEV.S(IF(Table1[Country]=Table1[[#This Row],[Country]],Table1[FinalElo])))</f>
        <v>55.482960747722679</v>
      </c>
      <c r="AB1043">
        <f>IF(Table1[[#This Row],[CStd]]=0,0, (Table1[[#This Row],[FinalElo]]-Table1[[#This Row],[CAvg]]) / Table1[[#This Row],[CStd]])</f>
        <v>-0.43064272366383971</v>
      </c>
      <c r="AC1043" t="str">
        <f>IF(Table1[[#This Row],[CStd]]=0,"Normal", IF(ABS(Table1[[#This Row],[CZscore]])&gt;2,"Outlier","Normal"))</f>
        <v>Normal</v>
      </c>
    </row>
    <row r="1044" spans="1:29" x14ac:dyDescent="0.35">
      <c r="A1044" t="s">
        <v>1036</v>
      </c>
      <c r="B1044">
        <v>60.8</v>
      </c>
      <c r="C1044">
        <v>170</v>
      </c>
      <c r="D1044" t="s">
        <v>140</v>
      </c>
      <c r="E1044">
        <v>21</v>
      </c>
      <c r="F1044" t="s">
        <v>133</v>
      </c>
      <c r="G1044" t="s">
        <v>40</v>
      </c>
      <c r="H1044" t="s">
        <v>29</v>
      </c>
      <c r="I1044" t="s">
        <v>58</v>
      </c>
      <c r="J1044">
        <v>1</v>
      </c>
      <c r="K1044">
        <v>2</v>
      </c>
      <c r="L1044">
        <v>0</v>
      </c>
      <c r="M1044">
        <v>0</v>
      </c>
      <c r="N1044">
        <v>0</v>
      </c>
      <c r="O1044">
        <v>0</v>
      </c>
      <c r="P1044">
        <v>1</v>
      </c>
      <c r="Q1044">
        <v>0</v>
      </c>
      <c r="R1044">
        <v>2</v>
      </c>
      <c r="S1044">
        <v>0</v>
      </c>
      <c r="T1044">
        <v>0</v>
      </c>
      <c r="U1044">
        <v>0</v>
      </c>
      <c r="V1044">
        <v>0</v>
      </c>
      <c r="W1044">
        <v>3</v>
      </c>
      <c r="X1044">
        <v>880.03</v>
      </c>
      <c r="Y1044">
        <v>1100</v>
      </c>
      <c r="Z1044">
        <f>AVERAGEIFS(Table1[FinalElo], Table1[Country], Table1[[#This Row],[Country]])</f>
        <v>1002.675294117647</v>
      </c>
      <c r="AA1044" cm="1">
        <f t="array" ref="AA1044">IF(COUNTIFS(Table1[Country],Table1[[#This Row],[Country]])=1,0, _xlfn.STDEV.S(IF(Table1[Country]=Table1[[#This Row],[Country]],Table1[FinalElo])))</f>
        <v>171.59712028169514</v>
      </c>
      <c r="AB1044">
        <f>IF(Table1[[#This Row],[CStd]]=0,0, (Table1[[#This Row],[FinalElo]]-Table1[[#This Row],[CAvg]]) / Table1[[#This Row],[CStd]])</f>
        <v>-0.71472816045112875</v>
      </c>
      <c r="AC1044" t="str">
        <f>IF(Table1[[#This Row],[CStd]]=0,"Normal", IF(ABS(Table1[[#This Row],[CZscore]])&gt;2,"Outlier","Normal"))</f>
        <v>Normal</v>
      </c>
    </row>
    <row r="1045" spans="1:29" x14ac:dyDescent="0.35">
      <c r="A1045" t="s">
        <v>1033</v>
      </c>
      <c r="B1045">
        <v>61.2</v>
      </c>
      <c r="C1045">
        <v>178</v>
      </c>
      <c r="D1045" t="s">
        <v>1034</v>
      </c>
      <c r="E1045">
        <v>29</v>
      </c>
      <c r="F1045" t="s">
        <v>1035</v>
      </c>
      <c r="G1045" t="s">
        <v>28</v>
      </c>
      <c r="H1045" t="s">
        <v>29</v>
      </c>
      <c r="I1045" t="s">
        <v>58</v>
      </c>
      <c r="J1045">
        <v>5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2</v>
      </c>
      <c r="Q1045">
        <v>1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5</v>
      </c>
      <c r="X1045">
        <v>1386.9</v>
      </c>
      <c r="Y1045">
        <v>1386.9</v>
      </c>
      <c r="Z1045">
        <f>AVERAGEIFS(Table1[FinalElo], Table1[Country], Table1[[#This Row],[Country]])</f>
        <v>1166.3600000000001</v>
      </c>
      <c r="AA1045" cm="1">
        <f t="array" ref="AA1045">IF(COUNTIFS(Table1[Country],Table1[[#This Row],[Country]])=1,0, _xlfn.STDEV.S(IF(Table1[Country]=Table1[[#This Row],[Country]],Table1[FinalElo])))</f>
        <v>311.89065904576228</v>
      </c>
      <c r="AB1045">
        <f>IF(Table1[[#This Row],[CStd]]=0,0, (Table1[[#This Row],[FinalElo]]-Table1[[#This Row],[CAvg]]) / Table1[[#This Row],[CStd]])</f>
        <v>0.70710678118654768</v>
      </c>
      <c r="AC1045" t="str">
        <f>IF(Table1[[#This Row],[CStd]]=0,"Normal", IF(ABS(Table1[[#This Row],[CZscore]])&gt;2,"Outlier","Normal"))</f>
        <v>Normal</v>
      </c>
    </row>
    <row r="1046" spans="1:29" x14ac:dyDescent="0.35">
      <c r="A1046" t="s">
        <v>1032</v>
      </c>
      <c r="B1046">
        <v>61.23</v>
      </c>
      <c r="C1046">
        <v>173</v>
      </c>
      <c r="D1046" t="s">
        <v>384</v>
      </c>
      <c r="E1046">
        <v>26</v>
      </c>
      <c r="F1046" t="s">
        <v>400</v>
      </c>
      <c r="G1046" t="s">
        <v>28</v>
      </c>
      <c r="H1046" t="s">
        <v>29</v>
      </c>
      <c r="I1046" t="s">
        <v>73</v>
      </c>
      <c r="J1046">
        <v>1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1</v>
      </c>
      <c r="X1046">
        <v>1100</v>
      </c>
      <c r="Y1046">
        <v>1100</v>
      </c>
      <c r="Z1046">
        <f>AVERAGEIFS(Table1[FinalElo], Table1[Country], Table1[[#This Row],[Country]])</f>
        <v>1054.6869565217391</v>
      </c>
      <c r="AA1046" cm="1">
        <f t="array" ref="AA1046">IF(COUNTIFS(Table1[Country],Table1[[#This Row],[Country]])=1,0, _xlfn.STDEV.S(IF(Table1[Country]=Table1[[#This Row],[Country]],Table1[FinalElo])))</f>
        <v>191.2923801275472</v>
      </c>
      <c r="AB1046">
        <f>IF(Table1[[#This Row],[CStd]]=0,0, (Table1[[#This Row],[FinalElo]]-Table1[[#This Row],[CAvg]]) / Table1[[#This Row],[CStd]])</f>
        <v>0.23687845510651112</v>
      </c>
      <c r="AC1046" t="str">
        <f>IF(Table1[[#This Row],[CStd]]=0,"Normal", IF(ABS(Table1[[#This Row],[CZscore]])&gt;2,"Outlier","Normal"))</f>
        <v>Normal</v>
      </c>
    </row>
    <row r="1047" spans="1:29" x14ac:dyDescent="0.35">
      <c r="A1047" t="s">
        <v>1030</v>
      </c>
      <c r="B1047">
        <v>54.9</v>
      </c>
      <c r="C1047">
        <v>169</v>
      </c>
      <c r="D1047" t="s">
        <v>82</v>
      </c>
      <c r="E1047">
        <v>24</v>
      </c>
      <c r="F1047" t="s">
        <v>1031</v>
      </c>
      <c r="G1047" t="s">
        <v>34</v>
      </c>
      <c r="H1047" t="s">
        <v>29</v>
      </c>
      <c r="I1047" t="s">
        <v>36</v>
      </c>
      <c r="J1047">
        <v>1</v>
      </c>
      <c r="K1047">
        <v>2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2</v>
      </c>
      <c r="V1047">
        <v>0</v>
      </c>
      <c r="W1047">
        <v>3</v>
      </c>
      <c r="X1047">
        <v>928.87</v>
      </c>
      <c r="Y1047">
        <v>1026.5999999999999</v>
      </c>
      <c r="Z1047">
        <f>AVERAGEIFS(Table1[FinalElo], Table1[Country], Table1[[#This Row],[Country]])</f>
        <v>1012.5275373134326</v>
      </c>
      <c r="AA1047" cm="1">
        <f t="array" ref="AA1047">IF(COUNTIFS(Table1[Country],Table1[[#This Row],[Country]])=1,0, _xlfn.STDEV.S(IF(Table1[Country]=Table1[[#This Row],[Country]],Table1[FinalElo])))</f>
        <v>135.61062237674741</v>
      </c>
      <c r="AB1047">
        <f>IF(Table1[[#This Row],[CStd]]=0,0, (Table1[[#This Row],[FinalElo]]-Table1[[#This Row],[CAvg]]) / Table1[[#This Row],[CStd]])</f>
        <v>-0.61689516534345634</v>
      </c>
      <c r="AC1047" t="str">
        <f>IF(Table1[[#This Row],[CStd]]=0,"Normal", IF(ABS(Table1[[#This Row],[CZscore]])&gt;2,"Outlier","Normal"))</f>
        <v>Normal</v>
      </c>
    </row>
    <row r="1048" spans="1:29" x14ac:dyDescent="0.35">
      <c r="A1048" t="s">
        <v>1028</v>
      </c>
      <c r="B1048">
        <v>65.3</v>
      </c>
      <c r="C1048">
        <v>177</v>
      </c>
      <c r="D1048" t="s">
        <v>38</v>
      </c>
      <c r="E1048">
        <v>22</v>
      </c>
      <c r="F1048" t="s">
        <v>1029</v>
      </c>
      <c r="G1048" t="s">
        <v>40</v>
      </c>
      <c r="H1048" t="s">
        <v>29</v>
      </c>
      <c r="I1048" t="s">
        <v>73</v>
      </c>
      <c r="J1048">
        <v>1</v>
      </c>
      <c r="K1048">
        <v>0</v>
      </c>
      <c r="L1048">
        <v>0</v>
      </c>
      <c r="M1048">
        <v>1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1</v>
      </c>
      <c r="X1048">
        <v>1133.1199999999999</v>
      </c>
      <c r="Y1048">
        <v>1133.1199999999999</v>
      </c>
      <c r="Z1048">
        <f>AVERAGEIFS(Table1[FinalElo], Table1[Country], Table1[[#This Row],[Country]])</f>
        <v>1057.4495402298851</v>
      </c>
      <c r="AA1048" cm="1">
        <f t="array" ref="AA1048">IF(COUNTIFS(Table1[Country],Table1[[#This Row],[Country]])=1,0, _xlfn.STDEV.S(IF(Table1[Country]=Table1[[#This Row],[Country]],Table1[FinalElo])))</f>
        <v>156.98667602259493</v>
      </c>
      <c r="AB1048">
        <f>IF(Table1[[#This Row],[CStd]]=0,0, (Table1[[#This Row],[FinalElo]]-Table1[[#This Row],[CAvg]]) / Table1[[#This Row],[CStd]])</f>
        <v>0.48201835778231034</v>
      </c>
      <c r="AC1048" t="str">
        <f>IF(Table1[[#This Row],[CStd]]=0,"Normal", IF(ABS(Table1[[#This Row],[CZscore]])&gt;2,"Outlier","Normal"))</f>
        <v>Normal</v>
      </c>
    </row>
    <row r="1049" spans="1:29" x14ac:dyDescent="0.35">
      <c r="A1049" t="s">
        <v>1027</v>
      </c>
      <c r="B1049">
        <v>70.31</v>
      </c>
      <c r="C1049">
        <v>180</v>
      </c>
      <c r="D1049" t="s">
        <v>384</v>
      </c>
      <c r="E1049">
        <v>32</v>
      </c>
      <c r="F1049">
        <v>0</v>
      </c>
      <c r="G1049" t="s">
        <v>40</v>
      </c>
      <c r="H1049" t="s">
        <v>29</v>
      </c>
      <c r="I1049" t="s">
        <v>30</v>
      </c>
      <c r="J1049">
        <v>0</v>
      </c>
      <c r="K1049">
        <v>2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2</v>
      </c>
      <c r="V1049">
        <v>0</v>
      </c>
      <c r="W1049">
        <v>2</v>
      </c>
      <c r="X1049">
        <v>828.01</v>
      </c>
      <c r="Y1049">
        <v>1000</v>
      </c>
      <c r="Z1049">
        <f>AVERAGEIFS(Table1[FinalElo], Table1[Country], Table1[[#This Row],[Country]])</f>
        <v>1054.6869565217391</v>
      </c>
      <c r="AA1049" cm="1">
        <f t="array" ref="AA1049">IF(COUNTIFS(Table1[Country],Table1[[#This Row],[Country]])=1,0, _xlfn.STDEV.S(IF(Table1[Country]=Table1[[#This Row],[Country]],Table1[FinalElo])))</f>
        <v>191.2923801275472</v>
      </c>
      <c r="AB1049">
        <f>IF(Table1[[#This Row],[CStd]]=0,0, (Table1[[#This Row],[FinalElo]]-Table1[[#This Row],[CAvg]]) / Table1[[#This Row],[CStd]])</f>
        <v>-1.18497640298374</v>
      </c>
      <c r="AC1049" t="str">
        <f>IF(Table1[[#This Row],[CStd]]=0,"Normal", IF(ABS(Table1[[#This Row],[CZscore]])&gt;2,"Outlier","Normal"))</f>
        <v>Normal</v>
      </c>
    </row>
    <row r="1050" spans="1:29" x14ac:dyDescent="0.35">
      <c r="A1050" t="s">
        <v>1025</v>
      </c>
      <c r="B1050">
        <v>65.8</v>
      </c>
      <c r="C1050">
        <v>178</v>
      </c>
      <c r="D1050" t="s">
        <v>38</v>
      </c>
      <c r="E1050">
        <v>24</v>
      </c>
      <c r="F1050" t="s">
        <v>1026</v>
      </c>
      <c r="G1050" t="s">
        <v>40</v>
      </c>
      <c r="H1050" t="s">
        <v>29</v>
      </c>
      <c r="I1050" t="s">
        <v>48</v>
      </c>
      <c r="J1050">
        <v>3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2</v>
      </c>
      <c r="Q1050">
        <v>1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3</v>
      </c>
      <c r="X1050">
        <v>1246.0899999999999</v>
      </c>
      <c r="Y1050">
        <v>1246.0899999999999</v>
      </c>
      <c r="Z1050">
        <f>AVERAGEIFS(Table1[FinalElo], Table1[Country], Table1[[#This Row],[Country]])</f>
        <v>1057.4495402298851</v>
      </c>
      <c r="AA1050" cm="1">
        <f t="array" ref="AA1050">IF(COUNTIFS(Table1[Country],Table1[[#This Row],[Country]])=1,0, _xlfn.STDEV.S(IF(Table1[Country]=Table1[[#This Row],[Country]],Table1[FinalElo])))</f>
        <v>156.98667602259493</v>
      </c>
      <c r="AB1050">
        <f>IF(Table1[[#This Row],[CStd]]=0,0, (Table1[[#This Row],[FinalElo]]-Table1[[#This Row],[CAvg]]) / Table1[[#This Row],[CStd]])</f>
        <v>1.2016335688448108</v>
      </c>
      <c r="AC1050" t="str">
        <f>IF(Table1[[#This Row],[CStd]]=0,"Normal", IF(ABS(Table1[[#This Row],[CZscore]])&gt;2,"Outlier","Normal"))</f>
        <v>Normal</v>
      </c>
    </row>
    <row r="1051" spans="1:29" x14ac:dyDescent="0.35">
      <c r="A1051" t="s">
        <v>1023</v>
      </c>
      <c r="B1051">
        <v>62.1</v>
      </c>
      <c r="C1051">
        <v>175</v>
      </c>
      <c r="D1051" t="s">
        <v>38</v>
      </c>
      <c r="E1051">
        <v>30</v>
      </c>
      <c r="F1051" t="s">
        <v>1024</v>
      </c>
      <c r="G1051" t="s">
        <v>34</v>
      </c>
      <c r="H1051" t="s">
        <v>29</v>
      </c>
      <c r="I1051" t="s">
        <v>73</v>
      </c>
      <c r="J1051">
        <v>2</v>
      </c>
      <c r="K1051">
        <v>2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2</v>
      </c>
      <c r="S1051">
        <v>0</v>
      </c>
      <c r="T1051">
        <v>0</v>
      </c>
      <c r="U1051">
        <v>0</v>
      </c>
      <c r="V1051">
        <v>0</v>
      </c>
      <c r="W1051">
        <v>4</v>
      </c>
      <c r="X1051">
        <v>1002.37</v>
      </c>
      <c r="Y1051">
        <v>1244.3900000000001</v>
      </c>
      <c r="Z1051">
        <f>AVERAGEIFS(Table1[FinalElo], Table1[Country], Table1[[#This Row],[Country]])</f>
        <v>1057.4495402298851</v>
      </c>
      <c r="AA1051" cm="1">
        <f t="array" ref="AA1051">IF(COUNTIFS(Table1[Country],Table1[[#This Row],[Country]])=1,0, _xlfn.STDEV.S(IF(Table1[Country]=Table1[[#This Row],[Country]],Table1[FinalElo])))</f>
        <v>156.98667602259493</v>
      </c>
      <c r="AB1051">
        <f>IF(Table1[[#This Row],[CStd]]=0,0, (Table1[[#This Row],[FinalElo]]-Table1[[#This Row],[CAvg]]) / Table1[[#This Row],[CStd]])</f>
        <v>-0.35085487268968951</v>
      </c>
      <c r="AC1051" t="str">
        <f>IF(Table1[[#This Row],[CStd]]=0,"Normal", IF(ABS(Table1[[#This Row],[CZscore]])&gt;2,"Outlier","Normal"))</f>
        <v>Normal</v>
      </c>
    </row>
    <row r="1052" spans="1:29" x14ac:dyDescent="0.35">
      <c r="A1052" t="s">
        <v>1021</v>
      </c>
      <c r="B1052">
        <v>70.3</v>
      </c>
      <c r="C1052">
        <v>182</v>
      </c>
      <c r="D1052" t="s">
        <v>513</v>
      </c>
      <c r="E1052">
        <v>38</v>
      </c>
      <c r="F1052" t="s">
        <v>1022</v>
      </c>
      <c r="G1052" t="s">
        <v>40</v>
      </c>
      <c r="H1052" t="s">
        <v>29</v>
      </c>
      <c r="I1052" t="s">
        <v>48</v>
      </c>
      <c r="J1052">
        <v>0</v>
      </c>
      <c r="K1052">
        <v>1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1</v>
      </c>
      <c r="S1052">
        <v>0</v>
      </c>
      <c r="T1052">
        <v>0</v>
      </c>
      <c r="U1052">
        <v>0</v>
      </c>
      <c r="V1052">
        <v>0</v>
      </c>
      <c r="W1052">
        <v>1</v>
      </c>
      <c r="X1052">
        <v>945.82</v>
      </c>
      <c r="Y1052">
        <v>1000</v>
      </c>
      <c r="Z1052">
        <f>AVERAGEIFS(Table1[FinalElo], Table1[Country], Table1[[#This Row],[Country]])</f>
        <v>991.92857142857144</v>
      </c>
      <c r="AA1052" cm="1">
        <f t="array" ref="AA1052">IF(COUNTIFS(Table1[Country],Table1[[#This Row],[Country]])=1,0, _xlfn.STDEV.S(IF(Table1[Country]=Table1[[#This Row],[Country]],Table1[FinalElo])))</f>
        <v>154.84924955929111</v>
      </c>
      <c r="AB1052">
        <f>IF(Table1[[#This Row],[CStd]]=0,0, (Table1[[#This Row],[FinalElo]]-Table1[[#This Row],[CAvg]]) / Table1[[#This Row],[CStd]])</f>
        <v>-0.29776425497571829</v>
      </c>
      <c r="AC1052" t="str">
        <f>IF(Table1[[#This Row],[CStd]]=0,"Normal", IF(ABS(Table1[[#This Row],[CZscore]])&gt;2,"Outlier","Normal"))</f>
        <v>Normal</v>
      </c>
    </row>
    <row r="1053" spans="1:29" x14ac:dyDescent="0.35">
      <c r="A1053" t="s">
        <v>1019</v>
      </c>
      <c r="B1053">
        <v>69</v>
      </c>
      <c r="C1053">
        <v>-1</v>
      </c>
      <c r="D1053" t="s">
        <v>82</v>
      </c>
      <c r="E1053">
        <v>24</v>
      </c>
      <c r="F1053" t="s">
        <v>1020</v>
      </c>
      <c r="G1053" t="s">
        <v>28</v>
      </c>
      <c r="H1053" t="s">
        <v>29</v>
      </c>
      <c r="I1053" t="s">
        <v>48</v>
      </c>
      <c r="J1053">
        <v>3</v>
      </c>
      <c r="K1053">
        <v>0</v>
      </c>
      <c r="L1053">
        <v>0</v>
      </c>
      <c r="M1053">
        <v>1</v>
      </c>
      <c r="N1053">
        <v>0</v>
      </c>
      <c r="O1053">
        <v>0</v>
      </c>
      <c r="P1053">
        <v>1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3</v>
      </c>
      <c r="X1053">
        <v>1208.56</v>
      </c>
      <c r="Y1053">
        <v>1208.56</v>
      </c>
      <c r="Z1053">
        <f>AVERAGEIFS(Table1[FinalElo], Table1[Country], Table1[[#This Row],[Country]])</f>
        <v>1012.5275373134326</v>
      </c>
      <c r="AA1053" cm="1">
        <f t="array" ref="AA1053">IF(COUNTIFS(Table1[Country],Table1[[#This Row],[Country]])=1,0, _xlfn.STDEV.S(IF(Table1[Country]=Table1[[#This Row],[Country]],Table1[FinalElo])))</f>
        <v>135.61062237674741</v>
      </c>
      <c r="AB1053">
        <f>IF(Table1[[#This Row],[CStd]]=0,0, (Table1[[#This Row],[FinalElo]]-Table1[[#This Row],[CAvg]]) / Table1[[#This Row],[CStd]])</f>
        <v>1.4455538898859901</v>
      </c>
      <c r="AC1053" t="str">
        <f>IF(Table1[[#This Row],[CStd]]=0,"Normal", IF(ABS(Table1[[#This Row],[CZscore]])&gt;2,"Outlier","Normal"))</f>
        <v>Normal</v>
      </c>
    </row>
    <row r="1054" spans="1:29" x14ac:dyDescent="0.35">
      <c r="A1054" t="s">
        <v>1017</v>
      </c>
      <c r="B1054">
        <v>65.8</v>
      </c>
      <c r="C1054">
        <v>170</v>
      </c>
      <c r="D1054" t="s">
        <v>116</v>
      </c>
      <c r="E1054">
        <v>31</v>
      </c>
      <c r="F1054" t="s">
        <v>1018</v>
      </c>
      <c r="G1054" t="s">
        <v>40</v>
      </c>
      <c r="H1054" t="s">
        <v>29</v>
      </c>
      <c r="I1054" t="s">
        <v>48</v>
      </c>
      <c r="J1054">
        <v>1</v>
      </c>
      <c r="K1054">
        <v>1</v>
      </c>
      <c r="L1054">
        <v>0</v>
      </c>
      <c r="M1054">
        <v>0</v>
      </c>
      <c r="N1054">
        <v>0</v>
      </c>
      <c r="O1054">
        <v>0</v>
      </c>
      <c r="P1054">
        <v>1</v>
      </c>
      <c r="Q1054">
        <v>0</v>
      </c>
      <c r="R1054">
        <v>0</v>
      </c>
      <c r="S1054">
        <v>0</v>
      </c>
      <c r="T1054">
        <v>1</v>
      </c>
      <c r="U1054">
        <v>0</v>
      </c>
      <c r="V1054">
        <v>0</v>
      </c>
      <c r="W1054">
        <v>2</v>
      </c>
      <c r="X1054">
        <v>1084.96</v>
      </c>
      <c r="Y1054">
        <v>1084.96</v>
      </c>
      <c r="Z1054">
        <f>AVERAGEIFS(Table1[FinalElo], Table1[Country], Table1[[#This Row],[Country]])</f>
        <v>980.88090909090931</v>
      </c>
      <c r="AA1054" cm="1">
        <f t="array" ref="AA1054">IF(COUNTIFS(Table1[Country],Table1[[#This Row],[Country]])=1,0, _xlfn.STDEV.S(IF(Table1[Country]=Table1[[#This Row],[Country]],Table1[FinalElo])))</f>
        <v>133.41794796376408</v>
      </c>
      <c r="AB1054">
        <f>IF(Table1[[#This Row],[CStd]]=0,0, (Table1[[#This Row],[FinalElo]]-Table1[[#This Row],[CAvg]]) / Table1[[#This Row],[CStd]])</f>
        <v>0.7800981239597411</v>
      </c>
      <c r="AC1054" t="str">
        <f>IF(Table1[[#This Row],[CStd]]=0,"Normal", IF(ABS(Table1[[#This Row],[CZscore]])&gt;2,"Outlier","Normal"))</f>
        <v>Normal</v>
      </c>
    </row>
    <row r="1055" spans="1:29" x14ac:dyDescent="0.35">
      <c r="A1055" t="s">
        <v>1016</v>
      </c>
      <c r="B1055">
        <v>65.77</v>
      </c>
      <c r="C1055">
        <v>-1</v>
      </c>
      <c r="D1055" t="s">
        <v>407</v>
      </c>
      <c r="E1055">
        <v>1</v>
      </c>
      <c r="F1055">
        <v>0</v>
      </c>
      <c r="G1055" t="s">
        <v>40</v>
      </c>
      <c r="H1055" t="s">
        <v>29</v>
      </c>
      <c r="I1055" t="s">
        <v>48</v>
      </c>
      <c r="J1055">
        <v>1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1</v>
      </c>
      <c r="X1055">
        <v>1100</v>
      </c>
      <c r="Y1055">
        <v>1100</v>
      </c>
      <c r="Z1055">
        <f>AVERAGEIFS(Table1[FinalElo], Table1[Country], Table1[[#This Row],[Country]])</f>
        <v>1015.375</v>
      </c>
      <c r="AA1055" cm="1">
        <f t="array" ref="AA1055">IF(COUNTIFS(Table1[Country],Table1[[#This Row],[Country]])=1,0, _xlfn.STDEV.S(IF(Table1[Country]=Table1[[#This Row],[Country]],Table1[FinalElo])))</f>
        <v>114.73350760203692</v>
      </c>
      <c r="AB1055">
        <f>IF(Table1[[#This Row],[CStd]]=0,0, (Table1[[#This Row],[FinalElo]]-Table1[[#This Row],[CAvg]]) / Table1[[#This Row],[CStd]])</f>
        <v>0.73757877509967806</v>
      </c>
      <c r="AC1055" t="str">
        <f>IF(Table1[[#This Row],[CStd]]=0,"Normal", IF(ABS(Table1[[#This Row],[CZscore]])&gt;2,"Outlier","Normal"))</f>
        <v>Normal</v>
      </c>
    </row>
    <row r="1056" spans="1:29" x14ac:dyDescent="0.35">
      <c r="A1056" t="s">
        <v>1014</v>
      </c>
      <c r="B1056">
        <v>56.5</v>
      </c>
      <c r="C1056">
        <v>170</v>
      </c>
      <c r="D1056" t="s">
        <v>116</v>
      </c>
      <c r="E1056">
        <v>30</v>
      </c>
      <c r="F1056" t="s">
        <v>1015</v>
      </c>
      <c r="G1056" t="s">
        <v>28</v>
      </c>
      <c r="H1056" t="s">
        <v>29</v>
      </c>
      <c r="I1056" t="s">
        <v>36</v>
      </c>
      <c r="J1056">
        <v>3</v>
      </c>
      <c r="K1056">
        <v>3</v>
      </c>
      <c r="L1056">
        <v>0</v>
      </c>
      <c r="M1056">
        <v>0</v>
      </c>
      <c r="N1056">
        <v>0</v>
      </c>
      <c r="O1056">
        <v>0</v>
      </c>
      <c r="P1056">
        <v>1</v>
      </c>
      <c r="Q1056">
        <v>0</v>
      </c>
      <c r="R1056">
        <v>0</v>
      </c>
      <c r="S1056">
        <v>0</v>
      </c>
      <c r="T1056">
        <v>0</v>
      </c>
      <c r="U1056">
        <v>3</v>
      </c>
      <c r="V1056">
        <v>0</v>
      </c>
      <c r="W1056">
        <v>6</v>
      </c>
      <c r="X1056">
        <v>949.35</v>
      </c>
      <c r="Y1056">
        <v>1171.99</v>
      </c>
      <c r="Z1056">
        <f>AVERAGEIFS(Table1[FinalElo], Table1[Country], Table1[[#This Row],[Country]])</f>
        <v>980.88090909090931</v>
      </c>
      <c r="AA1056" cm="1">
        <f t="array" ref="AA1056">IF(COUNTIFS(Table1[Country],Table1[[#This Row],[Country]])=1,0, _xlfn.STDEV.S(IF(Table1[Country]=Table1[[#This Row],[Country]],Table1[FinalElo])))</f>
        <v>133.41794796376408</v>
      </c>
      <c r="AB1056">
        <f>IF(Table1[[#This Row],[CStd]]=0,0, (Table1[[#This Row],[FinalElo]]-Table1[[#This Row],[CAvg]]) / Table1[[#This Row],[CStd]])</f>
        <v>-0.23633183969725716</v>
      </c>
      <c r="AC1056" t="str">
        <f>IF(Table1[[#This Row],[CStd]]=0,"Normal", IF(ABS(Table1[[#This Row],[CZscore]])&gt;2,"Outlier","Normal"))</f>
        <v>Normal</v>
      </c>
    </row>
    <row r="1057" spans="1:29" x14ac:dyDescent="0.35">
      <c r="A1057" t="s">
        <v>1012</v>
      </c>
      <c r="B1057">
        <v>58.5</v>
      </c>
      <c r="C1057">
        <v>172</v>
      </c>
      <c r="D1057" t="s">
        <v>116</v>
      </c>
      <c r="E1057">
        <v>29</v>
      </c>
      <c r="F1057" t="s">
        <v>1013</v>
      </c>
      <c r="G1057" t="s">
        <v>40</v>
      </c>
      <c r="H1057" t="s">
        <v>29</v>
      </c>
      <c r="I1057" t="s">
        <v>58</v>
      </c>
      <c r="J1057">
        <v>1</v>
      </c>
      <c r="K1057">
        <v>1</v>
      </c>
      <c r="L1057">
        <v>0</v>
      </c>
      <c r="M1057">
        <v>0</v>
      </c>
      <c r="N1057">
        <v>1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2</v>
      </c>
      <c r="X1057">
        <v>1048.44</v>
      </c>
      <c r="Y1057">
        <v>1048.44</v>
      </c>
      <c r="Z1057">
        <f>AVERAGEIFS(Table1[FinalElo], Table1[Country], Table1[[#This Row],[Country]])</f>
        <v>980.88090909090931</v>
      </c>
      <c r="AA1057" cm="1">
        <f t="array" ref="AA1057">IF(COUNTIFS(Table1[Country],Table1[[#This Row],[Country]])=1,0, _xlfn.STDEV.S(IF(Table1[Country]=Table1[[#This Row],[Country]],Table1[FinalElo])))</f>
        <v>133.41794796376408</v>
      </c>
      <c r="AB1057">
        <f>IF(Table1[[#This Row],[CStd]]=0,0, (Table1[[#This Row],[FinalElo]]-Table1[[#This Row],[CAvg]]) / Table1[[#This Row],[CStd]])</f>
        <v>0.50637183332664948</v>
      </c>
      <c r="AC1057" t="str">
        <f>IF(Table1[[#This Row],[CStd]]=0,"Normal", IF(ABS(Table1[[#This Row],[CZscore]])&gt;2,"Outlier","Normal"))</f>
        <v>Normal</v>
      </c>
    </row>
    <row r="1058" spans="1:29" x14ac:dyDescent="0.35">
      <c r="A1058" t="s">
        <v>1010</v>
      </c>
      <c r="B1058">
        <v>61.2</v>
      </c>
      <c r="C1058">
        <v>174</v>
      </c>
      <c r="D1058" t="s">
        <v>116</v>
      </c>
      <c r="E1058">
        <v>25</v>
      </c>
      <c r="F1058" t="s">
        <v>1011</v>
      </c>
      <c r="G1058" t="s">
        <v>28</v>
      </c>
      <c r="H1058" t="s">
        <v>29</v>
      </c>
      <c r="I1058" t="s">
        <v>58</v>
      </c>
      <c r="J1058">
        <v>1</v>
      </c>
      <c r="K1058">
        <v>1</v>
      </c>
      <c r="L1058">
        <v>0</v>
      </c>
      <c r="M1058">
        <v>0</v>
      </c>
      <c r="N1058">
        <v>0</v>
      </c>
      <c r="O1058">
        <v>0</v>
      </c>
      <c r="P1058">
        <v>1</v>
      </c>
      <c r="Q1058">
        <v>0</v>
      </c>
      <c r="R1058">
        <v>0</v>
      </c>
      <c r="S1058">
        <v>0</v>
      </c>
      <c r="T1058">
        <v>0</v>
      </c>
      <c r="U1058">
        <v>1</v>
      </c>
      <c r="V1058">
        <v>0</v>
      </c>
      <c r="W1058">
        <v>2</v>
      </c>
      <c r="X1058">
        <v>1000</v>
      </c>
      <c r="Y1058">
        <v>1100</v>
      </c>
      <c r="Z1058">
        <f>AVERAGEIFS(Table1[FinalElo], Table1[Country], Table1[[#This Row],[Country]])</f>
        <v>980.88090909090931</v>
      </c>
      <c r="AA1058" cm="1">
        <f t="array" ref="AA1058">IF(COUNTIFS(Table1[Country],Table1[[#This Row],[Country]])=1,0, _xlfn.STDEV.S(IF(Table1[Country]=Table1[[#This Row],[Country]],Table1[FinalElo])))</f>
        <v>133.41794796376408</v>
      </c>
      <c r="AB1058">
        <f>IF(Table1[[#This Row],[CStd]]=0,0, (Table1[[#This Row],[FinalElo]]-Table1[[#This Row],[CAvg]]) / Table1[[#This Row],[CStd]])</f>
        <v>0.14330224082207721</v>
      </c>
      <c r="AC1058" t="str">
        <f>IF(Table1[[#This Row],[CStd]]=0,"Normal", IF(ABS(Table1[[#This Row],[CZscore]])&gt;2,"Outlier","Normal"))</f>
        <v>Normal</v>
      </c>
    </row>
    <row r="1059" spans="1:29" x14ac:dyDescent="0.35">
      <c r="A1059" t="s">
        <v>1008</v>
      </c>
      <c r="B1059">
        <v>60.8</v>
      </c>
      <c r="C1059">
        <v>168</v>
      </c>
      <c r="D1059" t="s">
        <v>116</v>
      </c>
      <c r="E1059">
        <v>29</v>
      </c>
      <c r="F1059" t="s">
        <v>1009</v>
      </c>
      <c r="G1059" t="s">
        <v>40</v>
      </c>
      <c r="H1059" t="s">
        <v>29</v>
      </c>
      <c r="I1059" t="s">
        <v>58</v>
      </c>
      <c r="J1059">
        <v>8</v>
      </c>
      <c r="K1059">
        <v>2</v>
      </c>
      <c r="L1059">
        <v>0</v>
      </c>
      <c r="M1059">
        <v>2</v>
      </c>
      <c r="N1059">
        <v>0</v>
      </c>
      <c r="O1059">
        <v>1</v>
      </c>
      <c r="P1059">
        <v>3</v>
      </c>
      <c r="Q1059">
        <v>1</v>
      </c>
      <c r="R1059">
        <v>0</v>
      </c>
      <c r="S1059">
        <v>0</v>
      </c>
      <c r="T1059">
        <v>0</v>
      </c>
      <c r="U1059">
        <v>1</v>
      </c>
      <c r="V1059">
        <v>1</v>
      </c>
      <c r="W1059">
        <v>10</v>
      </c>
      <c r="X1059">
        <v>1291.74</v>
      </c>
      <c r="Y1059">
        <v>1431.93</v>
      </c>
      <c r="Z1059">
        <f>AVERAGEIFS(Table1[FinalElo], Table1[Country], Table1[[#This Row],[Country]])</f>
        <v>980.88090909090931</v>
      </c>
      <c r="AA1059" cm="1">
        <f t="array" ref="AA1059">IF(COUNTIFS(Table1[Country],Table1[[#This Row],[Country]])=1,0, _xlfn.STDEV.S(IF(Table1[Country]=Table1[[#This Row],[Country]],Table1[FinalElo])))</f>
        <v>133.41794796376408</v>
      </c>
      <c r="AB1059">
        <f>IF(Table1[[#This Row],[CStd]]=0,0, (Table1[[#This Row],[FinalElo]]-Table1[[#This Row],[CAvg]]) / Table1[[#This Row],[CStd]])</f>
        <v>2.329964563639662</v>
      </c>
      <c r="AC1059" t="str">
        <f>IF(Table1[[#This Row],[CStd]]=0,"Normal", IF(ABS(Table1[[#This Row],[CZscore]])&gt;2,"Outlier","Normal"))</f>
        <v>Outlier</v>
      </c>
    </row>
    <row r="1060" spans="1:29" x14ac:dyDescent="0.35">
      <c r="A1060" t="s">
        <v>1006</v>
      </c>
      <c r="B1060">
        <v>56.4</v>
      </c>
      <c r="C1060">
        <v>168</v>
      </c>
      <c r="D1060" t="s">
        <v>116</v>
      </c>
      <c r="E1060">
        <v>21</v>
      </c>
      <c r="F1060" t="s">
        <v>1007</v>
      </c>
      <c r="G1060" t="s">
        <v>28</v>
      </c>
      <c r="H1060" t="s">
        <v>29</v>
      </c>
      <c r="I1060" t="s">
        <v>36</v>
      </c>
      <c r="J1060">
        <v>0</v>
      </c>
      <c r="K1060">
        <v>1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1</v>
      </c>
      <c r="V1060">
        <v>0</v>
      </c>
      <c r="W1060">
        <v>1</v>
      </c>
      <c r="X1060">
        <v>928.01</v>
      </c>
      <c r="Y1060">
        <v>1000</v>
      </c>
      <c r="Z1060">
        <f>AVERAGEIFS(Table1[FinalElo], Table1[Country], Table1[[#This Row],[Country]])</f>
        <v>980.88090909090931</v>
      </c>
      <c r="AA1060" cm="1">
        <f t="array" ref="AA1060">IF(COUNTIFS(Table1[Country],Table1[[#This Row],[Country]])=1,0, _xlfn.STDEV.S(IF(Table1[Country]=Table1[[#This Row],[Country]],Table1[FinalElo])))</f>
        <v>133.41794796376408</v>
      </c>
      <c r="AB1060">
        <f>IF(Table1[[#This Row],[CStd]]=0,0, (Table1[[#This Row],[FinalElo]]-Table1[[#This Row],[CAvg]]) / Table1[[#This Row],[CStd]])</f>
        <v>-0.39628033482623271</v>
      </c>
      <c r="AC1060" t="str">
        <f>IF(Table1[[#This Row],[CStd]]=0,"Normal", IF(ABS(Table1[[#This Row],[CZscore]])&gt;2,"Outlier","Normal"))</f>
        <v>Normal</v>
      </c>
    </row>
    <row r="1061" spans="1:29" x14ac:dyDescent="0.35">
      <c r="A1061" t="s">
        <v>1005</v>
      </c>
      <c r="B1061">
        <v>77.099999999999994</v>
      </c>
      <c r="C1061">
        <v>175</v>
      </c>
      <c r="D1061" t="s">
        <v>116</v>
      </c>
      <c r="E1061">
        <v>30</v>
      </c>
      <c r="F1061" t="s">
        <v>720</v>
      </c>
      <c r="G1061" t="s">
        <v>40</v>
      </c>
      <c r="H1061" t="s">
        <v>29</v>
      </c>
      <c r="I1061" t="s">
        <v>30</v>
      </c>
      <c r="J1061">
        <v>1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1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1</v>
      </c>
      <c r="X1061">
        <v>1071.99</v>
      </c>
      <c r="Y1061">
        <v>1071.99</v>
      </c>
      <c r="Z1061">
        <f>AVERAGEIFS(Table1[FinalElo], Table1[Country], Table1[[#This Row],[Country]])</f>
        <v>980.88090909090931</v>
      </c>
      <c r="AA1061" cm="1">
        <f t="array" ref="AA1061">IF(COUNTIFS(Table1[Country],Table1[[#This Row],[Country]])=1,0, _xlfn.STDEV.S(IF(Table1[Country]=Table1[[#This Row],[Country]],Table1[FinalElo])))</f>
        <v>133.41794796376408</v>
      </c>
      <c r="AB1061">
        <f>IF(Table1[[#This Row],[CStd]]=0,0, (Table1[[#This Row],[FinalElo]]-Table1[[#This Row],[CAvg]]) / Table1[[#This Row],[CStd]])</f>
        <v>0.68288481647038712</v>
      </c>
      <c r="AC1061" t="str">
        <f>IF(Table1[[#This Row],[CStd]]=0,"Normal", IF(ABS(Table1[[#This Row],[CZscore]])&gt;2,"Outlier","Normal"))</f>
        <v>Normal</v>
      </c>
    </row>
    <row r="1062" spans="1:29" x14ac:dyDescent="0.35">
      <c r="A1062" t="s">
        <v>1003</v>
      </c>
      <c r="B1062">
        <v>68</v>
      </c>
      <c r="C1062">
        <v>178</v>
      </c>
      <c r="D1062" t="s">
        <v>116</v>
      </c>
      <c r="E1062">
        <v>28</v>
      </c>
      <c r="F1062" t="s">
        <v>1004</v>
      </c>
      <c r="G1062" t="s">
        <v>40</v>
      </c>
      <c r="H1062" t="s">
        <v>29</v>
      </c>
      <c r="I1062" t="s">
        <v>48</v>
      </c>
      <c r="J1062">
        <v>0</v>
      </c>
      <c r="K1062">
        <v>1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1</v>
      </c>
      <c r="T1062">
        <v>0</v>
      </c>
      <c r="U1062">
        <v>0</v>
      </c>
      <c r="V1062">
        <v>0</v>
      </c>
      <c r="W1062">
        <v>1</v>
      </c>
      <c r="X1062">
        <v>900</v>
      </c>
      <c r="Y1062">
        <v>1000</v>
      </c>
      <c r="Z1062">
        <f>AVERAGEIFS(Table1[FinalElo], Table1[Country], Table1[[#This Row],[Country]])</f>
        <v>980.88090909090931</v>
      </c>
      <c r="AA1062" cm="1">
        <f t="array" ref="AA1062">IF(COUNTIFS(Table1[Country],Table1[[#This Row],[Country]])=1,0, _xlfn.STDEV.S(IF(Table1[Country]=Table1[[#This Row],[Country]],Table1[FinalElo])))</f>
        <v>133.41794796376408</v>
      </c>
      <c r="AB1062">
        <f>IF(Table1[[#This Row],[CStd]]=0,0, (Table1[[#This Row],[FinalElo]]-Table1[[#This Row],[CAvg]]) / Table1[[#This Row],[CStd]])</f>
        <v>-0.60622210373731977</v>
      </c>
      <c r="AC1062" t="str">
        <f>IF(Table1[[#This Row],[CStd]]=0,"Normal", IF(ABS(Table1[[#This Row],[CZscore]])&gt;2,"Outlier","Normal"))</f>
        <v>Normal</v>
      </c>
    </row>
    <row r="1063" spans="1:29" x14ac:dyDescent="0.35">
      <c r="A1063" t="s">
        <v>1001</v>
      </c>
      <c r="B1063">
        <v>65.8</v>
      </c>
      <c r="C1063">
        <v>171</v>
      </c>
      <c r="D1063" t="s">
        <v>116</v>
      </c>
      <c r="E1063">
        <v>26</v>
      </c>
      <c r="F1063" t="s">
        <v>1002</v>
      </c>
      <c r="G1063" t="s">
        <v>34</v>
      </c>
      <c r="H1063" t="s">
        <v>29</v>
      </c>
      <c r="I1063" t="s">
        <v>48</v>
      </c>
      <c r="J1063">
        <v>0</v>
      </c>
      <c r="K1063">
        <v>2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2</v>
      </c>
      <c r="V1063">
        <v>0</v>
      </c>
      <c r="W1063">
        <v>2</v>
      </c>
      <c r="X1063">
        <v>828.01</v>
      </c>
      <c r="Y1063">
        <v>1000</v>
      </c>
      <c r="Z1063">
        <f>AVERAGEIFS(Table1[FinalElo], Table1[Country], Table1[[#This Row],[Country]])</f>
        <v>980.88090909090931</v>
      </c>
      <c r="AA1063" cm="1">
        <f t="array" ref="AA1063">IF(COUNTIFS(Table1[Country],Table1[[#This Row],[Country]])=1,0, _xlfn.STDEV.S(IF(Table1[Country]=Table1[[#This Row],[Country]],Table1[FinalElo])))</f>
        <v>133.41794796376408</v>
      </c>
      <c r="AB1063">
        <f>IF(Table1[[#This Row],[CStd]]=0,0, (Table1[[#This Row],[FinalElo]]-Table1[[#This Row],[CAvg]]) / Table1[[#This Row],[CStd]])</f>
        <v>-1.1458046793856296</v>
      </c>
      <c r="AC1063" t="str">
        <f>IF(Table1[[#This Row],[CStd]]=0,"Normal", IF(ABS(Table1[[#This Row],[CZscore]])&gt;2,"Outlier","Normal"))</f>
        <v>Normal</v>
      </c>
    </row>
    <row r="1064" spans="1:29" x14ac:dyDescent="0.35">
      <c r="A1064" t="s">
        <v>1000</v>
      </c>
      <c r="B1064">
        <v>77.099999999999994</v>
      </c>
      <c r="C1064">
        <v>177</v>
      </c>
      <c r="D1064" t="s">
        <v>60</v>
      </c>
      <c r="E1064">
        <v>35</v>
      </c>
      <c r="F1064" t="s">
        <v>78</v>
      </c>
      <c r="G1064" t="s">
        <v>40</v>
      </c>
      <c r="H1064" t="s">
        <v>29</v>
      </c>
      <c r="I1064" t="s">
        <v>30</v>
      </c>
      <c r="J1064">
        <v>9</v>
      </c>
      <c r="K1064">
        <v>9</v>
      </c>
      <c r="L1064">
        <v>0</v>
      </c>
      <c r="M1064">
        <v>2</v>
      </c>
      <c r="N1064">
        <v>1</v>
      </c>
      <c r="O1064">
        <v>0</v>
      </c>
      <c r="P1064">
        <v>3</v>
      </c>
      <c r="Q1064">
        <v>2</v>
      </c>
      <c r="R1064">
        <v>1</v>
      </c>
      <c r="S1064">
        <v>4</v>
      </c>
      <c r="T1064">
        <v>0</v>
      </c>
      <c r="U1064">
        <v>2</v>
      </c>
      <c r="V1064">
        <v>0</v>
      </c>
      <c r="W1064">
        <v>18</v>
      </c>
      <c r="X1064">
        <v>1063.94</v>
      </c>
      <c r="Y1064">
        <v>1220.02</v>
      </c>
      <c r="Z1064">
        <f>AVERAGEIFS(Table1[FinalElo], Table1[Country], Table1[[#This Row],[Country]])</f>
        <v>1034.681315789474</v>
      </c>
      <c r="AA1064" cm="1">
        <f t="array" ref="AA1064">IF(COUNTIFS(Table1[Country],Table1[[#This Row],[Country]])=1,0, _xlfn.STDEV.S(IF(Table1[Country]=Table1[[#This Row],[Country]],Table1[FinalElo])))</f>
        <v>152.902810204692</v>
      </c>
      <c r="AB1064">
        <f>IF(Table1[[#This Row],[CStd]]=0,0, (Table1[[#This Row],[FinalElo]]-Table1[[#This Row],[CAvg]]) / Table1[[#This Row],[CStd]])</f>
        <v>0.19135478393992436</v>
      </c>
      <c r="AC1064" t="str">
        <f>IF(Table1[[#This Row],[CStd]]=0,"Normal", IF(ABS(Table1[[#This Row],[CZscore]])&gt;2,"Outlier","Normal"))</f>
        <v>Normal</v>
      </c>
    </row>
    <row r="1065" spans="1:29" x14ac:dyDescent="0.35">
      <c r="A1065" t="s">
        <v>999</v>
      </c>
      <c r="B1065">
        <v>56.7</v>
      </c>
      <c r="C1065">
        <v>167</v>
      </c>
      <c r="D1065" t="s">
        <v>82</v>
      </c>
      <c r="E1065">
        <v>24</v>
      </c>
      <c r="F1065" t="s">
        <v>84</v>
      </c>
      <c r="G1065" t="s">
        <v>54</v>
      </c>
      <c r="H1065" t="s">
        <v>29</v>
      </c>
      <c r="I1065" t="s">
        <v>58</v>
      </c>
      <c r="J1065">
        <v>0</v>
      </c>
      <c r="K1065">
        <v>1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1</v>
      </c>
      <c r="V1065">
        <v>0</v>
      </c>
      <c r="W1065">
        <v>1</v>
      </c>
      <c r="X1065">
        <v>951.95</v>
      </c>
      <c r="Y1065">
        <v>1000</v>
      </c>
      <c r="Z1065">
        <f>AVERAGEIFS(Table1[FinalElo], Table1[Country], Table1[[#This Row],[Country]])</f>
        <v>1012.5275373134326</v>
      </c>
      <c r="AA1065" cm="1">
        <f t="array" ref="AA1065">IF(COUNTIFS(Table1[Country],Table1[[#This Row],[Country]])=1,0, _xlfn.STDEV.S(IF(Table1[Country]=Table1[[#This Row],[Country]],Table1[FinalElo])))</f>
        <v>135.61062237674741</v>
      </c>
      <c r="AB1065">
        <f>IF(Table1[[#This Row],[CStd]]=0,0, (Table1[[#This Row],[FinalElo]]-Table1[[#This Row],[CAvg]]) / Table1[[#This Row],[CStd]])</f>
        <v>-0.44670200793812997</v>
      </c>
      <c r="AC1065" t="str">
        <f>IF(Table1[[#This Row],[CStd]]=0,"Normal", IF(ABS(Table1[[#This Row],[CZscore]])&gt;2,"Outlier","Normal"))</f>
        <v>Normal</v>
      </c>
    </row>
    <row r="1066" spans="1:29" x14ac:dyDescent="0.35">
      <c r="A1066" t="s">
        <v>997</v>
      </c>
      <c r="B1066">
        <v>83.9</v>
      </c>
      <c r="C1066">
        <v>168</v>
      </c>
      <c r="D1066" t="s">
        <v>82</v>
      </c>
      <c r="E1066">
        <v>35</v>
      </c>
      <c r="F1066" t="s">
        <v>998</v>
      </c>
      <c r="G1066" t="s">
        <v>40</v>
      </c>
      <c r="H1066" t="s">
        <v>29</v>
      </c>
      <c r="I1066" t="s">
        <v>50</v>
      </c>
      <c r="J1066">
        <v>6</v>
      </c>
      <c r="K1066">
        <v>3</v>
      </c>
      <c r="L1066">
        <v>0</v>
      </c>
      <c r="M1066">
        <v>1</v>
      </c>
      <c r="N1066">
        <v>3</v>
      </c>
      <c r="O1066">
        <v>0</v>
      </c>
      <c r="P1066">
        <v>1</v>
      </c>
      <c r="Q1066">
        <v>0</v>
      </c>
      <c r="R1066">
        <v>1</v>
      </c>
      <c r="S1066">
        <v>0</v>
      </c>
      <c r="T1066">
        <v>0</v>
      </c>
      <c r="U1066">
        <v>2</v>
      </c>
      <c r="V1066">
        <v>0</v>
      </c>
      <c r="W1066">
        <v>9</v>
      </c>
      <c r="X1066">
        <v>1010.4</v>
      </c>
      <c r="Y1066">
        <v>1277.74</v>
      </c>
      <c r="Z1066">
        <f>AVERAGEIFS(Table1[FinalElo], Table1[Country], Table1[[#This Row],[Country]])</f>
        <v>1012.5275373134326</v>
      </c>
      <c r="AA1066" cm="1">
        <f t="array" ref="AA1066">IF(COUNTIFS(Table1[Country],Table1[[#This Row],[Country]])=1,0, _xlfn.STDEV.S(IF(Table1[Country]=Table1[[#This Row],[Country]],Table1[FinalElo])))</f>
        <v>135.61062237674741</v>
      </c>
      <c r="AB1066">
        <f>IF(Table1[[#This Row],[CStd]]=0,0, (Table1[[#This Row],[FinalElo]]-Table1[[#This Row],[CAvg]]) / Table1[[#This Row],[CStd]])</f>
        <v>-1.5688574214503717E-2</v>
      </c>
      <c r="AC1066" t="str">
        <f>IF(Table1[[#This Row],[CStd]]=0,"Normal", IF(ABS(Table1[[#This Row],[CZscore]])&gt;2,"Outlier","Normal"))</f>
        <v>Normal</v>
      </c>
    </row>
    <row r="1067" spans="1:29" x14ac:dyDescent="0.35">
      <c r="A1067" t="s">
        <v>995</v>
      </c>
      <c r="B1067">
        <v>68.7</v>
      </c>
      <c r="C1067">
        <v>180</v>
      </c>
      <c r="D1067" t="s">
        <v>82</v>
      </c>
      <c r="E1067">
        <v>41</v>
      </c>
      <c r="F1067" t="s">
        <v>996</v>
      </c>
      <c r="G1067" t="s">
        <v>34</v>
      </c>
      <c r="H1067" t="s">
        <v>29</v>
      </c>
      <c r="I1067" t="s">
        <v>48</v>
      </c>
      <c r="J1067">
        <v>0</v>
      </c>
      <c r="K1067">
        <v>1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1</v>
      </c>
      <c r="S1067">
        <v>0</v>
      </c>
      <c r="T1067">
        <v>0</v>
      </c>
      <c r="U1067">
        <v>0</v>
      </c>
      <c r="V1067">
        <v>0</v>
      </c>
      <c r="W1067">
        <v>1</v>
      </c>
      <c r="X1067">
        <v>899.83</v>
      </c>
      <c r="Y1067">
        <v>1000</v>
      </c>
      <c r="Z1067">
        <f>AVERAGEIFS(Table1[FinalElo], Table1[Country], Table1[[#This Row],[Country]])</f>
        <v>1012.5275373134326</v>
      </c>
      <c r="AA1067" cm="1">
        <f t="array" ref="AA1067">IF(COUNTIFS(Table1[Country],Table1[[#This Row],[Country]])=1,0, _xlfn.STDEV.S(IF(Table1[Country]=Table1[[#This Row],[Country]],Table1[FinalElo])))</f>
        <v>135.61062237674741</v>
      </c>
      <c r="AB1067">
        <f>IF(Table1[[#This Row],[CStd]]=0,0, (Table1[[#This Row],[FinalElo]]-Table1[[#This Row],[CAvg]]) / Table1[[#This Row],[CStd]])</f>
        <v>-0.83103768228672592</v>
      </c>
      <c r="AC1067" t="str">
        <f>IF(Table1[[#This Row],[CStd]]=0,"Normal", IF(ABS(Table1[[#This Row],[CZscore]])&gt;2,"Outlier","Normal"))</f>
        <v>Normal</v>
      </c>
    </row>
    <row r="1068" spans="1:29" x14ac:dyDescent="0.35">
      <c r="A1068" t="s">
        <v>993</v>
      </c>
      <c r="B1068">
        <v>54.9</v>
      </c>
      <c r="C1068">
        <v>167</v>
      </c>
      <c r="D1068" t="s">
        <v>82</v>
      </c>
      <c r="E1068">
        <v>29</v>
      </c>
      <c r="F1068" t="s">
        <v>994</v>
      </c>
      <c r="G1068" t="s">
        <v>34</v>
      </c>
      <c r="H1068" t="s">
        <v>29</v>
      </c>
      <c r="I1068" t="s">
        <v>36</v>
      </c>
      <c r="J1068">
        <v>1</v>
      </c>
      <c r="K1068">
        <v>2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1</v>
      </c>
      <c r="S1068">
        <v>0</v>
      </c>
      <c r="T1068">
        <v>0</v>
      </c>
      <c r="U1068">
        <v>1</v>
      </c>
      <c r="V1068">
        <v>0</v>
      </c>
      <c r="W1068">
        <v>3</v>
      </c>
      <c r="X1068">
        <v>911.36</v>
      </c>
      <c r="Y1068">
        <v>1100</v>
      </c>
      <c r="Z1068">
        <f>AVERAGEIFS(Table1[FinalElo], Table1[Country], Table1[[#This Row],[Country]])</f>
        <v>1012.5275373134326</v>
      </c>
      <c r="AA1068" cm="1">
        <f t="array" ref="AA1068">IF(COUNTIFS(Table1[Country],Table1[[#This Row],[Country]])=1,0, _xlfn.STDEV.S(IF(Table1[Country]=Table1[[#This Row],[Country]],Table1[FinalElo])))</f>
        <v>135.61062237674741</v>
      </c>
      <c r="AB1068">
        <f>IF(Table1[[#This Row],[CStd]]=0,0, (Table1[[#This Row],[FinalElo]]-Table1[[#This Row],[CAvg]]) / Table1[[#This Row],[CStd]])</f>
        <v>-0.74601484412020058</v>
      </c>
      <c r="AC1068" t="str">
        <f>IF(Table1[[#This Row],[CStd]]=0,"Normal", IF(ABS(Table1[[#This Row],[CZscore]])&gt;2,"Outlier","Normal"))</f>
        <v>Normal</v>
      </c>
    </row>
    <row r="1069" spans="1:29" x14ac:dyDescent="0.35">
      <c r="A1069" t="s">
        <v>991</v>
      </c>
      <c r="B1069">
        <v>70.3</v>
      </c>
      <c r="C1069">
        <v>176</v>
      </c>
      <c r="D1069" t="s">
        <v>82</v>
      </c>
      <c r="E1069">
        <v>31</v>
      </c>
      <c r="F1069" t="s">
        <v>992</v>
      </c>
      <c r="G1069" t="s">
        <v>40</v>
      </c>
      <c r="H1069" t="s">
        <v>29</v>
      </c>
      <c r="I1069" t="s">
        <v>48</v>
      </c>
      <c r="J1069">
        <v>1</v>
      </c>
      <c r="K1069">
        <v>1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1</v>
      </c>
      <c r="R1069">
        <v>0</v>
      </c>
      <c r="S1069">
        <v>0</v>
      </c>
      <c r="T1069">
        <v>0</v>
      </c>
      <c r="U1069">
        <v>1</v>
      </c>
      <c r="V1069">
        <v>0</v>
      </c>
      <c r="W1069">
        <v>2</v>
      </c>
      <c r="X1069">
        <v>1028.01</v>
      </c>
      <c r="Y1069">
        <v>1028.01</v>
      </c>
      <c r="Z1069">
        <f>AVERAGEIFS(Table1[FinalElo], Table1[Country], Table1[[#This Row],[Country]])</f>
        <v>1012.5275373134326</v>
      </c>
      <c r="AA1069" cm="1">
        <f t="array" ref="AA1069">IF(COUNTIFS(Table1[Country],Table1[[#This Row],[Country]])=1,0, _xlfn.STDEV.S(IF(Table1[Country]=Table1[[#This Row],[Country]],Table1[FinalElo])))</f>
        <v>135.61062237674741</v>
      </c>
      <c r="AB1069">
        <f>IF(Table1[[#This Row],[CStd]]=0,0, (Table1[[#This Row],[FinalElo]]-Table1[[#This Row],[CAvg]]) / Table1[[#This Row],[CStd]])</f>
        <v>0.11416850992361559</v>
      </c>
      <c r="AC1069" t="str">
        <f>IF(Table1[[#This Row],[CStd]]=0,"Normal", IF(ABS(Table1[[#This Row],[CZscore]])&gt;2,"Outlier","Normal"))</f>
        <v>Normal</v>
      </c>
    </row>
    <row r="1070" spans="1:29" x14ac:dyDescent="0.35">
      <c r="A1070" t="s">
        <v>989</v>
      </c>
      <c r="B1070">
        <v>57.7</v>
      </c>
      <c r="C1070">
        <v>171</v>
      </c>
      <c r="D1070" t="s">
        <v>82</v>
      </c>
      <c r="E1070">
        <v>27</v>
      </c>
      <c r="F1070" t="s">
        <v>990</v>
      </c>
      <c r="G1070" t="s">
        <v>34</v>
      </c>
      <c r="H1070" t="s">
        <v>29</v>
      </c>
      <c r="I1070" t="s">
        <v>58</v>
      </c>
      <c r="J1070">
        <v>0</v>
      </c>
      <c r="K1070">
        <v>1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1</v>
      </c>
      <c r="X1070">
        <v>957.23</v>
      </c>
      <c r="Y1070">
        <v>1000</v>
      </c>
      <c r="Z1070">
        <f>AVERAGEIFS(Table1[FinalElo], Table1[Country], Table1[[#This Row],[Country]])</f>
        <v>1012.5275373134326</v>
      </c>
      <c r="AA1070" cm="1">
        <f t="array" ref="AA1070">IF(COUNTIFS(Table1[Country],Table1[[#This Row],[Country]])=1,0, _xlfn.STDEV.S(IF(Table1[Country]=Table1[[#This Row],[Country]],Table1[FinalElo])))</f>
        <v>135.61062237674741</v>
      </c>
      <c r="AB1070">
        <f>IF(Table1[[#This Row],[CStd]]=0,0, (Table1[[#This Row],[FinalElo]]-Table1[[#This Row],[CAvg]]) / Table1[[#This Row],[CStd]])</f>
        <v>-0.4077670048575357</v>
      </c>
      <c r="AC1070" t="str">
        <f>IF(Table1[[#This Row],[CStd]]=0,"Normal", IF(ABS(Table1[[#This Row],[CZscore]])&gt;2,"Outlier","Normal"))</f>
        <v>Normal</v>
      </c>
    </row>
    <row r="1071" spans="1:29" x14ac:dyDescent="0.35">
      <c r="A1071" t="s">
        <v>987</v>
      </c>
      <c r="B1071">
        <v>56.2</v>
      </c>
      <c r="C1071">
        <v>165</v>
      </c>
      <c r="D1071" t="s">
        <v>82</v>
      </c>
      <c r="E1071">
        <v>29</v>
      </c>
      <c r="F1071" t="s">
        <v>988</v>
      </c>
      <c r="G1071" t="s">
        <v>40</v>
      </c>
      <c r="H1071" t="s">
        <v>29</v>
      </c>
      <c r="I1071" t="s">
        <v>36</v>
      </c>
      <c r="J1071">
        <v>0</v>
      </c>
      <c r="K1071">
        <v>1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1</v>
      </c>
      <c r="S1071">
        <v>0</v>
      </c>
      <c r="T1071">
        <v>0</v>
      </c>
      <c r="U1071">
        <v>0</v>
      </c>
      <c r="V1071">
        <v>0</v>
      </c>
      <c r="W1071">
        <v>1</v>
      </c>
      <c r="X1071">
        <v>879.47</v>
      </c>
      <c r="Y1071">
        <v>1000</v>
      </c>
      <c r="Z1071">
        <f>AVERAGEIFS(Table1[FinalElo], Table1[Country], Table1[[#This Row],[Country]])</f>
        <v>1012.5275373134326</v>
      </c>
      <c r="AA1071" cm="1">
        <f t="array" ref="AA1071">IF(COUNTIFS(Table1[Country],Table1[[#This Row],[Country]])=1,0, _xlfn.STDEV.S(IF(Table1[Country]=Table1[[#This Row],[Country]],Table1[FinalElo])))</f>
        <v>135.61062237674741</v>
      </c>
      <c r="AB1071">
        <f>IF(Table1[[#This Row],[CStd]]=0,0, (Table1[[#This Row],[FinalElo]]-Table1[[#This Row],[CAvg]]) / Table1[[#This Row],[CStd]])</f>
        <v>-0.98117341386265478</v>
      </c>
      <c r="AC1071" t="str">
        <f>IF(Table1[[#This Row],[CStd]]=0,"Normal", IF(ABS(Table1[[#This Row],[CZscore]])&gt;2,"Outlier","Normal"))</f>
        <v>Normal</v>
      </c>
    </row>
    <row r="1072" spans="1:29" x14ac:dyDescent="0.35">
      <c r="A1072" t="s">
        <v>985</v>
      </c>
      <c r="B1072">
        <v>61.23</v>
      </c>
      <c r="C1072">
        <v>175</v>
      </c>
      <c r="D1072" t="s">
        <v>82</v>
      </c>
      <c r="E1072">
        <v>28</v>
      </c>
      <c r="F1072" t="s">
        <v>986</v>
      </c>
      <c r="G1072" t="s">
        <v>28</v>
      </c>
      <c r="H1072" t="s">
        <v>29</v>
      </c>
      <c r="I1072" t="s">
        <v>73</v>
      </c>
      <c r="J1072">
        <v>0</v>
      </c>
      <c r="K1072">
        <v>1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1</v>
      </c>
      <c r="W1072">
        <v>1</v>
      </c>
      <c r="X1072">
        <v>900</v>
      </c>
      <c r="Y1072">
        <v>1000</v>
      </c>
      <c r="Z1072">
        <f>AVERAGEIFS(Table1[FinalElo], Table1[Country], Table1[[#This Row],[Country]])</f>
        <v>1012.5275373134326</v>
      </c>
      <c r="AA1072" cm="1">
        <f t="array" ref="AA1072">IF(COUNTIFS(Table1[Country],Table1[[#This Row],[Country]])=1,0, _xlfn.STDEV.S(IF(Table1[Country]=Table1[[#This Row],[Country]],Table1[FinalElo])))</f>
        <v>135.61062237674741</v>
      </c>
      <c r="AB1072">
        <f>IF(Table1[[#This Row],[CStd]]=0,0, (Table1[[#This Row],[FinalElo]]-Table1[[#This Row],[CAvg]]) / Table1[[#This Row],[CStd]])</f>
        <v>-0.82978409317238888</v>
      </c>
      <c r="AC1072" t="str">
        <f>IF(Table1[[#This Row],[CStd]]=0,"Normal", IF(ABS(Table1[[#This Row],[CZscore]])&gt;2,"Outlier","Normal"))</f>
        <v>Normal</v>
      </c>
    </row>
    <row r="1073" spans="1:29" x14ac:dyDescent="0.35">
      <c r="A1073" t="s">
        <v>983</v>
      </c>
      <c r="B1073">
        <v>61</v>
      </c>
      <c r="C1073">
        <v>173</v>
      </c>
      <c r="D1073" t="s">
        <v>82</v>
      </c>
      <c r="E1073">
        <v>22</v>
      </c>
      <c r="F1073" t="s">
        <v>984</v>
      </c>
      <c r="G1073" t="s">
        <v>28</v>
      </c>
      <c r="H1073" t="s">
        <v>29</v>
      </c>
      <c r="I1073" t="s">
        <v>58</v>
      </c>
      <c r="J1073">
        <v>3</v>
      </c>
      <c r="K1073">
        <v>1</v>
      </c>
      <c r="L1073">
        <v>0</v>
      </c>
      <c r="M1073">
        <v>3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4</v>
      </c>
      <c r="X1073">
        <v>1053.07</v>
      </c>
      <c r="Y1073">
        <v>1206.3399999999999</v>
      </c>
      <c r="Z1073">
        <f>AVERAGEIFS(Table1[FinalElo], Table1[Country], Table1[[#This Row],[Country]])</f>
        <v>1012.5275373134326</v>
      </c>
      <c r="AA1073" cm="1">
        <f t="array" ref="AA1073">IF(COUNTIFS(Table1[Country],Table1[[#This Row],[Country]])=1,0, _xlfn.STDEV.S(IF(Table1[Country]=Table1[[#This Row],[Country]],Table1[FinalElo])))</f>
        <v>135.61062237674741</v>
      </c>
      <c r="AB1073">
        <f>IF(Table1[[#This Row],[CStd]]=0,0, (Table1[[#This Row],[FinalElo]]-Table1[[#This Row],[CAvg]]) / Table1[[#This Row],[CStd]])</f>
        <v>0.29896229348416414</v>
      </c>
      <c r="AC1073" t="str">
        <f>IF(Table1[[#This Row],[CStd]]=0,"Normal", IF(ABS(Table1[[#This Row],[CZscore]])&gt;2,"Outlier","Normal"))</f>
        <v>Normal</v>
      </c>
    </row>
    <row r="1074" spans="1:29" x14ac:dyDescent="0.35">
      <c r="A1074" t="s">
        <v>981</v>
      </c>
      <c r="B1074">
        <v>64.2</v>
      </c>
      <c r="C1074">
        <v>175</v>
      </c>
      <c r="D1074" t="s">
        <v>82</v>
      </c>
      <c r="E1074">
        <v>26</v>
      </c>
      <c r="F1074" t="s">
        <v>982</v>
      </c>
      <c r="G1074" t="s">
        <v>34</v>
      </c>
      <c r="H1074" t="s">
        <v>29</v>
      </c>
      <c r="I1074" t="s">
        <v>73</v>
      </c>
      <c r="J1074">
        <v>0</v>
      </c>
      <c r="K1074">
        <v>1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1</v>
      </c>
      <c r="V1074">
        <v>0</v>
      </c>
      <c r="W1074">
        <v>1</v>
      </c>
      <c r="X1074">
        <v>908.04</v>
      </c>
      <c r="Y1074">
        <v>1000</v>
      </c>
      <c r="Z1074">
        <f>AVERAGEIFS(Table1[FinalElo], Table1[Country], Table1[[#This Row],[Country]])</f>
        <v>1012.5275373134326</v>
      </c>
      <c r="AA1074" cm="1">
        <f t="array" ref="AA1074">IF(COUNTIFS(Table1[Country],Table1[[#This Row],[Country]])=1,0, _xlfn.STDEV.S(IF(Table1[Country]=Table1[[#This Row],[Country]],Table1[FinalElo])))</f>
        <v>135.61062237674741</v>
      </c>
      <c r="AB1074">
        <f>IF(Table1[[#This Row],[CStd]]=0,0, (Table1[[#This Row],[FinalElo]]-Table1[[#This Row],[CAvg]]) / Table1[[#This Row],[CStd]])</f>
        <v>-0.77049670211784749</v>
      </c>
      <c r="AC1074" t="str">
        <f>IF(Table1[[#This Row],[CStd]]=0,"Normal", IF(ABS(Table1[[#This Row],[CZscore]])&gt;2,"Outlier","Normal"))</f>
        <v>Normal</v>
      </c>
    </row>
    <row r="1075" spans="1:29" x14ac:dyDescent="0.35">
      <c r="A1075" t="s">
        <v>980</v>
      </c>
      <c r="B1075">
        <v>65.8</v>
      </c>
      <c r="C1075">
        <v>170</v>
      </c>
      <c r="D1075" t="s">
        <v>82</v>
      </c>
      <c r="E1075">
        <v>32</v>
      </c>
      <c r="F1075" t="s">
        <v>90</v>
      </c>
      <c r="G1075" t="s">
        <v>28</v>
      </c>
      <c r="H1075" t="s">
        <v>29</v>
      </c>
      <c r="I1075" t="s">
        <v>48</v>
      </c>
      <c r="J1075">
        <v>7</v>
      </c>
      <c r="K1075">
        <v>4</v>
      </c>
      <c r="L1075">
        <v>0</v>
      </c>
      <c r="M1075">
        <v>0</v>
      </c>
      <c r="N1075">
        <v>0</v>
      </c>
      <c r="O1075">
        <v>0</v>
      </c>
      <c r="P1075">
        <v>5</v>
      </c>
      <c r="Q1075">
        <v>2</v>
      </c>
      <c r="R1075">
        <v>0</v>
      </c>
      <c r="S1075">
        <v>0</v>
      </c>
      <c r="T1075">
        <v>0</v>
      </c>
      <c r="U1075">
        <v>2</v>
      </c>
      <c r="V1075">
        <v>1</v>
      </c>
      <c r="W1075">
        <v>11</v>
      </c>
      <c r="X1075">
        <v>1148.55</v>
      </c>
      <c r="Y1075">
        <v>1315.51</v>
      </c>
      <c r="Z1075">
        <f>AVERAGEIFS(Table1[FinalElo], Table1[Country], Table1[[#This Row],[Country]])</f>
        <v>1012.5275373134326</v>
      </c>
      <c r="AA1075" cm="1">
        <f t="array" ref="AA1075">IF(COUNTIFS(Table1[Country],Table1[[#This Row],[Country]])=1,0, _xlfn.STDEV.S(IF(Table1[Country]=Table1[[#This Row],[Country]],Table1[FinalElo])))</f>
        <v>135.61062237674741</v>
      </c>
      <c r="AB1075">
        <f>IF(Table1[[#This Row],[CStd]]=0,0, (Table1[[#This Row],[FinalElo]]-Table1[[#This Row],[CAvg]]) / Table1[[#This Row],[CStd]])</f>
        <v>1.0030369325249151</v>
      </c>
      <c r="AC1075" t="str">
        <f>IF(Table1[[#This Row],[CStd]]=0,"Normal", IF(ABS(Table1[[#This Row],[CZscore]])&gt;2,"Outlier","Normal"))</f>
        <v>Normal</v>
      </c>
    </row>
    <row r="1076" spans="1:29" x14ac:dyDescent="0.35">
      <c r="A1076" t="s">
        <v>978</v>
      </c>
      <c r="B1076">
        <v>56.6</v>
      </c>
      <c r="C1076">
        <v>160</v>
      </c>
      <c r="D1076" t="s">
        <v>82</v>
      </c>
      <c r="E1076">
        <v>26</v>
      </c>
      <c r="F1076" t="s">
        <v>979</v>
      </c>
      <c r="G1076" t="s">
        <v>40</v>
      </c>
      <c r="H1076" t="s">
        <v>29</v>
      </c>
      <c r="I1076" t="s">
        <v>36</v>
      </c>
      <c r="J1076">
        <v>3</v>
      </c>
      <c r="K1076">
        <v>4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3</v>
      </c>
      <c r="R1076">
        <v>0</v>
      </c>
      <c r="S1076">
        <v>0</v>
      </c>
      <c r="T1076">
        <v>0</v>
      </c>
      <c r="U1076">
        <v>3</v>
      </c>
      <c r="V1076">
        <v>1</v>
      </c>
      <c r="W1076">
        <v>7</v>
      </c>
      <c r="X1076">
        <v>998.74</v>
      </c>
      <c r="Y1076">
        <v>1245.46</v>
      </c>
      <c r="Z1076">
        <f>AVERAGEIFS(Table1[FinalElo], Table1[Country], Table1[[#This Row],[Country]])</f>
        <v>1012.5275373134326</v>
      </c>
      <c r="AA1076" cm="1">
        <f t="array" ref="AA1076">IF(COUNTIFS(Table1[Country],Table1[[#This Row],[Country]])=1,0, _xlfn.STDEV.S(IF(Table1[Country]=Table1[[#This Row],[Country]],Table1[FinalElo])))</f>
        <v>135.61062237674741</v>
      </c>
      <c r="AB1076">
        <f>IF(Table1[[#This Row],[CStd]]=0,0, (Table1[[#This Row],[FinalElo]]-Table1[[#This Row],[CAvg]]) / Table1[[#This Row],[CStd]])</f>
        <v>-0.10167003935081637</v>
      </c>
      <c r="AC1076" t="str">
        <f>IF(Table1[[#This Row],[CStd]]=0,"Normal", IF(ABS(Table1[[#This Row],[CZscore]])&gt;2,"Outlier","Normal"))</f>
        <v>Normal</v>
      </c>
    </row>
    <row r="1077" spans="1:29" x14ac:dyDescent="0.35">
      <c r="A1077" t="s">
        <v>976</v>
      </c>
      <c r="B1077">
        <v>51.255896</v>
      </c>
      <c r="C1077">
        <v>160</v>
      </c>
      <c r="D1077" t="s">
        <v>89</v>
      </c>
      <c r="E1077">
        <v>16</v>
      </c>
      <c r="F1077" t="s">
        <v>977</v>
      </c>
      <c r="G1077" t="s">
        <v>34</v>
      </c>
      <c r="H1077" t="s">
        <v>29</v>
      </c>
      <c r="I1077" t="s">
        <v>55</v>
      </c>
      <c r="J1077">
        <v>0</v>
      </c>
      <c r="K1077">
        <v>1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1</v>
      </c>
      <c r="X1077">
        <v>928.01</v>
      </c>
      <c r="Y1077">
        <v>1000</v>
      </c>
      <c r="Z1077">
        <f>AVERAGEIFS(Table1[FinalElo], Table1[Country], Table1[[#This Row],[Country]])</f>
        <v>1012.0629025423733</v>
      </c>
      <c r="AA1077" cm="1">
        <f t="array" ref="AA1077">IF(COUNTIFS(Table1[Country],Table1[[#This Row],[Country]])=1,0, _xlfn.STDEV.S(IF(Table1[Country]=Table1[[#This Row],[Country]],Table1[FinalElo])))</f>
        <v>148.42180446198614</v>
      </c>
      <c r="AB1077">
        <f>IF(Table1[[#This Row],[CStd]]=0,0, (Table1[[#This Row],[FinalElo]]-Table1[[#This Row],[CAvg]]) / Table1[[#This Row],[CStd]])</f>
        <v>-0.56631101371564974</v>
      </c>
      <c r="AC1077" t="str">
        <f>IF(Table1[[#This Row],[CStd]]=0,"Normal", IF(ABS(Table1[[#This Row],[CZscore]])&gt;2,"Outlier","Normal"))</f>
        <v>Normal</v>
      </c>
    </row>
    <row r="1078" spans="1:29" x14ac:dyDescent="0.35">
      <c r="A1078" t="s">
        <v>974</v>
      </c>
      <c r="B1078">
        <v>65.8</v>
      </c>
      <c r="C1078">
        <v>166</v>
      </c>
      <c r="D1078" t="s">
        <v>82</v>
      </c>
      <c r="E1078">
        <v>30</v>
      </c>
      <c r="F1078" t="s">
        <v>975</v>
      </c>
      <c r="G1078" t="s">
        <v>40</v>
      </c>
      <c r="H1078" t="s">
        <v>29</v>
      </c>
      <c r="I1078" t="s">
        <v>48</v>
      </c>
      <c r="J1078">
        <v>1</v>
      </c>
      <c r="K1078">
        <v>1</v>
      </c>
      <c r="L1078">
        <v>0</v>
      </c>
      <c r="M1078">
        <v>0</v>
      </c>
      <c r="N1078">
        <v>0</v>
      </c>
      <c r="O1078">
        <v>0</v>
      </c>
      <c r="P1078">
        <v>1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1</v>
      </c>
      <c r="W1078">
        <v>2</v>
      </c>
      <c r="X1078">
        <v>960.4</v>
      </c>
      <c r="Y1078">
        <v>1079.57</v>
      </c>
      <c r="Z1078">
        <f>AVERAGEIFS(Table1[FinalElo], Table1[Country], Table1[[#This Row],[Country]])</f>
        <v>1012.5275373134326</v>
      </c>
      <c r="AA1078" cm="1">
        <f t="array" ref="AA1078">IF(COUNTIFS(Table1[Country],Table1[[#This Row],[Country]])=1,0, _xlfn.STDEV.S(IF(Table1[Country]=Table1[[#This Row],[Country]],Table1[FinalElo])))</f>
        <v>135.61062237674741</v>
      </c>
      <c r="AB1078">
        <f>IF(Table1[[#This Row],[CStd]]=0,0, (Table1[[#This Row],[FinalElo]]-Table1[[#This Row],[CAvg]]) / Table1[[#This Row],[CStd]])</f>
        <v>-0.38439125490195175</v>
      </c>
      <c r="AC1078" t="str">
        <f>IF(Table1[[#This Row],[CStd]]=0,"Normal", IF(ABS(Table1[[#This Row],[CZscore]])&gt;2,"Outlier","Normal"))</f>
        <v>Normal</v>
      </c>
    </row>
    <row r="1079" spans="1:29" x14ac:dyDescent="0.35">
      <c r="A1079" t="s">
        <v>972</v>
      </c>
      <c r="B1079">
        <v>57.7</v>
      </c>
      <c r="C1079">
        <v>170</v>
      </c>
      <c r="D1079" t="s">
        <v>82</v>
      </c>
      <c r="E1079">
        <v>24</v>
      </c>
      <c r="F1079" t="s">
        <v>973</v>
      </c>
      <c r="G1079" t="s">
        <v>34</v>
      </c>
      <c r="H1079" t="s">
        <v>29</v>
      </c>
      <c r="I1079" t="s">
        <v>58</v>
      </c>
      <c r="J1079">
        <v>1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1</v>
      </c>
      <c r="X1079">
        <v>1100</v>
      </c>
      <c r="Y1079">
        <v>1100</v>
      </c>
      <c r="Z1079">
        <f>AVERAGEIFS(Table1[FinalElo], Table1[Country], Table1[[#This Row],[Country]])</f>
        <v>1012.5275373134326</v>
      </c>
      <c r="AA1079" cm="1">
        <f t="array" ref="AA1079">IF(COUNTIFS(Table1[Country],Table1[[#This Row],[Country]])=1,0, _xlfn.STDEV.S(IF(Table1[Country]=Table1[[#This Row],[Country]],Table1[FinalElo])))</f>
        <v>135.61062237674741</v>
      </c>
      <c r="AB1079">
        <f>IF(Table1[[#This Row],[CStd]]=0,0, (Table1[[#This Row],[FinalElo]]-Table1[[#This Row],[CAvg]]) / Table1[[#This Row],[CStd]])</f>
        <v>0.64502662957740331</v>
      </c>
      <c r="AC1079" t="str">
        <f>IF(Table1[[#This Row],[CStd]]=0,"Normal", IF(ABS(Table1[[#This Row],[CZscore]])&gt;2,"Outlier","Normal"))</f>
        <v>Normal</v>
      </c>
    </row>
    <row r="1080" spans="1:29" x14ac:dyDescent="0.35">
      <c r="A1080" t="s">
        <v>970</v>
      </c>
      <c r="B1080">
        <v>70.31</v>
      </c>
      <c r="C1080">
        <v>175</v>
      </c>
      <c r="D1080" t="s">
        <v>82</v>
      </c>
      <c r="E1080">
        <v>29</v>
      </c>
      <c r="F1080" t="s">
        <v>971</v>
      </c>
      <c r="G1080" t="s">
        <v>40</v>
      </c>
      <c r="H1080" t="s">
        <v>29</v>
      </c>
      <c r="I1080" t="s">
        <v>30</v>
      </c>
      <c r="J1080">
        <v>0</v>
      </c>
      <c r="K1080">
        <v>1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1</v>
      </c>
      <c r="S1080">
        <v>0</v>
      </c>
      <c r="T1080">
        <v>0</v>
      </c>
      <c r="U1080">
        <v>0</v>
      </c>
      <c r="V1080">
        <v>0</v>
      </c>
      <c r="W1080">
        <v>1</v>
      </c>
      <c r="X1080">
        <v>900</v>
      </c>
      <c r="Y1080">
        <v>1000</v>
      </c>
      <c r="Z1080">
        <f>AVERAGEIFS(Table1[FinalElo], Table1[Country], Table1[[#This Row],[Country]])</f>
        <v>1012.5275373134326</v>
      </c>
      <c r="AA1080" cm="1">
        <f t="array" ref="AA1080">IF(COUNTIFS(Table1[Country],Table1[[#This Row],[Country]])=1,0, _xlfn.STDEV.S(IF(Table1[Country]=Table1[[#This Row],[Country]],Table1[FinalElo])))</f>
        <v>135.61062237674741</v>
      </c>
      <c r="AB1080">
        <f>IF(Table1[[#This Row],[CStd]]=0,0, (Table1[[#This Row],[FinalElo]]-Table1[[#This Row],[CAvg]]) / Table1[[#This Row],[CStd]])</f>
        <v>-0.82978409317238888</v>
      </c>
      <c r="AC1080" t="str">
        <f>IF(Table1[[#This Row],[CStd]]=0,"Normal", IF(ABS(Table1[[#This Row],[CZscore]])&gt;2,"Outlier","Normal"))</f>
        <v>Normal</v>
      </c>
    </row>
    <row r="1081" spans="1:29" x14ac:dyDescent="0.35">
      <c r="A1081" t="s">
        <v>1667</v>
      </c>
      <c r="B1081">
        <v>56.7</v>
      </c>
      <c r="C1081">
        <v>160</v>
      </c>
      <c r="D1081" t="s">
        <v>156</v>
      </c>
      <c r="E1081">
        <v>35</v>
      </c>
      <c r="F1081" t="s">
        <v>188</v>
      </c>
      <c r="G1081" t="s">
        <v>40</v>
      </c>
      <c r="H1081" t="s">
        <v>29</v>
      </c>
      <c r="I1081" t="s">
        <v>58</v>
      </c>
      <c r="J1081">
        <v>1</v>
      </c>
      <c r="K1081">
        <v>1</v>
      </c>
      <c r="L1081">
        <v>0</v>
      </c>
      <c r="M1081">
        <v>0</v>
      </c>
      <c r="N1081">
        <v>1</v>
      </c>
      <c r="O1081">
        <v>0</v>
      </c>
      <c r="P1081">
        <v>0</v>
      </c>
      <c r="Q1081">
        <v>0</v>
      </c>
      <c r="R1081">
        <v>1</v>
      </c>
      <c r="S1081">
        <v>0</v>
      </c>
      <c r="T1081">
        <v>0</v>
      </c>
      <c r="U1081">
        <v>0</v>
      </c>
      <c r="V1081">
        <v>0</v>
      </c>
      <c r="W1081">
        <v>2</v>
      </c>
      <c r="X1081">
        <v>971.99</v>
      </c>
      <c r="Y1081">
        <v>1100</v>
      </c>
      <c r="Z1081">
        <f>AVERAGEIFS(Table1[FinalElo], Table1[Country], Table1[[#This Row],[Country]])</f>
        <v>1071.99</v>
      </c>
      <c r="AA1081" cm="1">
        <f t="array" ref="AA1081">IF(COUNTIFS(Table1[Country],Table1[[#This Row],[Country]])=1,0, _xlfn.STDEV.S(IF(Table1[Country]=Table1[[#This Row],[Country]],Table1[FinalElo])))</f>
        <v>100</v>
      </c>
      <c r="AB1081">
        <f>IF(Table1[[#This Row],[CStd]]=0,0, (Table1[[#This Row],[FinalElo]]-Table1[[#This Row],[CAvg]]) / Table1[[#This Row],[CStd]])</f>
        <v>-1</v>
      </c>
      <c r="AC1081" t="str">
        <f>IF(Table1[[#This Row],[CStd]]=0,"Normal", IF(ABS(Table1[[#This Row],[CZscore]])&gt;2,"Outlier","Normal"))</f>
        <v>Normal</v>
      </c>
    </row>
    <row r="1082" spans="1:29" x14ac:dyDescent="0.35">
      <c r="A1082" t="s">
        <v>968</v>
      </c>
      <c r="B1082">
        <v>56.7</v>
      </c>
      <c r="C1082">
        <v>163</v>
      </c>
      <c r="D1082" t="s">
        <v>116</v>
      </c>
      <c r="E1082">
        <v>40</v>
      </c>
      <c r="F1082" t="s">
        <v>969</v>
      </c>
      <c r="G1082" t="s">
        <v>40</v>
      </c>
      <c r="H1082" t="s">
        <v>29</v>
      </c>
      <c r="I1082" t="s">
        <v>58</v>
      </c>
      <c r="J1082">
        <v>3</v>
      </c>
      <c r="K1082">
        <v>2</v>
      </c>
      <c r="L1082">
        <v>0</v>
      </c>
      <c r="M1082">
        <v>0</v>
      </c>
      <c r="N1082">
        <v>0</v>
      </c>
      <c r="O1082">
        <v>0</v>
      </c>
      <c r="P1082">
        <v>2</v>
      </c>
      <c r="Q1082">
        <v>1</v>
      </c>
      <c r="R1082">
        <v>0</v>
      </c>
      <c r="S1082">
        <v>1</v>
      </c>
      <c r="T1082">
        <v>0</v>
      </c>
      <c r="U1082">
        <v>1</v>
      </c>
      <c r="V1082">
        <v>0</v>
      </c>
      <c r="W1082">
        <v>5</v>
      </c>
      <c r="X1082">
        <v>1099.77</v>
      </c>
      <c r="Y1082">
        <v>1208.3499999999999</v>
      </c>
      <c r="Z1082">
        <f>AVERAGEIFS(Table1[FinalElo], Table1[Country], Table1[[#This Row],[Country]])</f>
        <v>980.88090909090931</v>
      </c>
      <c r="AA1082" cm="1">
        <f t="array" ref="AA1082">IF(COUNTIFS(Table1[Country],Table1[[#This Row],[Country]])=1,0, _xlfn.STDEV.S(IF(Table1[Country]=Table1[[#This Row],[Country]],Table1[FinalElo])))</f>
        <v>133.41794796376408</v>
      </c>
      <c r="AB1082">
        <f>IF(Table1[[#This Row],[CStd]]=0,0, (Table1[[#This Row],[FinalElo]]-Table1[[#This Row],[CAvg]]) / Table1[[#This Row],[CStd]])</f>
        <v>0.89110267938898746</v>
      </c>
      <c r="AC1082" t="str">
        <f>IF(Table1[[#This Row],[CStd]]=0,"Normal", IF(ABS(Table1[[#This Row],[CZscore]])&gt;2,"Outlier","Normal"))</f>
        <v>Normal</v>
      </c>
    </row>
    <row r="1083" spans="1:29" x14ac:dyDescent="0.35">
      <c r="A1083" t="s">
        <v>966</v>
      </c>
      <c r="B1083">
        <v>51.255896</v>
      </c>
      <c r="C1083">
        <v>164</v>
      </c>
      <c r="D1083" t="s">
        <v>89</v>
      </c>
      <c r="E1083">
        <v>23</v>
      </c>
      <c r="F1083" t="s">
        <v>967</v>
      </c>
      <c r="G1083" t="s">
        <v>34</v>
      </c>
      <c r="H1083" t="s">
        <v>29</v>
      </c>
      <c r="I1083" t="s">
        <v>55</v>
      </c>
      <c r="J1083">
        <v>3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1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3</v>
      </c>
      <c r="X1083">
        <v>1220.04</v>
      </c>
      <c r="Y1083">
        <v>1220.04</v>
      </c>
      <c r="Z1083">
        <f>AVERAGEIFS(Table1[FinalElo], Table1[Country], Table1[[#This Row],[Country]])</f>
        <v>1012.0629025423733</v>
      </c>
      <c r="AA1083" cm="1">
        <f t="array" ref="AA1083">IF(COUNTIFS(Table1[Country],Table1[[#This Row],[Country]])=1,0, _xlfn.STDEV.S(IF(Table1[Country]=Table1[[#This Row],[Country]],Table1[FinalElo])))</f>
        <v>148.42180446198614</v>
      </c>
      <c r="AB1083">
        <f>IF(Table1[[#This Row],[CStd]]=0,0, (Table1[[#This Row],[FinalElo]]-Table1[[#This Row],[CAvg]]) / Table1[[#This Row],[CStd]])</f>
        <v>1.4012570337055419</v>
      </c>
      <c r="AC1083" t="str">
        <f>IF(Table1[[#This Row],[CStd]]=0,"Normal", IF(ABS(Table1[[#This Row],[CZscore]])&gt;2,"Outlier","Normal"))</f>
        <v>Normal</v>
      </c>
    </row>
    <row r="1084" spans="1:29" x14ac:dyDescent="0.35">
      <c r="A1084" t="s">
        <v>964</v>
      </c>
      <c r="B1084">
        <v>61.23</v>
      </c>
      <c r="C1084">
        <v>183</v>
      </c>
      <c r="D1084" t="s">
        <v>89</v>
      </c>
      <c r="E1084">
        <v>22</v>
      </c>
      <c r="F1084" t="s">
        <v>965</v>
      </c>
      <c r="G1084" t="s">
        <v>34</v>
      </c>
      <c r="H1084" t="s">
        <v>29</v>
      </c>
      <c r="I1084" t="s">
        <v>73</v>
      </c>
      <c r="J1084">
        <v>2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1</v>
      </c>
      <c r="Q1084">
        <v>1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2</v>
      </c>
      <c r="X1084">
        <v>1181.04</v>
      </c>
      <c r="Y1084">
        <v>1181.04</v>
      </c>
      <c r="Z1084">
        <f>AVERAGEIFS(Table1[FinalElo], Table1[Country], Table1[[#This Row],[Country]])</f>
        <v>1012.0629025423733</v>
      </c>
      <c r="AA1084" cm="1">
        <f t="array" ref="AA1084">IF(COUNTIFS(Table1[Country],Table1[[#This Row],[Country]])=1,0, _xlfn.STDEV.S(IF(Table1[Country]=Table1[[#This Row],[Country]],Table1[FinalElo])))</f>
        <v>148.42180446198614</v>
      </c>
      <c r="AB1084">
        <f>IF(Table1[[#This Row],[CStd]]=0,0, (Table1[[#This Row],[FinalElo]]-Table1[[#This Row],[CAvg]]) / Table1[[#This Row],[CStd]])</f>
        <v>1.1384924072992599</v>
      </c>
      <c r="AC1084" t="str">
        <f>IF(Table1[[#This Row],[CStd]]=0,"Normal", IF(ABS(Table1[[#This Row],[CZscore]])&gt;2,"Outlier","Normal"))</f>
        <v>Normal</v>
      </c>
    </row>
    <row r="1085" spans="1:29" x14ac:dyDescent="0.35">
      <c r="A1085" t="s">
        <v>962</v>
      </c>
      <c r="B1085">
        <v>69.8</v>
      </c>
      <c r="C1085">
        <v>184</v>
      </c>
      <c r="D1085" t="s">
        <v>146</v>
      </c>
      <c r="E1085">
        <v>28</v>
      </c>
      <c r="F1085" t="s">
        <v>963</v>
      </c>
      <c r="G1085" t="s">
        <v>34</v>
      </c>
      <c r="H1085" t="s">
        <v>29</v>
      </c>
      <c r="I1085" t="s">
        <v>48</v>
      </c>
      <c r="J1085">
        <v>0</v>
      </c>
      <c r="K1085">
        <v>2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1</v>
      </c>
      <c r="V1085">
        <v>0</v>
      </c>
      <c r="W1085">
        <v>2</v>
      </c>
      <c r="X1085">
        <v>933.85</v>
      </c>
      <c r="Y1085">
        <v>1000</v>
      </c>
      <c r="Z1085">
        <f>AVERAGEIFS(Table1[FinalElo], Table1[Country], Table1[[#This Row],[Country]])</f>
        <v>971.46103448275846</v>
      </c>
      <c r="AA1085" cm="1">
        <f t="array" ref="AA1085">IF(COUNTIFS(Table1[Country],Table1[[#This Row],[Country]])=1,0, _xlfn.STDEV.S(IF(Table1[Country]=Table1[[#This Row],[Country]],Table1[FinalElo])))</f>
        <v>107.62263899334665</v>
      </c>
      <c r="AB1085">
        <f>IF(Table1[[#This Row],[CStd]]=0,0, (Table1[[#This Row],[FinalElo]]-Table1[[#This Row],[CAvg]]) / Table1[[#This Row],[CStd]])</f>
        <v>-0.34947140150580769</v>
      </c>
      <c r="AC1085" t="str">
        <f>IF(Table1[[#This Row],[CStd]]=0,"Normal", IF(ABS(Table1[[#This Row],[CZscore]])&gt;2,"Outlier","Normal"))</f>
        <v>Normal</v>
      </c>
    </row>
    <row r="1086" spans="1:29" x14ac:dyDescent="0.35">
      <c r="A1086" t="s">
        <v>960</v>
      </c>
      <c r="B1086">
        <v>53.6</v>
      </c>
      <c r="C1086">
        <v>167</v>
      </c>
      <c r="D1086" t="s">
        <v>82</v>
      </c>
      <c r="E1086">
        <v>22</v>
      </c>
      <c r="F1086" t="s">
        <v>961</v>
      </c>
      <c r="G1086" t="s">
        <v>34</v>
      </c>
      <c r="H1086" t="s">
        <v>29</v>
      </c>
      <c r="I1086" t="s">
        <v>36</v>
      </c>
      <c r="J1086">
        <v>4</v>
      </c>
      <c r="K1086">
        <v>1</v>
      </c>
      <c r="L1086">
        <v>0</v>
      </c>
      <c r="M1086">
        <v>1</v>
      </c>
      <c r="N1086">
        <v>0</v>
      </c>
      <c r="O1086">
        <v>0</v>
      </c>
      <c r="P1086">
        <v>1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5</v>
      </c>
      <c r="X1086">
        <v>1139.8900000000001</v>
      </c>
      <c r="Y1086">
        <v>1289.6199999999999</v>
      </c>
      <c r="Z1086">
        <f>AVERAGEIFS(Table1[FinalElo], Table1[Country], Table1[[#This Row],[Country]])</f>
        <v>1012.5275373134326</v>
      </c>
      <c r="AA1086" cm="1">
        <f t="array" ref="AA1086">IF(COUNTIFS(Table1[Country],Table1[[#This Row],[Country]])=1,0, _xlfn.STDEV.S(IF(Table1[Country]=Table1[[#This Row],[Country]],Table1[FinalElo])))</f>
        <v>135.61062237674741</v>
      </c>
      <c r="AB1086">
        <f>IF(Table1[[#This Row],[CStd]]=0,0, (Table1[[#This Row],[FinalElo]]-Table1[[#This Row],[CAvg]]) / Table1[[#This Row],[CStd]])</f>
        <v>0.93917762822985018</v>
      </c>
      <c r="AC1086" t="str">
        <f>IF(Table1[[#This Row],[CStd]]=0,"Normal", IF(ABS(Table1[[#This Row],[CZscore]])&gt;2,"Outlier","Normal"))</f>
        <v>Normal</v>
      </c>
    </row>
    <row r="1087" spans="1:29" x14ac:dyDescent="0.35">
      <c r="A1087" t="s">
        <v>958</v>
      </c>
      <c r="B1087">
        <v>58.059775999999999</v>
      </c>
      <c r="C1087">
        <v>175</v>
      </c>
      <c r="D1087" t="s">
        <v>82</v>
      </c>
      <c r="E1087">
        <v>25</v>
      </c>
      <c r="F1087" t="s">
        <v>959</v>
      </c>
      <c r="G1087" t="s">
        <v>28</v>
      </c>
      <c r="H1087" t="s">
        <v>29</v>
      </c>
      <c r="I1087" t="s">
        <v>58</v>
      </c>
      <c r="J1087">
        <v>1</v>
      </c>
      <c r="K1087">
        <v>1</v>
      </c>
      <c r="L1087">
        <v>0</v>
      </c>
      <c r="M1087">
        <v>0</v>
      </c>
      <c r="N1087">
        <v>0</v>
      </c>
      <c r="O1087">
        <v>0</v>
      </c>
      <c r="P1087">
        <v>1</v>
      </c>
      <c r="Q1087">
        <v>0</v>
      </c>
      <c r="R1087">
        <v>0</v>
      </c>
      <c r="S1087">
        <v>0</v>
      </c>
      <c r="T1087">
        <v>0</v>
      </c>
      <c r="U1087">
        <v>1</v>
      </c>
      <c r="V1087">
        <v>0</v>
      </c>
      <c r="W1087">
        <v>2</v>
      </c>
      <c r="X1087">
        <v>990.08</v>
      </c>
      <c r="Y1087">
        <v>1124.44</v>
      </c>
      <c r="Z1087">
        <f>AVERAGEIFS(Table1[FinalElo], Table1[Country], Table1[[#This Row],[Country]])</f>
        <v>1012.5275373134326</v>
      </c>
      <c r="AA1087" cm="1">
        <f t="array" ref="AA1087">IF(COUNTIFS(Table1[Country],Table1[[#This Row],[Country]])=1,0, _xlfn.STDEV.S(IF(Table1[Country]=Table1[[#This Row],[Country]],Table1[FinalElo])))</f>
        <v>135.61062237674741</v>
      </c>
      <c r="AB1087">
        <f>IF(Table1[[#This Row],[CStd]]=0,0, (Table1[[#This Row],[FinalElo]]-Table1[[#This Row],[CAvg]]) / Table1[[#This Row],[CStd]])</f>
        <v>-0.16552934364588215</v>
      </c>
      <c r="AC1087" t="str">
        <f>IF(Table1[[#This Row],[CStd]]=0,"Normal", IF(ABS(Table1[[#This Row],[CZscore]])&gt;2,"Outlier","Normal"))</f>
        <v>Normal</v>
      </c>
    </row>
    <row r="1088" spans="1:29" x14ac:dyDescent="0.35">
      <c r="A1088" t="s">
        <v>957</v>
      </c>
      <c r="B1088">
        <v>65.3</v>
      </c>
      <c r="C1088">
        <v>176</v>
      </c>
      <c r="D1088" t="s">
        <v>32</v>
      </c>
      <c r="E1088">
        <v>24</v>
      </c>
      <c r="F1088" t="s">
        <v>33</v>
      </c>
      <c r="G1088" t="s">
        <v>40</v>
      </c>
      <c r="H1088" t="s">
        <v>29</v>
      </c>
      <c r="I1088" t="s">
        <v>73</v>
      </c>
      <c r="J1088">
        <v>1</v>
      </c>
      <c r="K1088">
        <v>1</v>
      </c>
      <c r="L1088">
        <v>0</v>
      </c>
      <c r="M1088">
        <v>1</v>
      </c>
      <c r="N1088">
        <v>0</v>
      </c>
      <c r="O1088">
        <v>0</v>
      </c>
      <c r="P1088">
        <v>0</v>
      </c>
      <c r="Q1088">
        <v>0</v>
      </c>
      <c r="R1088">
        <v>1</v>
      </c>
      <c r="S1088">
        <v>0</v>
      </c>
      <c r="T1088">
        <v>0</v>
      </c>
      <c r="U1088">
        <v>0</v>
      </c>
      <c r="V1088">
        <v>0</v>
      </c>
      <c r="W1088">
        <v>2</v>
      </c>
      <c r="X1088">
        <v>1006.15</v>
      </c>
      <c r="Y1088">
        <v>1145.82</v>
      </c>
      <c r="Z1088">
        <f>AVERAGEIFS(Table1[FinalElo], Table1[Country], Table1[[#This Row],[Country]])</f>
        <v>1025.3786885245902</v>
      </c>
      <c r="AA1088" cm="1">
        <f t="array" ref="AA1088">IF(COUNTIFS(Table1[Country],Table1[[#This Row],[Country]])=1,0, _xlfn.STDEV.S(IF(Table1[Country]=Table1[[#This Row],[Country]],Table1[FinalElo])))</f>
        <v>144.71595558743479</v>
      </c>
      <c r="AB1088">
        <f>IF(Table1[[#This Row],[CStd]]=0,0, (Table1[[#This Row],[FinalElo]]-Table1[[#This Row],[CAvg]]) / Table1[[#This Row],[CStd]])</f>
        <v>-0.13287193140892181</v>
      </c>
      <c r="AC1088" t="str">
        <f>IF(Table1[[#This Row],[CStd]]=0,"Normal", IF(ABS(Table1[[#This Row],[CZscore]])&gt;2,"Outlier","Normal"))</f>
        <v>Normal</v>
      </c>
    </row>
    <row r="1089" spans="1:29" x14ac:dyDescent="0.35">
      <c r="A1089" t="s">
        <v>955</v>
      </c>
      <c r="B1089">
        <v>54</v>
      </c>
      <c r="C1089">
        <v>163</v>
      </c>
      <c r="D1089" t="s">
        <v>396</v>
      </c>
      <c r="E1089">
        <v>27</v>
      </c>
      <c r="F1089" t="s">
        <v>956</v>
      </c>
      <c r="G1089" t="s">
        <v>34</v>
      </c>
      <c r="H1089" t="s">
        <v>29</v>
      </c>
      <c r="I1089" t="s">
        <v>36</v>
      </c>
      <c r="J1089">
        <v>0</v>
      </c>
      <c r="K1089">
        <v>1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1</v>
      </c>
      <c r="X1089">
        <v>945.82</v>
      </c>
      <c r="Y1089">
        <v>1000</v>
      </c>
      <c r="Z1089">
        <f>AVERAGEIFS(Table1[FinalElo], Table1[Country], Table1[[#This Row],[Country]])</f>
        <v>998.29391304347814</v>
      </c>
      <c r="AA1089" cm="1">
        <f t="array" ref="AA1089">IF(COUNTIFS(Table1[Country],Table1[[#This Row],[Country]])=1,0, _xlfn.STDEV.S(IF(Table1[Country]=Table1[[#This Row],[Country]],Table1[FinalElo])))</f>
        <v>125.31531828802386</v>
      </c>
      <c r="AB1089">
        <f>IF(Table1[[#This Row],[CStd]]=0,0, (Table1[[#This Row],[FinalElo]]-Table1[[#This Row],[CAvg]]) / Table1[[#This Row],[CStd]])</f>
        <v>-0.4187350258559166</v>
      </c>
      <c r="AC1089" t="str">
        <f>IF(Table1[[#This Row],[CStd]]=0,"Normal", IF(ABS(Table1[[#This Row],[CZscore]])&gt;2,"Outlier","Normal"))</f>
        <v>Normal</v>
      </c>
    </row>
    <row r="1090" spans="1:29" x14ac:dyDescent="0.35">
      <c r="A1090" t="s">
        <v>954</v>
      </c>
      <c r="B1090">
        <v>58.513368</v>
      </c>
      <c r="C1090">
        <v>171</v>
      </c>
      <c r="D1090" t="s">
        <v>89</v>
      </c>
      <c r="E1090">
        <v>26</v>
      </c>
      <c r="F1090" t="s">
        <v>104</v>
      </c>
      <c r="G1090" t="s">
        <v>34</v>
      </c>
      <c r="H1090" t="s">
        <v>29</v>
      </c>
      <c r="I1090" t="s">
        <v>58</v>
      </c>
      <c r="J1090">
        <v>0</v>
      </c>
      <c r="K1090">
        <v>1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1</v>
      </c>
      <c r="X1090">
        <v>928.01</v>
      </c>
      <c r="Y1090">
        <v>1000</v>
      </c>
      <c r="Z1090">
        <f>AVERAGEIFS(Table1[FinalElo], Table1[Country], Table1[[#This Row],[Country]])</f>
        <v>1012.0629025423733</v>
      </c>
      <c r="AA1090" cm="1">
        <f t="array" ref="AA1090">IF(COUNTIFS(Table1[Country],Table1[[#This Row],[Country]])=1,0, _xlfn.STDEV.S(IF(Table1[Country]=Table1[[#This Row],[Country]],Table1[FinalElo])))</f>
        <v>148.42180446198614</v>
      </c>
      <c r="AB1090">
        <f>IF(Table1[[#This Row],[CStd]]=0,0, (Table1[[#This Row],[FinalElo]]-Table1[[#This Row],[CAvg]]) / Table1[[#This Row],[CStd]])</f>
        <v>-0.56631101371564974</v>
      </c>
      <c r="AC1090" t="str">
        <f>IF(Table1[[#This Row],[CStd]]=0,"Normal", IF(ABS(Table1[[#This Row],[CZscore]])&gt;2,"Outlier","Normal"))</f>
        <v>Normal</v>
      </c>
    </row>
    <row r="1091" spans="1:29" x14ac:dyDescent="0.35">
      <c r="A1091" t="s">
        <v>952</v>
      </c>
      <c r="B1091">
        <v>53.523856000000002</v>
      </c>
      <c r="C1091">
        <v>165</v>
      </c>
      <c r="D1091" t="s">
        <v>116</v>
      </c>
      <c r="E1091">
        <v>18</v>
      </c>
      <c r="F1091" t="s">
        <v>953</v>
      </c>
      <c r="G1091" t="s">
        <v>34</v>
      </c>
      <c r="H1091" t="s">
        <v>29</v>
      </c>
      <c r="I1091" t="s">
        <v>36</v>
      </c>
      <c r="J1091">
        <v>1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1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1</v>
      </c>
      <c r="X1091">
        <v>1100</v>
      </c>
      <c r="Y1091">
        <v>1100</v>
      </c>
      <c r="Z1091">
        <f>AVERAGEIFS(Table1[FinalElo], Table1[Country], Table1[[#This Row],[Country]])</f>
        <v>980.88090909090931</v>
      </c>
      <c r="AA1091" cm="1">
        <f t="array" ref="AA1091">IF(COUNTIFS(Table1[Country],Table1[[#This Row],[Country]])=1,0, _xlfn.STDEV.S(IF(Table1[Country]=Table1[[#This Row],[Country]],Table1[FinalElo])))</f>
        <v>133.41794796376408</v>
      </c>
      <c r="AB1091">
        <f>IF(Table1[[#This Row],[CStd]]=0,0, (Table1[[#This Row],[FinalElo]]-Table1[[#This Row],[CAvg]]) / Table1[[#This Row],[CStd]])</f>
        <v>0.89282658538147419</v>
      </c>
      <c r="AC1091" t="str">
        <f>IF(Table1[[#This Row],[CStd]]=0,"Normal", IF(ABS(Table1[[#This Row],[CZscore]])&gt;2,"Outlier","Normal"))</f>
        <v>Normal</v>
      </c>
    </row>
    <row r="1092" spans="1:29" x14ac:dyDescent="0.35">
      <c r="A1092" t="s">
        <v>950</v>
      </c>
      <c r="B1092">
        <v>65.8</v>
      </c>
      <c r="C1092">
        <v>175</v>
      </c>
      <c r="D1092" t="s">
        <v>116</v>
      </c>
      <c r="E1092">
        <v>28</v>
      </c>
      <c r="F1092" t="s">
        <v>951</v>
      </c>
      <c r="G1092" t="s">
        <v>40</v>
      </c>
      <c r="H1092" t="s">
        <v>29</v>
      </c>
      <c r="I1092" t="s">
        <v>48</v>
      </c>
      <c r="J1092">
        <v>1</v>
      </c>
      <c r="K1092">
        <v>0</v>
      </c>
      <c r="L1092">
        <v>0</v>
      </c>
      <c r="M1092">
        <v>1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1</v>
      </c>
      <c r="X1092">
        <v>1100</v>
      </c>
      <c r="Y1092">
        <v>1100</v>
      </c>
      <c r="Z1092">
        <f>AVERAGEIFS(Table1[FinalElo], Table1[Country], Table1[[#This Row],[Country]])</f>
        <v>980.88090909090931</v>
      </c>
      <c r="AA1092" cm="1">
        <f t="array" ref="AA1092">IF(COUNTIFS(Table1[Country],Table1[[#This Row],[Country]])=1,0, _xlfn.STDEV.S(IF(Table1[Country]=Table1[[#This Row],[Country]],Table1[FinalElo])))</f>
        <v>133.41794796376408</v>
      </c>
      <c r="AB1092">
        <f>IF(Table1[[#This Row],[CStd]]=0,0, (Table1[[#This Row],[FinalElo]]-Table1[[#This Row],[CAvg]]) / Table1[[#This Row],[CStd]])</f>
        <v>0.89282658538147419</v>
      </c>
      <c r="AC1092" t="str">
        <f>IF(Table1[[#This Row],[CStd]]=0,"Normal", IF(ABS(Table1[[#This Row],[CZscore]])&gt;2,"Outlier","Normal"))</f>
        <v>Normal</v>
      </c>
    </row>
    <row r="1093" spans="1:29" x14ac:dyDescent="0.35">
      <c r="A1093" t="s">
        <v>948</v>
      </c>
      <c r="B1093">
        <v>52.16</v>
      </c>
      <c r="C1093">
        <v>164</v>
      </c>
      <c r="D1093" t="s">
        <v>71</v>
      </c>
      <c r="E1093">
        <v>37</v>
      </c>
      <c r="F1093" t="s">
        <v>949</v>
      </c>
      <c r="G1093" t="s">
        <v>34</v>
      </c>
      <c r="H1093" t="s">
        <v>29</v>
      </c>
      <c r="I1093" t="s">
        <v>36</v>
      </c>
      <c r="J1093">
        <v>1</v>
      </c>
      <c r="K1093">
        <v>1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1</v>
      </c>
      <c r="V1093">
        <v>0</v>
      </c>
      <c r="W1093">
        <v>2</v>
      </c>
      <c r="X1093">
        <v>1026.08</v>
      </c>
      <c r="Y1093">
        <v>1100</v>
      </c>
      <c r="Z1093">
        <f>AVERAGEIFS(Table1[FinalElo], Table1[Country], Table1[[#This Row],[Country]])</f>
        <v>991.47826086956536</v>
      </c>
      <c r="AA1093" cm="1">
        <f t="array" ref="AA1093">IF(COUNTIFS(Table1[Country],Table1[[#This Row],[Country]])=1,0, _xlfn.STDEV.S(IF(Table1[Country]=Table1[[#This Row],[Country]],Table1[FinalElo])))</f>
        <v>164.61500422203164</v>
      </c>
      <c r="AB1093">
        <f>IF(Table1[[#This Row],[CStd]]=0,0, (Table1[[#This Row],[FinalElo]]-Table1[[#This Row],[CAvg]]) / Table1[[#This Row],[CStd]])</f>
        <v>0.21019796642451843</v>
      </c>
      <c r="AC1093" t="str">
        <f>IF(Table1[[#This Row],[CStd]]=0,"Normal", IF(ABS(Table1[[#This Row],[CZscore]])&gt;2,"Outlier","Normal"))</f>
        <v>Normal</v>
      </c>
    </row>
    <row r="1094" spans="1:29" x14ac:dyDescent="0.35">
      <c r="A1094" t="s">
        <v>946</v>
      </c>
      <c r="B1094">
        <v>65.7</v>
      </c>
      <c r="C1094">
        <v>176</v>
      </c>
      <c r="D1094" t="s">
        <v>116</v>
      </c>
      <c r="E1094">
        <v>30</v>
      </c>
      <c r="F1094" t="s">
        <v>947</v>
      </c>
      <c r="G1094" t="s">
        <v>34</v>
      </c>
      <c r="H1094" t="s">
        <v>29</v>
      </c>
      <c r="I1094" t="s">
        <v>73</v>
      </c>
      <c r="J1094">
        <v>7</v>
      </c>
      <c r="K1094">
        <v>7</v>
      </c>
      <c r="L1094">
        <v>0</v>
      </c>
      <c r="M1094">
        <v>1</v>
      </c>
      <c r="N1094">
        <v>0</v>
      </c>
      <c r="O1094">
        <v>0</v>
      </c>
      <c r="P1094">
        <v>3</v>
      </c>
      <c r="Q1094">
        <v>0</v>
      </c>
      <c r="R1094">
        <v>1</v>
      </c>
      <c r="S1094">
        <v>0</v>
      </c>
      <c r="T1094">
        <v>0</v>
      </c>
      <c r="U1094">
        <v>5</v>
      </c>
      <c r="V1094">
        <v>1</v>
      </c>
      <c r="W1094">
        <v>14</v>
      </c>
      <c r="X1094">
        <v>791.92</v>
      </c>
      <c r="Y1094">
        <v>1186.75</v>
      </c>
      <c r="Z1094">
        <f>AVERAGEIFS(Table1[FinalElo], Table1[Country], Table1[[#This Row],[Country]])</f>
        <v>980.88090909090931</v>
      </c>
      <c r="AA1094" cm="1">
        <f t="array" ref="AA1094">IF(COUNTIFS(Table1[Country],Table1[[#This Row],[Country]])=1,0, _xlfn.STDEV.S(IF(Table1[Country]=Table1[[#This Row],[Country]],Table1[FinalElo])))</f>
        <v>133.41794796376408</v>
      </c>
      <c r="AB1094">
        <f>IF(Table1[[#This Row],[CStd]]=0,0, (Table1[[#This Row],[FinalElo]]-Table1[[#This Row],[CAvg]]) / Table1[[#This Row],[CStd]])</f>
        <v>-1.4163080153371164</v>
      </c>
      <c r="AC1094" t="str">
        <f>IF(Table1[[#This Row],[CStd]]=0,"Normal", IF(ABS(Table1[[#This Row],[CZscore]])&gt;2,"Outlier","Normal"))</f>
        <v>Normal</v>
      </c>
    </row>
    <row r="1095" spans="1:29" x14ac:dyDescent="0.35">
      <c r="A1095" t="s">
        <v>944</v>
      </c>
      <c r="B1095">
        <v>65.77</v>
      </c>
      <c r="C1095">
        <v>178</v>
      </c>
      <c r="D1095" t="s">
        <v>945</v>
      </c>
      <c r="E1095">
        <v>32</v>
      </c>
      <c r="F1095" t="s">
        <v>133</v>
      </c>
      <c r="G1095" t="s">
        <v>34</v>
      </c>
      <c r="H1095" t="s">
        <v>29</v>
      </c>
      <c r="I1095" t="s">
        <v>48</v>
      </c>
      <c r="J1095">
        <v>0</v>
      </c>
      <c r="K1095">
        <v>1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1</v>
      </c>
      <c r="V1095">
        <v>0</v>
      </c>
      <c r="W1095">
        <v>1</v>
      </c>
      <c r="X1095">
        <v>900</v>
      </c>
      <c r="Y1095">
        <v>1000</v>
      </c>
      <c r="Z1095">
        <f>AVERAGEIFS(Table1[FinalElo], Table1[Country], Table1[[#This Row],[Country]])</f>
        <v>900</v>
      </c>
      <c r="AA1095" cm="1">
        <f t="array" ref="AA1095">IF(COUNTIFS(Table1[Country],Table1[[#This Row],[Country]])=1,0, _xlfn.STDEV.S(IF(Table1[Country]=Table1[[#This Row],[Country]],Table1[FinalElo])))</f>
        <v>0</v>
      </c>
      <c r="AB1095">
        <f>IF(Table1[[#This Row],[CStd]]=0,0, (Table1[[#This Row],[FinalElo]]-Table1[[#This Row],[CAvg]]) / Table1[[#This Row],[CStd]])</f>
        <v>0</v>
      </c>
      <c r="AC1095" t="str">
        <f>IF(Table1[[#This Row],[CStd]]=0,"Normal", IF(ABS(Table1[[#This Row],[CZscore]])&gt;2,"Outlier","Normal"))</f>
        <v>Normal</v>
      </c>
    </row>
    <row r="1096" spans="1:29" x14ac:dyDescent="0.35">
      <c r="A1096" t="s">
        <v>943</v>
      </c>
      <c r="B1096">
        <v>70</v>
      </c>
      <c r="C1096">
        <v>181</v>
      </c>
      <c r="D1096" t="s">
        <v>247</v>
      </c>
      <c r="E1096">
        <v>30</v>
      </c>
      <c r="F1096">
        <v>1</v>
      </c>
      <c r="G1096" t="s">
        <v>40</v>
      </c>
      <c r="H1096" t="s">
        <v>29</v>
      </c>
      <c r="I1096" t="s">
        <v>48</v>
      </c>
      <c r="J1096">
        <v>3</v>
      </c>
      <c r="K1096">
        <v>2</v>
      </c>
      <c r="L1096">
        <v>0</v>
      </c>
      <c r="M1096">
        <v>1</v>
      </c>
      <c r="N1096">
        <v>0</v>
      </c>
      <c r="O1096">
        <v>0</v>
      </c>
      <c r="P1096">
        <v>1</v>
      </c>
      <c r="Q1096">
        <v>0</v>
      </c>
      <c r="R1096">
        <v>0</v>
      </c>
      <c r="S1096">
        <v>0</v>
      </c>
      <c r="T1096">
        <v>0</v>
      </c>
      <c r="U1096">
        <v>1</v>
      </c>
      <c r="V1096">
        <v>0</v>
      </c>
      <c r="W1096">
        <v>5</v>
      </c>
      <c r="X1096">
        <v>1051.21</v>
      </c>
      <c r="Y1096">
        <v>1259.77</v>
      </c>
      <c r="Z1096">
        <f>AVERAGEIFS(Table1[FinalElo], Table1[Country], Table1[[#This Row],[Country]])</f>
        <v>1050.0176190476191</v>
      </c>
      <c r="AA1096" cm="1">
        <f t="array" ref="AA1096">IF(COUNTIFS(Table1[Country],Table1[[#This Row],[Country]])=1,0, _xlfn.STDEV.S(IF(Table1[Country]=Table1[[#This Row],[Country]],Table1[FinalElo])))</f>
        <v>127.00578096703971</v>
      </c>
      <c r="AB1096">
        <f>IF(Table1[[#This Row],[CStd]]=0,0, (Table1[[#This Row],[FinalElo]]-Table1[[#This Row],[CAvg]]) / Table1[[#This Row],[CStd]])</f>
        <v>9.388399042169716E-3</v>
      </c>
      <c r="AC1096" t="str">
        <f>IF(Table1[[#This Row],[CStd]]=0,"Normal", IF(ABS(Table1[[#This Row],[CZscore]])&gt;2,"Outlier","Normal"))</f>
        <v>Normal</v>
      </c>
    </row>
    <row r="1097" spans="1:29" x14ac:dyDescent="0.35">
      <c r="A1097" t="s">
        <v>941</v>
      </c>
      <c r="B1097">
        <v>61.2</v>
      </c>
      <c r="C1097">
        <v>170</v>
      </c>
      <c r="D1097" t="s">
        <v>26</v>
      </c>
      <c r="E1097">
        <v>32</v>
      </c>
      <c r="F1097" t="s">
        <v>942</v>
      </c>
      <c r="G1097" t="s">
        <v>34</v>
      </c>
      <c r="H1097" t="s">
        <v>29</v>
      </c>
      <c r="I1097" t="s">
        <v>58</v>
      </c>
      <c r="J1097">
        <v>1</v>
      </c>
      <c r="K1097">
        <v>1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1</v>
      </c>
      <c r="W1097">
        <v>2</v>
      </c>
      <c r="X1097">
        <v>1036.3499999999999</v>
      </c>
      <c r="Y1097">
        <v>1128.01</v>
      </c>
      <c r="Z1097">
        <f>AVERAGEIFS(Table1[FinalElo], Table1[Country], Table1[[#This Row],[Country]])</f>
        <v>979.07416666666666</v>
      </c>
      <c r="AA1097" cm="1">
        <f t="array" ref="AA1097">IF(COUNTIFS(Table1[Country],Table1[[#This Row],[Country]])=1,0, _xlfn.STDEV.S(IF(Table1[Country]=Table1[[#This Row],[Country]],Table1[FinalElo])))</f>
        <v>130.18126931728986</v>
      </c>
      <c r="AB1097">
        <f>IF(Table1[[#This Row],[CStd]]=0,0, (Table1[[#This Row],[FinalElo]]-Table1[[#This Row],[CAvg]]) / Table1[[#This Row],[CStd]])</f>
        <v>0.43996984845596554</v>
      </c>
      <c r="AC1097" t="str">
        <f>IF(Table1[[#This Row],[CStd]]=0,"Normal", IF(ABS(Table1[[#This Row],[CZscore]])&gt;2,"Outlier","Normal"))</f>
        <v>Normal</v>
      </c>
    </row>
    <row r="1098" spans="1:29" x14ac:dyDescent="0.35">
      <c r="A1098" t="s">
        <v>938</v>
      </c>
      <c r="B1098">
        <v>66.5</v>
      </c>
      <c r="C1098">
        <v>178</v>
      </c>
      <c r="D1098" t="s">
        <v>939</v>
      </c>
      <c r="E1098">
        <v>28</v>
      </c>
      <c r="F1098" t="s">
        <v>940</v>
      </c>
      <c r="G1098" t="s">
        <v>34</v>
      </c>
      <c r="H1098" t="s">
        <v>29</v>
      </c>
      <c r="I1098" t="s">
        <v>48</v>
      </c>
      <c r="J1098">
        <v>1</v>
      </c>
      <c r="K1098">
        <v>1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1</v>
      </c>
      <c r="W1098">
        <v>2</v>
      </c>
      <c r="X1098">
        <v>953.48</v>
      </c>
      <c r="Y1098">
        <v>1100</v>
      </c>
      <c r="Z1098">
        <f>AVERAGEIFS(Table1[FinalElo], Table1[Country], Table1[[#This Row],[Country]])</f>
        <v>953.48</v>
      </c>
      <c r="AA1098" cm="1">
        <f t="array" ref="AA1098">IF(COUNTIFS(Table1[Country],Table1[[#This Row],[Country]])=1,0, _xlfn.STDEV.S(IF(Table1[Country]=Table1[[#This Row],[Country]],Table1[FinalElo])))</f>
        <v>0</v>
      </c>
      <c r="AB1098">
        <f>IF(Table1[[#This Row],[CStd]]=0,0, (Table1[[#This Row],[FinalElo]]-Table1[[#This Row],[CAvg]]) / Table1[[#This Row],[CStd]])</f>
        <v>0</v>
      </c>
      <c r="AC1098" t="str">
        <f>IF(Table1[[#This Row],[CStd]]=0,"Normal", IF(ABS(Table1[[#This Row],[CZscore]])&gt;2,"Outlier","Normal"))</f>
        <v>Normal</v>
      </c>
    </row>
    <row r="1099" spans="1:29" x14ac:dyDescent="0.35">
      <c r="A1099" t="s">
        <v>937</v>
      </c>
      <c r="B1099">
        <v>73.935496000000001</v>
      </c>
      <c r="C1099">
        <v>188</v>
      </c>
      <c r="D1099" t="s">
        <v>513</v>
      </c>
      <c r="E1099">
        <v>24</v>
      </c>
      <c r="F1099" t="s">
        <v>514</v>
      </c>
      <c r="G1099" t="s">
        <v>40</v>
      </c>
      <c r="H1099" t="s">
        <v>29</v>
      </c>
      <c r="I1099" t="s">
        <v>30</v>
      </c>
      <c r="J1099">
        <v>0</v>
      </c>
      <c r="K1099">
        <v>1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1</v>
      </c>
      <c r="V1099">
        <v>0</v>
      </c>
      <c r="W1099">
        <v>1</v>
      </c>
      <c r="X1099">
        <v>900</v>
      </c>
      <c r="Y1099">
        <v>1000</v>
      </c>
      <c r="Z1099">
        <f>AVERAGEIFS(Table1[FinalElo], Table1[Country], Table1[[#This Row],[Country]])</f>
        <v>991.92857142857144</v>
      </c>
      <c r="AA1099" cm="1">
        <f t="array" ref="AA1099">IF(COUNTIFS(Table1[Country],Table1[[#This Row],[Country]])=1,0, _xlfn.STDEV.S(IF(Table1[Country]=Table1[[#This Row],[Country]],Table1[FinalElo])))</f>
        <v>154.84924955929111</v>
      </c>
      <c r="AB1099">
        <f>IF(Table1[[#This Row],[CStd]]=0,0, (Table1[[#This Row],[FinalElo]]-Table1[[#This Row],[CAvg]]) / Table1[[#This Row],[CStd]])</f>
        <v>-0.59366494632815381</v>
      </c>
      <c r="AC1099" t="str">
        <f>IF(Table1[[#This Row],[CStd]]=0,"Normal", IF(ABS(Table1[[#This Row],[CZscore]])&gt;2,"Outlier","Normal"))</f>
        <v>Normal</v>
      </c>
    </row>
    <row r="1100" spans="1:29" x14ac:dyDescent="0.35">
      <c r="A1100" t="s">
        <v>935</v>
      </c>
      <c r="B1100">
        <v>118.3</v>
      </c>
      <c r="C1100">
        <v>191</v>
      </c>
      <c r="D1100" t="s">
        <v>32</v>
      </c>
      <c r="E1100">
        <v>39</v>
      </c>
      <c r="F1100" t="s">
        <v>936</v>
      </c>
      <c r="G1100" t="s">
        <v>28</v>
      </c>
      <c r="H1100" t="s">
        <v>29</v>
      </c>
      <c r="I1100" t="s">
        <v>94</v>
      </c>
      <c r="J1100">
        <v>2</v>
      </c>
      <c r="K1100">
        <v>2</v>
      </c>
      <c r="L1100">
        <v>0</v>
      </c>
      <c r="M1100">
        <v>1</v>
      </c>
      <c r="N1100">
        <v>0</v>
      </c>
      <c r="O1100">
        <v>0</v>
      </c>
      <c r="P1100">
        <v>0</v>
      </c>
      <c r="Q1100">
        <v>0</v>
      </c>
      <c r="R1100">
        <v>1</v>
      </c>
      <c r="S1100">
        <v>0</v>
      </c>
      <c r="T1100">
        <v>0</v>
      </c>
      <c r="U1100">
        <v>1</v>
      </c>
      <c r="V1100">
        <v>0</v>
      </c>
      <c r="W1100">
        <v>4</v>
      </c>
      <c r="X1100">
        <v>954.83</v>
      </c>
      <c r="Y1100">
        <v>1171.99</v>
      </c>
      <c r="Z1100">
        <f>AVERAGEIFS(Table1[FinalElo], Table1[Country], Table1[[#This Row],[Country]])</f>
        <v>1025.3786885245902</v>
      </c>
      <c r="AA1100" cm="1">
        <f t="array" ref="AA1100">IF(COUNTIFS(Table1[Country],Table1[[#This Row],[Country]])=1,0, _xlfn.STDEV.S(IF(Table1[Country]=Table1[[#This Row],[Country]],Table1[FinalElo])))</f>
        <v>144.71595558743479</v>
      </c>
      <c r="AB1100">
        <f>IF(Table1[[#This Row],[CStd]]=0,0, (Table1[[#This Row],[FinalElo]]-Table1[[#This Row],[CAvg]]) / Table1[[#This Row],[CStd]])</f>
        <v>-0.48749765178426296</v>
      </c>
      <c r="AC1100" t="str">
        <f>IF(Table1[[#This Row],[CStd]]=0,"Normal", IF(ABS(Table1[[#This Row],[CZscore]])&gt;2,"Outlier","Normal"))</f>
        <v>Normal</v>
      </c>
    </row>
    <row r="1101" spans="1:29" x14ac:dyDescent="0.35">
      <c r="A1101" t="s">
        <v>934</v>
      </c>
      <c r="B1101">
        <v>48.080751999999997</v>
      </c>
      <c r="C1101">
        <v>164</v>
      </c>
      <c r="D1101" t="s">
        <v>89</v>
      </c>
      <c r="E1101">
        <v>19</v>
      </c>
      <c r="F1101">
        <v>0</v>
      </c>
      <c r="G1101" t="s">
        <v>34</v>
      </c>
      <c r="H1101" t="s">
        <v>29</v>
      </c>
      <c r="I1101" t="s">
        <v>55</v>
      </c>
      <c r="J1101">
        <v>0</v>
      </c>
      <c r="K1101">
        <v>2</v>
      </c>
      <c r="L1101">
        <v>1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1</v>
      </c>
      <c r="S1101">
        <v>0</v>
      </c>
      <c r="T1101">
        <v>0</v>
      </c>
      <c r="U1101">
        <v>0</v>
      </c>
      <c r="V1101">
        <v>0</v>
      </c>
      <c r="W1101">
        <v>3</v>
      </c>
      <c r="X1101">
        <v>862.06</v>
      </c>
      <c r="Y1101">
        <v>1000</v>
      </c>
      <c r="Z1101">
        <f>AVERAGEIFS(Table1[FinalElo], Table1[Country], Table1[[#This Row],[Country]])</f>
        <v>1012.0629025423733</v>
      </c>
      <c r="AA1101" cm="1">
        <f t="array" ref="AA1101">IF(COUNTIFS(Table1[Country],Table1[[#This Row],[Country]])=1,0, _xlfn.STDEV.S(IF(Table1[Country]=Table1[[#This Row],[Country]],Table1[FinalElo])))</f>
        <v>148.42180446198614</v>
      </c>
      <c r="AB1101">
        <f>IF(Table1[[#This Row],[CStd]]=0,0, (Table1[[#This Row],[FinalElo]]-Table1[[#This Row],[CAvg]]) / Table1[[#This Row],[CStd]])</f>
        <v>-1.0106527345231959</v>
      </c>
      <c r="AC1101" t="str">
        <f>IF(Table1[[#This Row],[CStd]]=0,"Normal", IF(ABS(Table1[[#This Row],[CZscore]])&gt;2,"Outlier","Normal"))</f>
        <v>Normal</v>
      </c>
    </row>
    <row r="1102" spans="1:29" x14ac:dyDescent="0.35">
      <c r="A1102" t="s">
        <v>931</v>
      </c>
      <c r="B1102">
        <v>61</v>
      </c>
      <c r="C1102">
        <v>170</v>
      </c>
      <c r="D1102" t="s">
        <v>932</v>
      </c>
      <c r="E1102">
        <v>38</v>
      </c>
      <c r="F1102" t="s">
        <v>933</v>
      </c>
      <c r="G1102" t="s">
        <v>40</v>
      </c>
      <c r="H1102" t="s">
        <v>29</v>
      </c>
      <c r="I1102" t="s">
        <v>58</v>
      </c>
      <c r="J1102">
        <v>4</v>
      </c>
      <c r="K1102">
        <v>1</v>
      </c>
      <c r="L1102">
        <v>0</v>
      </c>
      <c r="M1102">
        <v>0</v>
      </c>
      <c r="N1102">
        <v>0</v>
      </c>
      <c r="O1102">
        <v>0</v>
      </c>
      <c r="P1102">
        <v>2</v>
      </c>
      <c r="Q1102">
        <v>1</v>
      </c>
      <c r="R1102">
        <v>0</v>
      </c>
      <c r="S1102">
        <v>1</v>
      </c>
      <c r="T1102">
        <v>0</v>
      </c>
      <c r="U1102">
        <v>0</v>
      </c>
      <c r="V1102">
        <v>0</v>
      </c>
      <c r="W1102">
        <v>5</v>
      </c>
      <c r="X1102">
        <v>1208.21</v>
      </c>
      <c r="Y1102">
        <v>1208.21</v>
      </c>
      <c r="Z1102">
        <f>AVERAGEIFS(Table1[FinalElo], Table1[Country], Table1[[#This Row],[Country]])</f>
        <v>1208.21</v>
      </c>
      <c r="AA1102" cm="1">
        <f t="array" ref="AA1102">IF(COUNTIFS(Table1[Country],Table1[[#This Row],[Country]])=1,0, _xlfn.STDEV.S(IF(Table1[Country]=Table1[[#This Row],[Country]],Table1[FinalElo])))</f>
        <v>0</v>
      </c>
      <c r="AB1102">
        <f>IF(Table1[[#This Row],[CStd]]=0,0, (Table1[[#This Row],[FinalElo]]-Table1[[#This Row],[CAvg]]) / Table1[[#This Row],[CStd]])</f>
        <v>0</v>
      </c>
      <c r="AC1102" t="str">
        <f>IF(Table1[[#This Row],[CStd]]=0,"Normal", IF(ABS(Table1[[#This Row],[CZscore]])&gt;2,"Outlier","Normal"))</f>
        <v>Normal</v>
      </c>
    </row>
    <row r="1103" spans="1:29" x14ac:dyDescent="0.35">
      <c r="A1103" t="s">
        <v>929</v>
      </c>
      <c r="B1103">
        <v>62.2</v>
      </c>
      <c r="C1103">
        <v>172</v>
      </c>
      <c r="D1103" t="s">
        <v>82</v>
      </c>
      <c r="E1103">
        <v>22</v>
      </c>
      <c r="F1103" t="s">
        <v>930</v>
      </c>
      <c r="G1103" t="s">
        <v>28</v>
      </c>
      <c r="H1103" t="s">
        <v>29</v>
      </c>
      <c r="I1103" t="s">
        <v>73</v>
      </c>
      <c r="J1103">
        <v>1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1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1</v>
      </c>
      <c r="X1103">
        <v>1082.82</v>
      </c>
      <c r="Y1103">
        <v>1082.82</v>
      </c>
      <c r="Z1103">
        <f>AVERAGEIFS(Table1[FinalElo], Table1[Country], Table1[[#This Row],[Country]])</f>
        <v>1012.5275373134326</v>
      </c>
      <c r="AA1103" cm="1">
        <f t="array" ref="AA1103">IF(COUNTIFS(Table1[Country],Table1[[#This Row],[Country]])=1,0, _xlfn.STDEV.S(IF(Table1[Country]=Table1[[#This Row],[Country]],Table1[FinalElo])))</f>
        <v>135.61062237674741</v>
      </c>
      <c r="AB1103">
        <f>IF(Table1[[#This Row],[CStd]]=0,0, (Table1[[#This Row],[FinalElo]]-Table1[[#This Row],[CAvg]]) / Table1[[#This Row],[CStd]])</f>
        <v>0.51834038849319575</v>
      </c>
      <c r="AC1103" t="str">
        <f>IF(Table1[[#This Row],[CStd]]=0,"Normal", IF(ABS(Table1[[#This Row],[CZscore]])&gt;2,"Outlier","Normal"))</f>
        <v>Normal</v>
      </c>
    </row>
    <row r="1104" spans="1:29" x14ac:dyDescent="0.35">
      <c r="A1104" t="s">
        <v>928</v>
      </c>
      <c r="B1104">
        <v>65.77</v>
      </c>
      <c r="C1104">
        <v>170</v>
      </c>
      <c r="D1104" t="s">
        <v>32</v>
      </c>
      <c r="E1104">
        <v>31</v>
      </c>
      <c r="F1104" t="s">
        <v>33</v>
      </c>
      <c r="G1104" t="s">
        <v>40</v>
      </c>
      <c r="H1104" t="s">
        <v>29</v>
      </c>
      <c r="I1104" t="s">
        <v>48</v>
      </c>
      <c r="J1104">
        <v>0</v>
      </c>
      <c r="K1104">
        <v>1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1</v>
      </c>
      <c r="S1104">
        <v>0</v>
      </c>
      <c r="T1104">
        <v>0</v>
      </c>
      <c r="U1104">
        <v>0</v>
      </c>
      <c r="V1104">
        <v>0</v>
      </c>
      <c r="W1104">
        <v>1</v>
      </c>
      <c r="X1104">
        <v>900</v>
      </c>
      <c r="Y1104">
        <v>1000</v>
      </c>
      <c r="Z1104">
        <f>AVERAGEIFS(Table1[FinalElo], Table1[Country], Table1[[#This Row],[Country]])</f>
        <v>1025.3786885245902</v>
      </c>
      <c r="AA1104" cm="1">
        <f t="array" ref="AA1104">IF(COUNTIFS(Table1[Country],Table1[[#This Row],[Country]])=1,0, _xlfn.STDEV.S(IF(Table1[Country]=Table1[[#This Row],[Country]],Table1[FinalElo])))</f>
        <v>144.71595558743479</v>
      </c>
      <c r="AB1104">
        <f>IF(Table1[[#This Row],[CStd]]=0,0, (Table1[[#This Row],[FinalElo]]-Table1[[#This Row],[CAvg]]) / Table1[[#This Row],[CStd]])</f>
        <v>-0.86637778132791055</v>
      </c>
      <c r="AC1104" t="str">
        <f>IF(Table1[[#This Row],[CStd]]=0,"Normal", IF(ABS(Table1[[#This Row],[CZscore]])&gt;2,"Outlier","Normal"))</f>
        <v>Normal</v>
      </c>
    </row>
    <row r="1105" spans="1:29" x14ac:dyDescent="0.35">
      <c r="A1105" t="s">
        <v>926</v>
      </c>
      <c r="B1105">
        <v>62.6</v>
      </c>
      <c r="C1105">
        <v>175</v>
      </c>
      <c r="D1105" t="s">
        <v>116</v>
      </c>
      <c r="E1105">
        <v>24</v>
      </c>
      <c r="F1105" t="s">
        <v>927</v>
      </c>
      <c r="G1105" t="s">
        <v>40</v>
      </c>
      <c r="H1105" t="s">
        <v>29</v>
      </c>
      <c r="I1105" t="s">
        <v>73</v>
      </c>
      <c r="J1105">
        <v>0</v>
      </c>
      <c r="K1105">
        <v>2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1</v>
      </c>
      <c r="T1105">
        <v>0</v>
      </c>
      <c r="U1105">
        <v>0</v>
      </c>
      <c r="V1105">
        <v>0</v>
      </c>
      <c r="W1105">
        <v>2</v>
      </c>
      <c r="X1105">
        <v>775.13</v>
      </c>
      <c r="Y1105">
        <v>1000</v>
      </c>
      <c r="Z1105">
        <f>AVERAGEIFS(Table1[FinalElo], Table1[Country], Table1[[#This Row],[Country]])</f>
        <v>980.88090909090931</v>
      </c>
      <c r="AA1105" cm="1">
        <f t="array" ref="AA1105">IF(COUNTIFS(Table1[Country],Table1[[#This Row],[Country]])=1,0, _xlfn.STDEV.S(IF(Table1[Country]=Table1[[#This Row],[Country]],Table1[FinalElo])))</f>
        <v>133.41794796376408</v>
      </c>
      <c r="AB1105">
        <f>IF(Table1[[#This Row],[CStd]]=0,0, (Table1[[#This Row],[FinalElo]]-Table1[[#This Row],[CAvg]]) / Table1[[#This Row],[CStd]])</f>
        <v>-1.5421531527886387</v>
      </c>
      <c r="AC1105" t="str">
        <f>IF(Table1[[#This Row],[CStd]]=0,"Normal", IF(ABS(Table1[[#This Row],[CZscore]])&gt;2,"Outlier","Normal"))</f>
        <v>Normal</v>
      </c>
    </row>
    <row r="1106" spans="1:29" x14ac:dyDescent="0.35">
      <c r="A1106" t="s">
        <v>924</v>
      </c>
      <c r="B1106">
        <v>61.4</v>
      </c>
      <c r="C1106">
        <v>176</v>
      </c>
      <c r="D1106" t="s">
        <v>286</v>
      </c>
      <c r="E1106">
        <v>25</v>
      </c>
      <c r="F1106" t="s">
        <v>925</v>
      </c>
      <c r="G1106" t="s">
        <v>34</v>
      </c>
      <c r="H1106" t="s">
        <v>29</v>
      </c>
      <c r="I1106" t="s">
        <v>73</v>
      </c>
      <c r="J1106">
        <v>1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1</v>
      </c>
      <c r="X1106">
        <v>1100</v>
      </c>
      <c r="Y1106">
        <v>1100</v>
      </c>
      <c r="Z1106">
        <f>AVERAGEIFS(Table1[FinalElo], Table1[Country], Table1[[#This Row],[Country]])</f>
        <v>1087.97</v>
      </c>
      <c r="AA1106" cm="1">
        <f t="array" ref="AA1106">IF(COUNTIFS(Table1[Country],Table1[[#This Row],[Country]])=1,0, _xlfn.STDEV.S(IF(Table1[Country]=Table1[[#This Row],[Country]],Table1[FinalElo])))</f>
        <v>209.70246125675953</v>
      </c>
      <c r="AB1106">
        <f>IF(Table1[[#This Row],[CStd]]=0,0, (Table1[[#This Row],[FinalElo]]-Table1[[#This Row],[CAvg]]) / Table1[[#This Row],[CStd]])</f>
        <v>5.7366994778713876E-2</v>
      </c>
      <c r="AC1106" t="str">
        <f>IF(Table1[[#This Row],[CStd]]=0,"Normal", IF(ABS(Table1[[#This Row],[CZscore]])&gt;2,"Outlier","Normal"))</f>
        <v>Normal</v>
      </c>
    </row>
    <row r="1107" spans="1:29" x14ac:dyDescent="0.35">
      <c r="A1107" t="s">
        <v>923</v>
      </c>
      <c r="B1107">
        <v>58.513368</v>
      </c>
      <c r="C1107">
        <v>170</v>
      </c>
      <c r="D1107" t="s">
        <v>89</v>
      </c>
      <c r="E1107">
        <v>18</v>
      </c>
      <c r="F1107" t="s">
        <v>99</v>
      </c>
      <c r="G1107" t="s">
        <v>34</v>
      </c>
      <c r="H1107" t="s">
        <v>29</v>
      </c>
      <c r="I1107" t="s">
        <v>58</v>
      </c>
      <c r="J1107">
        <v>0</v>
      </c>
      <c r="K1107">
        <v>1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1</v>
      </c>
      <c r="S1107">
        <v>0</v>
      </c>
      <c r="T1107">
        <v>0</v>
      </c>
      <c r="U1107">
        <v>0</v>
      </c>
      <c r="V1107">
        <v>0</v>
      </c>
      <c r="W1107">
        <v>1</v>
      </c>
      <c r="X1107">
        <v>900</v>
      </c>
      <c r="Y1107">
        <v>1000</v>
      </c>
      <c r="Z1107">
        <f>AVERAGEIFS(Table1[FinalElo], Table1[Country], Table1[[#This Row],[Country]])</f>
        <v>1012.0629025423733</v>
      </c>
      <c r="AA1107" cm="1">
        <f t="array" ref="AA1107">IF(COUNTIFS(Table1[Country],Table1[[#This Row],[Country]])=1,0, _xlfn.STDEV.S(IF(Table1[Country]=Table1[[#This Row],[Country]],Table1[FinalElo])))</f>
        <v>148.42180446198614</v>
      </c>
      <c r="AB1107">
        <f>IF(Table1[[#This Row],[CStd]]=0,0, (Table1[[#This Row],[FinalElo]]-Table1[[#This Row],[CAvg]]) / Table1[[#This Row],[CStd]])</f>
        <v>-0.75502991591154589</v>
      </c>
      <c r="AC1107" t="str">
        <f>IF(Table1[[#This Row],[CStd]]=0,"Normal", IF(ABS(Table1[[#This Row],[CZscore]])&gt;2,"Outlier","Normal"))</f>
        <v>Normal</v>
      </c>
    </row>
    <row r="1108" spans="1:29" x14ac:dyDescent="0.35">
      <c r="A1108" t="s">
        <v>921</v>
      </c>
      <c r="B1108">
        <v>61.2</v>
      </c>
      <c r="C1108">
        <v>167</v>
      </c>
      <c r="D1108" t="s">
        <v>368</v>
      </c>
      <c r="E1108">
        <v>34</v>
      </c>
      <c r="F1108" t="s">
        <v>922</v>
      </c>
      <c r="G1108" t="s">
        <v>40</v>
      </c>
      <c r="H1108" t="s">
        <v>29</v>
      </c>
      <c r="I1108" t="s">
        <v>58</v>
      </c>
      <c r="J1108">
        <v>0</v>
      </c>
      <c r="K1108">
        <v>1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1</v>
      </c>
      <c r="X1108">
        <v>920.43</v>
      </c>
      <c r="Y1108">
        <v>1000</v>
      </c>
      <c r="Z1108">
        <f>AVERAGEIFS(Table1[FinalElo], Table1[Country], Table1[[#This Row],[Country]])</f>
        <v>980.53583333333336</v>
      </c>
      <c r="AA1108" cm="1">
        <f t="array" ref="AA1108">IF(COUNTIFS(Table1[Country],Table1[[#This Row],[Country]])=1,0, _xlfn.STDEV.S(IF(Table1[Country]=Table1[[#This Row],[Country]],Table1[FinalElo])))</f>
        <v>85.643213227725752</v>
      </c>
      <c r="AB1108">
        <f>IF(Table1[[#This Row],[CStd]]=0,0, (Table1[[#This Row],[FinalElo]]-Table1[[#This Row],[CAvg]]) / Table1[[#This Row],[CStd]])</f>
        <v>-0.70181665386037861</v>
      </c>
      <c r="AC1108" t="str">
        <f>IF(Table1[[#This Row],[CStd]]=0,"Normal", IF(ABS(Table1[[#This Row],[CZscore]])&gt;2,"Outlier","Normal"))</f>
        <v>Normal</v>
      </c>
    </row>
    <row r="1109" spans="1:29" x14ac:dyDescent="0.35">
      <c r="A1109" t="s">
        <v>919</v>
      </c>
      <c r="B1109">
        <v>54.4</v>
      </c>
      <c r="C1109">
        <v>163</v>
      </c>
      <c r="D1109" t="s">
        <v>89</v>
      </c>
      <c r="E1109">
        <v>25</v>
      </c>
      <c r="F1109" t="s">
        <v>920</v>
      </c>
      <c r="G1109" t="s">
        <v>34</v>
      </c>
      <c r="H1109" t="s">
        <v>29</v>
      </c>
      <c r="I1109" t="s">
        <v>36</v>
      </c>
      <c r="J1109">
        <v>1</v>
      </c>
      <c r="K1109">
        <v>2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1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3</v>
      </c>
      <c r="X1109">
        <v>966.03</v>
      </c>
      <c r="Y1109">
        <v>1041.68</v>
      </c>
      <c r="Z1109">
        <f>AVERAGEIFS(Table1[FinalElo], Table1[Country], Table1[[#This Row],[Country]])</f>
        <v>1012.0629025423733</v>
      </c>
      <c r="AA1109" cm="1">
        <f t="array" ref="AA1109">IF(COUNTIFS(Table1[Country],Table1[[#This Row],[Country]])=1,0, _xlfn.STDEV.S(IF(Table1[Country]=Table1[[#This Row],[Country]],Table1[FinalElo])))</f>
        <v>148.42180446198614</v>
      </c>
      <c r="AB1109">
        <f>IF(Table1[[#This Row],[CStd]]=0,0, (Table1[[#This Row],[FinalElo]]-Table1[[#This Row],[CAvg]]) / Table1[[#This Row],[CStd]])</f>
        <v>-0.31014919074214126</v>
      </c>
      <c r="AC1109" t="str">
        <f>IF(Table1[[#This Row],[CStd]]=0,"Normal", IF(ABS(Table1[[#This Row],[CZscore]])&gt;2,"Outlier","Normal"))</f>
        <v>Normal</v>
      </c>
    </row>
    <row r="1110" spans="1:29" x14ac:dyDescent="0.35">
      <c r="A1110" t="s">
        <v>918</v>
      </c>
      <c r="B1110">
        <v>66.5</v>
      </c>
      <c r="C1110">
        <v>175</v>
      </c>
      <c r="D1110" t="s">
        <v>247</v>
      </c>
      <c r="E1110">
        <v>32</v>
      </c>
      <c r="F1110" t="s">
        <v>872</v>
      </c>
      <c r="G1110" t="s">
        <v>34</v>
      </c>
      <c r="H1110" t="s">
        <v>29</v>
      </c>
      <c r="I1110" t="s">
        <v>48</v>
      </c>
      <c r="J1110">
        <v>0</v>
      </c>
      <c r="K1110">
        <v>1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1</v>
      </c>
      <c r="V1110">
        <v>0</v>
      </c>
      <c r="W1110">
        <v>1</v>
      </c>
      <c r="X1110">
        <v>928.01</v>
      </c>
      <c r="Y1110">
        <v>1000</v>
      </c>
      <c r="Z1110">
        <f>AVERAGEIFS(Table1[FinalElo], Table1[Country], Table1[[#This Row],[Country]])</f>
        <v>1050.0176190476191</v>
      </c>
      <c r="AA1110" cm="1">
        <f t="array" ref="AA1110">IF(COUNTIFS(Table1[Country],Table1[[#This Row],[Country]])=1,0, _xlfn.STDEV.S(IF(Table1[Country]=Table1[[#This Row],[Country]],Table1[FinalElo])))</f>
        <v>127.00578096703971</v>
      </c>
      <c r="AB1110">
        <f>IF(Table1[[#This Row],[CStd]]=0,0, (Table1[[#This Row],[FinalElo]]-Table1[[#This Row],[CAvg]]) / Table1[[#This Row],[CStd]])</f>
        <v>-0.96064618569828919</v>
      </c>
      <c r="AC1110" t="str">
        <f>IF(Table1[[#This Row],[CStd]]=0,"Normal", IF(ABS(Table1[[#This Row],[CZscore]])&gt;2,"Outlier","Normal"))</f>
        <v>Normal</v>
      </c>
    </row>
    <row r="1111" spans="1:29" x14ac:dyDescent="0.35">
      <c r="A1111" t="s">
        <v>916</v>
      </c>
      <c r="B1111">
        <v>70.3</v>
      </c>
      <c r="C1111">
        <v>178</v>
      </c>
      <c r="D1111" t="s">
        <v>226</v>
      </c>
      <c r="E1111">
        <v>39</v>
      </c>
      <c r="F1111" t="s">
        <v>917</v>
      </c>
      <c r="G1111" t="s">
        <v>28</v>
      </c>
      <c r="H1111" t="s">
        <v>29</v>
      </c>
      <c r="I1111" t="s">
        <v>48</v>
      </c>
      <c r="J1111">
        <v>6</v>
      </c>
      <c r="K1111">
        <v>1</v>
      </c>
      <c r="L1111">
        <v>1</v>
      </c>
      <c r="M1111">
        <v>0</v>
      </c>
      <c r="N1111">
        <v>0</v>
      </c>
      <c r="O1111">
        <v>0</v>
      </c>
      <c r="P1111">
        <v>5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8</v>
      </c>
      <c r="X1111">
        <v>1265.68</v>
      </c>
      <c r="Y1111">
        <v>1441.06</v>
      </c>
      <c r="Z1111">
        <f>AVERAGEIFS(Table1[FinalElo], Table1[Country], Table1[[#This Row],[Country]])</f>
        <v>961.00176470588235</v>
      </c>
      <c r="AA1111" cm="1">
        <f t="array" ref="AA1111">IF(COUNTIFS(Table1[Country],Table1[[#This Row],[Country]])=1,0, _xlfn.STDEV.S(IF(Table1[Country]=Table1[[#This Row],[Country]],Table1[FinalElo])))</f>
        <v>117.15877454523515</v>
      </c>
      <c r="AB1111">
        <f>IF(Table1[[#This Row],[CStd]]=0,0, (Table1[[#This Row],[FinalElo]]-Table1[[#This Row],[CAvg]]) / Table1[[#This Row],[CStd]])</f>
        <v>2.6005584001433975</v>
      </c>
      <c r="AC1111" t="str">
        <f>IF(Table1[[#This Row],[CStd]]=0,"Normal", IF(ABS(Table1[[#This Row],[CZscore]])&gt;2,"Outlier","Normal"))</f>
        <v>Outlier</v>
      </c>
    </row>
    <row r="1112" spans="1:29" x14ac:dyDescent="0.35">
      <c r="A1112" t="s">
        <v>914</v>
      </c>
      <c r="B1112">
        <v>64.7</v>
      </c>
      <c r="C1112">
        <v>165</v>
      </c>
      <c r="D1112" t="s">
        <v>89</v>
      </c>
      <c r="E1112">
        <v>24</v>
      </c>
      <c r="F1112" t="s">
        <v>915</v>
      </c>
      <c r="G1112" t="s">
        <v>34</v>
      </c>
      <c r="H1112" t="s">
        <v>29</v>
      </c>
      <c r="I1112" t="s">
        <v>73</v>
      </c>
      <c r="J1112">
        <v>3</v>
      </c>
      <c r="K1112">
        <v>4</v>
      </c>
      <c r="L1112">
        <v>0</v>
      </c>
      <c r="M1112">
        <v>1</v>
      </c>
      <c r="N1112">
        <v>0</v>
      </c>
      <c r="O1112">
        <v>0</v>
      </c>
      <c r="P1112">
        <v>0</v>
      </c>
      <c r="Q1112">
        <v>0</v>
      </c>
      <c r="R1112">
        <v>1</v>
      </c>
      <c r="S1112">
        <v>0</v>
      </c>
      <c r="T1112">
        <v>0</v>
      </c>
      <c r="U1112">
        <v>0</v>
      </c>
      <c r="V1112">
        <v>0</v>
      </c>
      <c r="W1112">
        <v>7</v>
      </c>
      <c r="X1112">
        <v>1054.05</v>
      </c>
      <c r="Y1112">
        <v>1054.05</v>
      </c>
      <c r="Z1112">
        <f>AVERAGEIFS(Table1[FinalElo], Table1[Country], Table1[[#This Row],[Country]])</f>
        <v>1012.0629025423733</v>
      </c>
      <c r="AA1112" cm="1">
        <f t="array" ref="AA1112">IF(COUNTIFS(Table1[Country],Table1[[#This Row],[Country]])=1,0, _xlfn.STDEV.S(IF(Table1[Country]=Table1[[#This Row],[Country]],Table1[FinalElo])))</f>
        <v>148.42180446198614</v>
      </c>
      <c r="AB1112">
        <f>IF(Table1[[#This Row],[CStd]]=0,0, (Table1[[#This Row],[FinalElo]]-Table1[[#This Row],[CAvg]]) / Table1[[#This Row],[CStd]])</f>
        <v>0.28289035839326693</v>
      </c>
      <c r="AC1112" t="str">
        <f>IF(Table1[[#This Row],[CStd]]=0,"Normal", IF(ABS(Table1[[#This Row],[CZscore]])&gt;2,"Outlier","Normal"))</f>
        <v>Normal</v>
      </c>
    </row>
    <row r="1113" spans="1:29" x14ac:dyDescent="0.35">
      <c r="A1113" t="s">
        <v>912</v>
      </c>
      <c r="B1113">
        <v>61</v>
      </c>
      <c r="C1113">
        <v>165</v>
      </c>
      <c r="D1113" t="s">
        <v>52</v>
      </c>
      <c r="E1113">
        <v>31</v>
      </c>
      <c r="F1113" t="s">
        <v>913</v>
      </c>
      <c r="G1113" t="s">
        <v>40</v>
      </c>
      <c r="H1113" t="s">
        <v>29</v>
      </c>
      <c r="I1113" t="s">
        <v>58</v>
      </c>
      <c r="J1113">
        <v>0</v>
      </c>
      <c r="K1113">
        <v>2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2</v>
      </c>
      <c r="V1113">
        <v>0</v>
      </c>
      <c r="W1113">
        <v>2</v>
      </c>
      <c r="X1113">
        <v>847.04</v>
      </c>
      <c r="Y1113">
        <v>1000</v>
      </c>
      <c r="Z1113">
        <f>AVERAGEIFS(Table1[FinalElo], Table1[Country], Table1[[#This Row],[Country]])</f>
        <v>1039.8985714285714</v>
      </c>
      <c r="AA1113" cm="1">
        <f t="array" ref="AA1113">IF(COUNTIFS(Table1[Country],Table1[[#This Row],[Country]])=1,0, _xlfn.STDEV.S(IF(Table1[Country]=Table1[[#This Row],[Country]],Table1[FinalElo])))</f>
        <v>194.01778111336392</v>
      </c>
      <c r="AB1113">
        <f>IF(Table1[[#This Row],[CStd]]=0,0, (Table1[[#This Row],[FinalElo]]-Table1[[#This Row],[CAvg]]) / Table1[[#This Row],[CStd]])</f>
        <v>-0.99402523996439685</v>
      </c>
      <c r="AC1113" t="str">
        <f>IF(Table1[[#This Row],[CStd]]=0,"Normal", IF(ABS(Table1[[#This Row],[CZscore]])&gt;2,"Outlier","Normal"))</f>
        <v>Normal</v>
      </c>
    </row>
    <row r="1114" spans="1:29" x14ac:dyDescent="0.35">
      <c r="A1114" t="s">
        <v>909</v>
      </c>
      <c r="B1114">
        <v>53.6</v>
      </c>
      <c r="C1114">
        <v>170</v>
      </c>
      <c r="D1114" t="s">
        <v>910</v>
      </c>
      <c r="E1114">
        <v>23</v>
      </c>
      <c r="F1114" t="s">
        <v>911</v>
      </c>
      <c r="G1114" t="s">
        <v>28</v>
      </c>
      <c r="H1114" t="s">
        <v>29</v>
      </c>
      <c r="I1114" t="s">
        <v>36</v>
      </c>
      <c r="J1114">
        <v>1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1</v>
      </c>
      <c r="X1114">
        <v>1071.99</v>
      </c>
      <c r="Y1114">
        <v>1071.99</v>
      </c>
      <c r="Z1114">
        <f>AVERAGEIFS(Table1[FinalElo], Table1[Country], Table1[[#This Row],[Country]])</f>
        <v>960.96999999999991</v>
      </c>
      <c r="AA1114" cm="1">
        <f t="array" ref="AA1114">IF(COUNTIFS(Table1[Country],Table1[[#This Row],[Country]])=1,0, _xlfn.STDEV.S(IF(Table1[Country]=Table1[[#This Row],[Country]],Table1[FinalElo])))</f>
        <v>96.301048280898797</v>
      </c>
      <c r="AB1114">
        <f>IF(Table1[[#This Row],[CStd]]=0,0, (Table1[[#This Row],[FinalElo]]-Table1[[#This Row],[CAvg]]) / Table1[[#This Row],[CStd]])</f>
        <v>1.152843110037264</v>
      </c>
      <c r="AC1114" t="str">
        <f>IF(Table1[[#This Row],[CStd]]=0,"Normal", IF(ABS(Table1[[#This Row],[CZscore]])&gt;2,"Outlier","Normal"))</f>
        <v>Normal</v>
      </c>
    </row>
    <row r="1115" spans="1:29" x14ac:dyDescent="0.35">
      <c r="A1115" t="s">
        <v>907</v>
      </c>
      <c r="B1115">
        <v>61.2</v>
      </c>
      <c r="C1115">
        <v>175</v>
      </c>
      <c r="D1115" t="s">
        <v>358</v>
      </c>
      <c r="E1115">
        <v>32</v>
      </c>
      <c r="F1115" t="s">
        <v>908</v>
      </c>
      <c r="G1115" t="s">
        <v>40</v>
      </c>
      <c r="H1115" t="s">
        <v>29</v>
      </c>
      <c r="I1115" t="s">
        <v>58</v>
      </c>
      <c r="J1115">
        <v>8</v>
      </c>
      <c r="K1115">
        <v>3</v>
      </c>
      <c r="L1115">
        <v>0</v>
      </c>
      <c r="M1115">
        <v>1</v>
      </c>
      <c r="N1115">
        <v>1</v>
      </c>
      <c r="O1115">
        <v>0</v>
      </c>
      <c r="P1115">
        <v>3</v>
      </c>
      <c r="Q1115">
        <v>1</v>
      </c>
      <c r="R1115">
        <v>0</v>
      </c>
      <c r="S1115">
        <v>1</v>
      </c>
      <c r="T1115">
        <v>0</v>
      </c>
      <c r="U1115">
        <v>2</v>
      </c>
      <c r="V1115">
        <v>0</v>
      </c>
      <c r="W1115">
        <v>11</v>
      </c>
      <c r="X1115">
        <v>1073.3699999999999</v>
      </c>
      <c r="Y1115">
        <v>1241.81</v>
      </c>
      <c r="Z1115">
        <f>AVERAGEIFS(Table1[FinalElo], Table1[Country], Table1[[#This Row],[Country]])</f>
        <v>974.61500000000012</v>
      </c>
      <c r="AA1115" cm="1">
        <f t="array" ref="AA1115">IF(COUNTIFS(Table1[Country],Table1[[#This Row],[Country]])=1,0, _xlfn.STDEV.S(IF(Table1[Country]=Table1[[#This Row],[Country]],Table1[FinalElo])))</f>
        <v>146.82246313768914</v>
      </c>
      <c r="AB1115">
        <f>IF(Table1[[#This Row],[CStd]]=0,0, (Table1[[#This Row],[FinalElo]]-Table1[[#This Row],[CAvg]]) / Table1[[#This Row],[CStd]])</f>
        <v>0.67261506100321977</v>
      </c>
      <c r="AC1115" t="str">
        <f>IF(Table1[[#This Row],[CStd]]=0,"Normal", IF(ABS(Table1[[#This Row],[CZscore]])&gt;2,"Outlier","Normal"))</f>
        <v>Normal</v>
      </c>
    </row>
    <row r="1116" spans="1:29" x14ac:dyDescent="0.35">
      <c r="A1116" t="s">
        <v>905</v>
      </c>
      <c r="B1116">
        <v>65.77</v>
      </c>
      <c r="C1116">
        <v>175</v>
      </c>
      <c r="D1116" t="s">
        <v>52</v>
      </c>
      <c r="E1116">
        <v>33</v>
      </c>
      <c r="F1116" t="s">
        <v>906</v>
      </c>
      <c r="G1116" t="s">
        <v>54</v>
      </c>
      <c r="H1116" t="s">
        <v>29</v>
      </c>
      <c r="I1116" t="s">
        <v>48</v>
      </c>
      <c r="J1116">
        <v>0</v>
      </c>
      <c r="K1116">
        <v>1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1</v>
      </c>
      <c r="W1116">
        <v>1</v>
      </c>
      <c r="X1116">
        <v>895.99</v>
      </c>
      <c r="Y1116">
        <v>1000</v>
      </c>
      <c r="Z1116">
        <f>AVERAGEIFS(Table1[FinalElo], Table1[Country], Table1[[#This Row],[Country]])</f>
        <v>1039.8985714285714</v>
      </c>
      <c r="AA1116" cm="1">
        <f t="array" ref="AA1116">IF(COUNTIFS(Table1[Country],Table1[[#This Row],[Country]])=1,0, _xlfn.STDEV.S(IF(Table1[Country]=Table1[[#This Row],[Country]],Table1[FinalElo])))</f>
        <v>194.01778111336392</v>
      </c>
      <c r="AB1116">
        <f>IF(Table1[[#This Row],[CStd]]=0,0, (Table1[[#This Row],[FinalElo]]-Table1[[#This Row],[CAvg]]) / Table1[[#This Row],[CStd]])</f>
        <v>-0.74172877662427272</v>
      </c>
      <c r="AC1116" t="str">
        <f>IF(Table1[[#This Row],[CStd]]=0,"Normal", IF(ABS(Table1[[#This Row],[CZscore]])&gt;2,"Outlier","Normal"))</f>
        <v>Normal</v>
      </c>
    </row>
    <row r="1117" spans="1:29" x14ac:dyDescent="0.35">
      <c r="A1117" t="s">
        <v>902</v>
      </c>
      <c r="B1117">
        <v>70.31</v>
      </c>
      <c r="C1117">
        <v>185</v>
      </c>
      <c r="D1117" t="s">
        <v>903</v>
      </c>
      <c r="E1117">
        <v>25</v>
      </c>
      <c r="F1117" t="s">
        <v>904</v>
      </c>
      <c r="G1117" t="s">
        <v>34</v>
      </c>
      <c r="H1117" t="s">
        <v>29</v>
      </c>
      <c r="I1117" t="s">
        <v>30</v>
      </c>
      <c r="J1117">
        <v>0</v>
      </c>
      <c r="K1117">
        <v>1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1</v>
      </c>
      <c r="X1117">
        <v>900</v>
      </c>
      <c r="Y1117">
        <v>1000</v>
      </c>
      <c r="Z1117">
        <f>AVERAGEIFS(Table1[FinalElo], Table1[Country], Table1[[#This Row],[Country]])</f>
        <v>900</v>
      </c>
      <c r="AA1117" cm="1">
        <f t="array" ref="AA1117">IF(COUNTIFS(Table1[Country],Table1[[#This Row],[Country]])=1,0, _xlfn.STDEV.S(IF(Table1[Country]=Table1[[#This Row],[Country]],Table1[FinalElo])))</f>
        <v>0</v>
      </c>
      <c r="AB1117">
        <f>IF(Table1[[#This Row],[CStd]]=0,0, (Table1[[#This Row],[FinalElo]]-Table1[[#This Row],[CAvg]]) / Table1[[#This Row],[CStd]])</f>
        <v>0</v>
      </c>
      <c r="AC1117" t="str">
        <f>IF(Table1[[#This Row],[CStd]]=0,"Normal", IF(ABS(Table1[[#This Row],[CZscore]])&gt;2,"Outlier","Normal"))</f>
        <v>Normal</v>
      </c>
    </row>
    <row r="1118" spans="1:29" x14ac:dyDescent="0.35">
      <c r="A1118" t="s">
        <v>900</v>
      </c>
      <c r="B1118">
        <v>70.3</v>
      </c>
      <c r="C1118">
        <v>174</v>
      </c>
      <c r="D1118" t="s">
        <v>38</v>
      </c>
      <c r="E1118">
        <v>29</v>
      </c>
      <c r="F1118" t="s">
        <v>901</v>
      </c>
      <c r="G1118" t="s">
        <v>40</v>
      </c>
      <c r="H1118" t="s">
        <v>29</v>
      </c>
      <c r="I1118" t="s">
        <v>48</v>
      </c>
      <c r="J1118">
        <v>1</v>
      </c>
      <c r="K1118">
        <v>1</v>
      </c>
      <c r="L1118">
        <v>0</v>
      </c>
      <c r="M1118">
        <v>0</v>
      </c>
      <c r="N1118">
        <v>0</v>
      </c>
      <c r="O1118">
        <v>0</v>
      </c>
      <c r="P1118">
        <v>1</v>
      </c>
      <c r="Q1118">
        <v>0</v>
      </c>
      <c r="R1118">
        <v>1</v>
      </c>
      <c r="S1118">
        <v>0</v>
      </c>
      <c r="T1118">
        <v>0</v>
      </c>
      <c r="U1118">
        <v>0</v>
      </c>
      <c r="V1118">
        <v>0</v>
      </c>
      <c r="W1118">
        <v>2</v>
      </c>
      <c r="X1118">
        <v>970.71</v>
      </c>
      <c r="Y1118">
        <v>1100</v>
      </c>
      <c r="Z1118">
        <f>AVERAGEIFS(Table1[FinalElo], Table1[Country], Table1[[#This Row],[Country]])</f>
        <v>1057.4495402298851</v>
      </c>
      <c r="AA1118" cm="1">
        <f t="array" ref="AA1118">IF(COUNTIFS(Table1[Country],Table1[[#This Row],[Country]])=1,0, _xlfn.STDEV.S(IF(Table1[Country]=Table1[[#This Row],[Country]],Table1[FinalElo])))</f>
        <v>156.98667602259493</v>
      </c>
      <c r="AB1118">
        <f>IF(Table1[[#This Row],[CStd]]=0,0, (Table1[[#This Row],[FinalElo]]-Table1[[#This Row],[CAvg]]) / Table1[[#This Row],[CStd]])</f>
        <v>-0.55252803885981205</v>
      </c>
      <c r="AC1118" t="str">
        <f>IF(Table1[[#This Row],[CStd]]=0,"Normal", IF(ABS(Table1[[#This Row],[CZscore]])&gt;2,"Outlier","Normal"))</f>
        <v>Normal</v>
      </c>
    </row>
    <row r="1119" spans="1:29" x14ac:dyDescent="0.35">
      <c r="A1119" t="s">
        <v>898</v>
      </c>
      <c r="B1119">
        <v>65.400000000000006</v>
      </c>
      <c r="C1119">
        <v>180</v>
      </c>
      <c r="D1119" t="s">
        <v>864</v>
      </c>
      <c r="E1119">
        <v>26</v>
      </c>
      <c r="F1119" t="s">
        <v>899</v>
      </c>
      <c r="G1119" t="s">
        <v>34</v>
      </c>
      <c r="H1119" t="s">
        <v>29</v>
      </c>
      <c r="I1119" t="s">
        <v>73</v>
      </c>
      <c r="J1119">
        <v>0</v>
      </c>
      <c r="K1119">
        <v>2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1</v>
      </c>
      <c r="V1119">
        <v>0</v>
      </c>
      <c r="W1119">
        <v>2</v>
      </c>
      <c r="X1119">
        <v>892.11</v>
      </c>
      <c r="Y1119">
        <v>1000</v>
      </c>
      <c r="Z1119">
        <f>AVERAGEIFS(Table1[FinalElo], Table1[Country], Table1[[#This Row],[Country]])</f>
        <v>1078.2024999999999</v>
      </c>
      <c r="AA1119" cm="1">
        <f t="array" ref="AA1119">IF(COUNTIFS(Table1[Country],Table1[[#This Row],[Country]])=1,0, _xlfn.STDEV.S(IF(Table1[Country]=Table1[[#This Row],[Country]],Table1[FinalElo])))</f>
        <v>159.22226673741403</v>
      </c>
      <c r="AB1119">
        <f>IF(Table1[[#This Row],[CStd]]=0,0, (Table1[[#This Row],[FinalElo]]-Table1[[#This Row],[CAvg]]) / Table1[[#This Row],[CStd]])</f>
        <v>-1.1687592684941464</v>
      </c>
      <c r="AC1119" t="str">
        <f>IF(Table1[[#This Row],[CStd]]=0,"Normal", IF(ABS(Table1[[#This Row],[CZscore]])&gt;2,"Outlier","Normal"))</f>
        <v>Normal</v>
      </c>
    </row>
    <row r="1120" spans="1:29" x14ac:dyDescent="0.35">
      <c r="A1120" t="s">
        <v>896</v>
      </c>
      <c r="B1120">
        <v>70.31</v>
      </c>
      <c r="C1120">
        <v>183</v>
      </c>
      <c r="D1120" t="s">
        <v>864</v>
      </c>
      <c r="E1120">
        <v>25</v>
      </c>
      <c r="F1120" t="s">
        <v>897</v>
      </c>
      <c r="G1120" t="s">
        <v>34</v>
      </c>
      <c r="H1120" t="s">
        <v>29</v>
      </c>
      <c r="I1120" t="s">
        <v>30</v>
      </c>
      <c r="J1120">
        <v>4</v>
      </c>
      <c r="K1120">
        <v>2</v>
      </c>
      <c r="L1120">
        <v>0</v>
      </c>
      <c r="M1120">
        <v>0</v>
      </c>
      <c r="N1120">
        <v>0</v>
      </c>
      <c r="O1120">
        <v>0</v>
      </c>
      <c r="P1120">
        <v>2</v>
      </c>
      <c r="Q1120">
        <v>1</v>
      </c>
      <c r="R1120">
        <v>0</v>
      </c>
      <c r="S1120">
        <v>0</v>
      </c>
      <c r="T1120">
        <v>0</v>
      </c>
      <c r="U1120">
        <v>0</v>
      </c>
      <c r="V1120">
        <v>1</v>
      </c>
      <c r="W1120">
        <v>6</v>
      </c>
      <c r="X1120">
        <v>1281.3599999999999</v>
      </c>
      <c r="Y1120">
        <v>1355.25</v>
      </c>
      <c r="Z1120">
        <f>AVERAGEIFS(Table1[FinalElo], Table1[Country], Table1[[#This Row],[Country]])</f>
        <v>1078.2024999999999</v>
      </c>
      <c r="AA1120" cm="1">
        <f t="array" ref="AA1120">IF(COUNTIFS(Table1[Country],Table1[[#This Row],[Country]])=1,0, _xlfn.STDEV.S(IF(Table1[Country]=Table1[[#This Row],[Country]],Table1[FinalElo])))</f>
        <v>159.22226673741403</v>
      </c>
      <c r="AB1120">
        <f>IF(Table1[[#This Row],[CStd]]=0,0, (Table1[[#This Row],[FinalElo]]-Table1[[#This Row],[CAvg]]) / Table1[[#This Row],[CStd]])</f>
        <v>1.2759364890530231</v>
      </c>
      <c r="AC1120" t="str">
        <f>IF(Table1[[#This Row],[CStd]]=0,"Normal", IF(ABS(Table1[[#This Row],[CZscore]])&gt;2,"Outlier","Normal"))</f>
        <v>Normal</v>
      </c>
    </row>
    <row r="1121" spans="1:29" x14ac:dyDescent="0.35">
      <c r="A1121" t="s">
        <v>895</v>
      </c>
      <c r="B1121">
        <v>64</v>
      </c>
      <c r="C1121">
        <v>163</v>
      </c>
      <c r="D1121" t="s">
        <v>60</v>
      </c>
      <c r="E1121">
        <v>36</v>
      </c>
      <c r="F1121" t="s">
        <v>168</v>
      </c>
      <c r="G1121" t="s">
        <v>40</v>
      </c>
      <c r="H1121" t="s">
        <v>29</v>
      </c>
      <c r="I1121" t="s">
        <v>73</v>
      </c>
      <c r="J1121">
        <v>10</v>
      </c>
      <c r="K1121">
        <v>8</v>
      </c>
      <c r="L1121">
        <v>0</v>
      </c>
      <c r="M1121">
        <v>0</v>
      </c>
      <c r="N1121">
        <v>0</v>
      </c>
      <c r="O1121">
        <v>0</v>
      </c>
      <c r="P1121">
        <v>6</v>
      </c>
      <c r="Q1121">
        <v>2</v>
      </c>
      <c r="R1121">
        <v>0</v>
      </c>
      <c r="S1121">
        <v>2</v>
      </c>
      <c r="T1121">
        <v>0</v>
      </c>
      <c r="U1121">
        <v>2</v>
      </c>
      <c r="V1121">
        <v>2</v>
      </c>
      <c r="W1121">
        <v>18</v>
      </c>
      <c r="X1121">
        <v>1112.6600000000001</v>
      </c>
      <c r="Y1121">
        <v>1298.02</v>
      </c>
      <c r="Z1121">
        <f>AVERAGEIFS(Table1[FinalElo], Table1[Country], Table1[[#This Row],[Country]])</f>
        <v>1034.681315789474</v>
      </c>
      <c r="AA1121" cm="1">
        <f t="array" ref="AA1121">IF(COUNTIFS(Table1[Country],Table1[[#This Row],[Country]])=1,0, _xlfn.STDEV.S(IF(Table1[Country]=Table1[[#This Row],[Country]],Table1[FinalElo])))</f>
        <v>152.902810204692</v>
      </c>
      <c r="AB1121">
        <f>IF(Table1[[#This Row],[CStd]]=0,0, (Table1[[#This Row],[FinalElo]]-Table1[[#This Row],[CAvg]]) / Table1[[#This Row],[CStd]])</f>
        <v>0.50998856140142579</v>
      </c>
      <c r="AC1121" t="str">
        <f>IF(Table1[[#This Row],[CStd]]=0,"Normal", IF(ABS(Table1[[#This Row],[CZscore]])&gt;2,"Outlier","Normal"))</f>
        <v>Normal</v>
      </c>
    </row>
    <row r="1122" spans="1:29" x14ac:dyDescent="0.35">
      <c r="A1122" t="s">
        <v>891</v>
      </c>
      <c r="B1122">
        <v>77.099999999999994</v>
      </c>
      <c r="C1122">
        <v>186</v>
      </c>
      <c r="D1122" t="s">
        <v>116</v>
      </c>
      <c r="E1122">
        <v>43</v>
      </c>
      <c r="F1122" t="s">
        <v>892</v>
      </c>
      <c r="G1122" t="s">
        <v>40</v>
      </c>
      <c r="H1122" t="s">
        <v>29</v>
      </c>
      <c r="I1122" t="s">
        <v>30</v>
      </c>
      <c r="J1122">
        <v>1</v>
      </c>
      <c r="K1122">
        <v>1</v>
      </c>
      <c r="L1122">
        <v>0</v>
      </c>
      <c r="M1122">
        <v>0</v>
      </c>
      <c r="N1122">
        <v>1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2</v>
      </c>
      <c r="X1122">
        <v>979.57</v>
      </c>
      <c r="Y1122">
        <v>1100</v>
      </c>
      <c r="Z1122">
        <f>AVERAGEIFS(Table1[FinalElo], Table1[Country], Table1[[#This Row],[Country]])</f>
        <v>980.88090909090931</v>
      </c>
      <c r="AA1122" cm="1">
        <f t="array" ref="AA1122">IF(COUNTIFS(Table1[Country],Table1[[#This Row],[Country]])=1,0, _xlfn.STDEV.S(IF(Table1[Country]=Table1[[#This Row],[Country]],Table1[FinalElo])))</f>
        <v>133.41794796376408</v>
      </c>
      <c r="AB1122">
        <f>IF(Table1[[#This Row],[CStd]]=0,0, (Table1[[#This Row],[FinalElo]]-Table1[[#This Row],[CAvg]]) / Table1[[#This Row],[CStd]])</f>
        <v>-9.8255827714072014E-3</v>
      </c>
      <c r="AC1122" t="str">
        <f>IF(Table1[[#This Row],[CStd]]=0,"Normal", IF(ABS(Table1[[#This Row],[CZscore]])&gt;2,"Outlier","Normal"))</f>
        <v>Normal</v>
      </c>
    </row>
    <row r="1123" spans="1:29" x14ac:dyDescent="0.35">
      <c r="A1123" t="s">
        <v>889</v>
      </c>
      <c r="B1123">
        <v>61.2</v>
      </c>
      <c r="C1123">
        <v>173</v>
      </c>
      <c r="D1123" t="s">
        <v>270</v>
      </c>
      <c r="E1123">
        <v>29</v>
      </c>
      <c r="F1123" t="s">
        <v>890</v>
      </c>
      <c r="G1123" t="s">
        <v>40</v>
      </c>
      <c r="H1123" t="s">
        <v>29</v>
      </c>
      <c r="I1123" t="s">
        <v>58</v>
      </c>
      <c r="J1123">
        <v>0</v>
      </c>
      <c r="K1123">
        <v>1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1</v>
      </c>
      <c r="T1123">
        <v>0</v>
      </c>
      <c r="U1123">
        <v>0</v>
      </c>
      <c r="V1123">
        <v>0</v>
      </c>
      <c r="W1123">
        <v>1</v>
      </c>
      <c r="X1123">
        <v>928.01</v>
      </c>
      <c r="Y1123">
        <v>1000</v>
      </c>
      <c r="Z1123">
        <f>AVERAGEIFS(Table1[FinalElo], Table1[Country], Table1[[#This Row],[Country]])</f>
        <v>1084.24</v>
      </c>
      <c r="AA1123" cm="1">
        <f t="array" ref="AA1123">IF(COUNTIFS(Table1[Country],Table1[[#This Row],[Country]])=1,0, _xlfn.STDEV.S(IF(Table1[Country]=Table1[[#This Row],[Country]],Table1[FinalElo])))</f>
        <v>156.18548191173187</v>
      </c>
      <c r="AB1123">
        <f>IF(Table1[[#This Row],[CStd]]=0,0, (Table1[[#This Row],[FinalElo]]-Table1[[#This Row],[CAvg]]) / Table1[[#This Row],[CStd]])</f>
        <v>-1.0002850334597253</v>
      </c>
      <c r="AC1123" t="str">
        <f>IF(Table1[[#This Row],[CStd]]=0,"Normal", IF(ABS(Table1[[#This Row],[CZscore]])&gt;2,"Outlier","Normal"))</f>
        <v>Normal</v>
      </c>
    </row>
    <row r="1124" spans="1:29" x14ac:dyDescent="0.35">
      <c r="A1124" t="s">
        <v>888</v>
      </c>
      <c r="B1124">
        <v>65.77</v>
      </c>
      <c r="C1124">
        <v>-1</v>
      </c>
      <c r="D1124" t="s">
        <v>384</v>
      </c>
      <c r="E1124">
        <v>18</v>
      </c>
      <c r="F1124" t="s">
        <v>87</v>
      </c>
      <c r="G1124" t="s">
        <v>34</v>
      </c>
      <c r="H1124" t="s">
        <v>29</v>
      </c>
      <c r="I1124" t="s">
        <v>48</v>
      </c>
      <c r="J1124">
        <v>0</v>
      </c>
      <c r="K1124">
        <v>1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1</v>
      </c>
      <c r="X1124">
        <v>939.88</v>
      </c>
      <c r="Y1124">
        <v>1000</v>
      </c>
      <c r="Z1124">
        <f>AVERAGEIFS(Table1[FinalElo], Table1[Country], Table1[[#This Row],[Country]])</f>
        <v>1054.6869565217391</v>
      </c>
      <c r="AA1124" cm="1">
        <f t="array" ref="AA1124">IF(COUNTIFS(Table1[Country],Table1[[#This Row],[Country]])=1,0, _xlfn.STDEV.S(IF(Table1[Country]=Table1[[#This Row],[Country]],Table1[FinalElo])))</f>
        <v>191.2923801275472</v>
      </c>
      <c r="AB1124">
        <f>IF(Table1[[#This Row],[CStd]]=0,0, (Table1[[#This Row],[FinalElo]]-Table1[[#This Row],[CAvg]]) / Table1[[#This Row],[CStd]])</f>
        <v>-0.60016481809254407</v>
      </c>
      <c r="AC1124" t="str">
        <f>IF(Table1[[#This Row],[CStd]]=0,"Normal", IF(ABS(Table1[[#This Row],[CZscore]])&gt;2,"Outlier","Normal"))</f>
        <v>Normal</v>
      </c>
    </row>
    <row r="1125" spans="1:29" x14ac:dyDescent="0.35">
      <c r="A1125" t="s">
        <v>887</v>
      </c>
      <c r="B1125">
        <v>52.16</v>
      </c>
      <c r="C1125">
        <v>165</v>
      </c>
      <c r="D1125" t="s">
        <v>89</v>
      </c>
      <c r="E1125">
        <v>24</v>
      </c>
      <c r="F1125" t="s">
        <v>104</v>
      </c>
      <c r="G1125" t="s">
        <v>34</v>
      </c>
      <c r="H1125" t="s">
        <v>29</v>
      </c>
      <c r="I1125" t="s">
        <v>36</v>
      </c>
      <c r="J1125">
        <v>1</v>
      </c>
      <c r="K1125">
        <v>2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1</v>
      </c>
      <c r="W1125">
        <v>3</v>
      </c>
      <c r="X1125">
        <v>880.03</v>
      </c>
      <c r="Y1125">
        <v>1100</v>
      </c>
      <c r="Z1125">
        <f>AVERAGEIFS(Table1[FinalElo], Table1[Country], Table1[[#This Row],[Country]])</f>
        <v>1012.0629025423733</v>
      </c>
      <c r="AA1125" cm="1">
        <f t="array" ref="AA1125">IF(COUNTIFS(Table1[Country],Table1[[#This Row],[Country]])=1,0, _xlfn.STDEV.S(IF(Table1[Country]=Table1[[#This Row],[Country]],Table1[FinalElo])))</f>
        <v>148.42180446198614</v>
      </c>
      <c r="AB1125">
        <f>IF(Table1[[#This Row],[CStd]]=0,0, (Table1[[#This Row],[FinalElo]]-Table1[[#This Row],[CAvg]]) / Table1[[#This Row],[CStd]])</f>
        <v>-0.8895788797406089</v>
      </c>
      <c r="AC1125" t="str">
        <f>IF(Table1[[#This Row],[CStd]]=0,"Normal", IF(ABS(Table1[[#This Row],[CZscore]])&gt;2,"Outlier","Normal"))</f>
        <v>Normal</v>
      </c>
    </row>
    <row r="1126" spans="1:29" x14ac:dyDescent="0.35">
      <c r="A1126" t="s">
        <v>885</v>
      </c>
      <c r="B1126">
        <v>62.5</v>
      </c>
      <c r="C1126">
        <v>170</v>
      </c>
      <c r="D1126" t="s">
        <v>886</v>
      </c>
      <c r="E1126">
        <v>30</v>
      </c>
      <c r="F1126" t="s">
        <v>400</v>
      </c>
      <c r="G1126" t="s">
        <v>40</v>
      </c>
      <c r="H1126" t="s">
        <v>29</v>
      </c>
      <c r="I1126" t="s">
        <v>73</v>
      </c>
      <c r="J1126">
        <v>0</v>
      </c>
      <c r="K1126">
        <v>1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1</v>
      </c>
      <c r="V1126">
        <v>0</v>
      </c>
      <c r="W1126">
        <v>1</v>
      </c>
      <c r="X1126">
        <v>900</v>
      </c>
      <c r="Y1126">
        <v>1000</v>
      </c>
      <c r="Z1126">
        <f>AVERAGEIFS(Table1[FinalElo], Table1[Country], Table1[[#This Row],[Country]])</f>
        <v>900</v>
      </c>
      <c r="AA1126" cm="1">
        <f t="array" ref="AA1126">IF(COUNTIFS(Table1[Country],Table1[[#This Row],[Country]])=1,0, _xlfn.STDEV.S(IF(Table1[Country]=Table1[[#This Row],[Country]],Table1[FinalElo])))</f>
        <v>0</v>
      </c>
      <c r="AB1126">
        <f>IF(Table1[[#This Row],[CStd]]=0,0, (Table1[[#This Row],[FinalElo]]-Table1[[#This Row],[CAvg]]) / Table1[[#This Row],[CStd]])</f>
        <v>0</v>
      </c>
      <c r="AC1126" t="str">
        <f>IF(Table1[[#This Row],[CStd]]=0,"Normal", IF(ABS(Table1[[#This Row],[CZscore]])&gt;2,"Outlier","Normal"))</f>
        <v>Normal</v>
      </c>
    </row>
    <row r="1127" spans="1:29" x14ac:dyDescent="0.35">
      <c r="A1127" t="s">
        <v>883</v>
      </c>
      <c r="B1127">
        <v>70.31</v>
      </c>
      <c r="C1127">
        <v>185</v>
      </c>
      <c r="D1127" t="s">
        <v>38</v>
      </c>
      <c r="E1127">
        <v>29</v>
      </c>
      <c r="F1127" t="s">
        <v>884</v>
      </c>
      <c r="G1127" t="s">
        <v>40</v>
      </c>
      <c r="H1127" t="s">
        <v>29</v>
      </c>
      <c r="I1127" t="s">
        <v>30</v>
      </c>
      <c r="J1127">
        <v>3</v>
      </c>
      <c r="K1127">
        <v>1</v>
      </c>
      <c r="L1127">
        <v>0</v>
      </c>
      <c r="M1127">
        <v>1</v>
      </c>
      <c r="N1127">
        <v>1</v>
      </c>
      <c r="O1127">
        <v>0</v>
      </c>
      <c r="P1127">
        <v>1</v>
      </c>
      <c r="Q1127">
        <v>0</v>
      </c>
      <c r="R1127">
        <v>0</v>
      </c>
      <c r="S1127">
        <v>1</v>
      </c>
      <c r="T1127">
        <v>0</v>
      </c>
      <c r="U1127">
        <v>0</v>
      </c>
      <c r="V1127">
        <v>0</v>
      </c>
      <c r="W1127">
        <v>4</v>
      </c>
      <c r="X1127">
        <v>1155.4000000000001</v>
      </c>
      <c r="Y1127">
        <v>1287.46</v>
      </c>
      <c r="Z1127">
        <f>AVERAGEIFS(Table1[FinalElo], Table1[Country], Table1[[#This Row],[Country]])</f>
        <v>1057.4495402298851</v>
      </c>
      <c r="AA1127" cm="1">
        <f t="array" ref="AA1127">IF(COUNTIFS(Table1[Country],Table1[[#This Row],[Country]])=1,0, _xlfn.STDEV.S(IF(Table1[Country]=Table1[[#This Row],[Country]],Table1[FinalElo])))</f>
        <v>156.98667602259493</v>
      </c>
      <c r="AB1127">
        <f>IF(Table1[[#This Row],[CStd]]=0,0, (Table1[[#This Row],[FinalElo]]-Table1[[#This Row],[CAvg]]) / Table1[[#This Row],[CStd]])</f>
        <v>0.62394123024820969</v>
      </c>
      <c r="AC1127" t="str">
        <f>IF(Table1[[#This Row],[CStd]]=0,"Normal", IF(ABS(Table1[[#This Row],[CZscore]])&gt;2,"Outlier","Normal"))</f>
        <v>Normal</v>
      </c>
    </row>
    <row r="1128" spans="1:29" x14ac:dyDescent="0.35">
      <c r="A1128" t="s">
        <v>881</v>
      </c>
      <c r="B1128">
        <v>53.523856000000002</v>
      </c>
      <c r="C1128">
        <v>165</v>
      </c>
      <c r="D1128" t="s">
        <v>32</v>
      </c>
      <c r="E1128">
        <v>24</v>
      </c>
      <c r="F1128" t="s">
        <v>882</v>
      </c>
      <c r="G1128" t="s">
        <v>34</v>
      </c>
      <c r="H1128" t="s">
        <v>29</v>
      </c>
      <c r="I1128" t="s">
        <v>36</v>
      </c>
      <c r="J1128">
        <v>1</v>
      </c>
      <c r="K1128">
        <v>1</v>
      </c>
      <c r="L1128">
        <v>0</v>
      </c>
      <c r="M1128">
        <v>0</v>
      </c>
      <c r="N1128">
        <v>0</v>
      </c>
      <c r="O1128">
        <v>0</v>
      </c>
      <c r="P1128">
        <v>1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1</v>
      </c>
      <c r="W1128">
        <v>2</v>
      </c>
      <c r="X1128">
        <v>1028.01</v>
      </c>
      <c r="Y1128">
        <v>1028.01</v>
      </c>
      <c r="Z1128">
        <f>AVERAGEIFS(Table1[FinalElo], Table1[Country], Table1[[#This Row],[Country]])</f>
        <v>1025.3786885245902</v>
      </c>
      <c r="AA1128" cm="1">
        <f t="array" ref="AA1128">IF(COUNTIFS(Table1[Country],Table1[[#This Row],[Country]])=1,0, _xlfn.STDEV.S(IF(Table1[Country]=Table1[[#This Row],[Country]],Table1[FinalElo])))</f>
        <v>144.71595558743479</v>
      </c>
      <c r="AB1128">
        <f>IF(Table1[[#This Row],[CStd]]=0,0, (Table1[[#This Row],[FinalElo]]-Table1[[#This Row],[CAvg]]) / Table1[[#This Row],[CStd]])</f>
        <v>1.8182594066623228E-2</v>
      </c>
      <c r="AC1128" t="str">
        <f>IF(Table1[[#This Row],[CStd]]=0,"Normal", IF(ABS(Table1[[#This Row],[CZscore]])&gt;2,"Outlier","Normal"))</f>
        <v>Normal</v>
      </c>
    </row>
    <row r="1129" spans="1:29" hidden="1" x14ac:dyDescent="0.35">
      <c r="A1129" t="s">
        <v>2024</v>
      </c>
      <c r="B1129">
        <v>61.23</v>
      </c>
      <c r="C1129">
        <v>178</v>
      </c>
      <c r="D1129" t="s">
        <v>396</v>
      </c>
      <c r="E1129">
        <v>26</v>
      </c>
      <c r="F1129" t="s">
        <v>678</v>
      </c>
      <c r="G1129" t="s">
        <v>40</v>
      </c>
      <c r="I1129" t="s">
        <v>73</v>
      </c>
      <c r="J1129">
        <v>2</v>
      </c>
      <c r="K1129">
        <v>0</v>
      </c>
      <c r="L1129">
        <v>0</v>
      </c>
      <c r="M1129">
        <v>0</v>
      </c>
      <c r="N1129">
        <v>1</v>
      </c>
      <c r="O1129">
        <v>0</v>
      </c>
      <c r="P1129">
        <v>1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2</v>
      </c>
      <c r="X1129">
        <v>1171.99</v>
      </c>
      <c r="Y1129">
        <v>1171.99</v>
      </c>
      <c r="Z1129">
        <f>AVERAGEIFS(Table1[FinalElo], Table1[Country], Table1[[#This Row],[Country]])</f>
        <v>998.29391304347814</v>
      </c>
      <c r="AA1129" cm="1">
        <f t="array" ref="AA1129">IF(COUNTIFS(Table1[Country],Table1[[#This Row],[Country]])=1,0, _xlfn.STDEV.S(IF(Table1[Country]=Table1[[#This Row],[Country]],Table1[FinalElo])))</f>
        <v>125.31531828802386</v>
      </c>
      <c r="AB1129">
        <f>IF(Table1[[#This Row],[CStd]]=0,0, (Table1[[#This Row],[FinalElo]]-Table1[[#This Row],[CAvg]]) / Table1[[#This Row],[CStd]])</f>
        <v>1.386072264184814</v>
      </c>
      <c r="AC1129" t="str">
        <f>IF(Table1[[#This Row],[CStd]]=0,"Normal", IF(ABS(Table1[[#This Row],[CZscore]])&gt;2,"Outlier","Normal"))</f>
        <v>Normal</v>
      </c>
    </row>
    <row r="1130" spans="1:29" x14ac:dyDescent="0.35">
      <c r="A1130" t="s">
        <v>879</v>
      </c>
      <c r="B1130">
        <v>52.16</v>
      </c>
      <c r="C1130">
        <v>171</v>
      </c>
      <c r="D1130" t="s">
        <v>226</v>
      </c>
      <c r="E1130">
        <v>25</v>
      </c>
      <c r="F1130" t="s">
        <v>880</v>
      </c>
      <c r="G1130" t="s">
        <v>40</v>
      </c>
      <c r="H1130" t="s">
        <v>29</v>
      </c>
      <c r="I1130" t="s">
        <v>36</v>
      </c>
      <c r="J1130">
        <v>1</v>
      </c>
      <c r="K1130">
        <v>0</v>
      </c>
      <c r="L1130">
        <v>0</v>
      </c>
      <c r="M1130">
        <v>0</v>
      </c>
      <c r="N1130">
        <v>1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1</v>
      </c>
      <c r="X1130">
        <v>1100</v>
      </c>
      <c r="Y1130">
        <v>1100</v>
      </c>
      <c r="Z1130">
        <f>AVERAGEIFS(Table1[FinalElo], Table1[Country], Table1[[#This Row],[Country]])</f>
        <v>961.00176470588235</v>
      </c>
      <c r="AA1130" cm="1">
        <f t="array" ref="AA1130">IF(COUNTIFS(Table1[Country],Table1[[#This Row],[Country]])=1,0, _xlfn.STDEV.S(IF(Table1[Country]=Table1[[#This Row],[Country]],Table1[FinalElo])))</f>
        <v>117.15877454523515</v>
      </c>
      <c r="AB1130">
        <f>IF(Table1[[#This Row],[CStd]]=0,0, (Table1[[#This Row],[FinalElo]]-Table1[[#This Row],[CAvg]]) / Table1[[#This Row],[CStd]])</f>
        <v>1.1864090917104144</v>
      </c>
      <c r="AC1130" t="str">
        <f>IF(Table1[[#This Row],[CStd]]=0,"Normal", IF(ABS(Table1[[#This Row],[CZscore]])&gt;2,"Outlier","Normal"))</f>
        <v>Normal</v>
      </c>
    </row>
    <row r="1131" spans="1:29" x14ac:dyDescent="0.35">
      <c r="A1131" t="s">
        <v>878</v>
      </c>
      <c r="B1131">
        <v>70.31</v>
      </c>
      <c r="C1131">
        <v>183</v>
      </c>
      <c r="D1131" t="s">
        <v>32</v>
      </c>
      <c r="E1131">
        <v>28</v>
      </c>
      <c r="F1131" t="s">
        <v>110</v>
      </c>
      <c r="G1131" t="s">
        <v>40</v>
      </c>
      <c r="H1131" t="s">
        <v>29</v>
      </c>
      <c r="I1131" t="s">
        <v>30</v>
      </c>
      <c r="J1131">
        <v>0</v>
      </c>
      <c r="K1131">
        <v>1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1</v>
      </c>
      <c r="X1131">
        <v>900</v>
      </c>
      <c r="Y1131">
        <v>1000</v>
      </c>
      <c r="Z1131">
        <f>AVERAGEIFS(Table1[FinalElo], Table1[Country], Table1[[#This Row],[Country]])</f>
        <v>1025.3786885245902</v>
      </c>
      <c r="AA1131" cm="1">
        <f t="array" ref="AA1131">IF(COUNTIFS(Table1[Country],Table1[[#This Row],[Country]])=1,0, _xlfn.STDEV.S(IF(Table1[Country]=Table1[[#This Row],[Country]],Table1[FinalElo])))</f>
        <v>144.71595558743479</v>
      </c>
      <c r="AB1131">
        <f>IF(Table1[[#This Row],[CStd]]=0,0, (Table1[[#This Row],[FinalElo]]-Table1[[#This Row],[CAvg]]) / Table1[[#This Row],[CStd]])</f>
        <v>-0.86637778132791055</v>
      </c>
      <c r="AC1131" t="str">
        <f>IF(Table1[[#This Row],[CStd]]=0,"Normal", IF(ABS(Table1[[#This Row],[CZscore]])&gt;2,"Outlier","Normal"))</f>
        <v>Normal</v>
      </c>
    </row>
    <row r="1132" spans="1:29" x14ac:dyDescent="0.35">
      <c r="A1132" t="s">
        <v>877</v>
      </c>
      <c r="B1132">
        <v>65.77</v>
      </c>
      <c r="C1132">
        <v>162</v>
      </c>
      <c r="D1132" t="s">
        <v>32</v>
      </c>
      <c r="E1132">
        <v>28</v>
      </c>
      <c r="F1132">
        <v>0</v>
      </c>
      <c r="G1132" t="s">
        <v>54</v>
      </c>
      <c r="H1132" t="s">
        <v>29</v>
      </c>
      <c r="I1132" t="s">
        <v>48</v>
      </c>
      <c r="J1132">
        <v>1</v>
      </c>
      <c r="K1132">
        <v>1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1</v>
      </c>
      <c r="R1132">
        <v>0</v>
      </c>
      <c r="S1132">
        <v>1</v>
      </c>
      <c r="T1132">
        <v>0</v>
      </c>
      <c r="U1132">
        <v>0</v>
      </c>
      <c r="V1132">
        <v>0</v>
      </c>
      <c r="W1132">
        <v>2</v>
      </c>
      <c r="X1132">
        <v>1090.07</v>
      </c>
      <c r="Y1132">
        <v>1090.07</v>
      </c>
      <c r="Z1132">
        <f>AVERAGEIFS(Table1[FinalElo], Table1[Country], Table1[[#This Row],[Country]])</f>
        <v>1025.3786885245902</v>
      </c>
      <c r="AA1132" cm="1">
        <f t="array" ref="AA1132">IF(COUNTIFS(Table1[Country],Table1[[#This Row],[Country]])=1,0, _xlfn.STDEV.S(IF(Table1[Country]=Table1[[#This Row],[Country]],Table1[FinalElo])))</f>
        <v>144.71595558743479</v>
      </c>
      <c r="AB1132">
        <f>IF(Table1[[#This Row],[CStd]]=0,0, (Table1[[#This Row],[FinalElo]]-Table1[[#This Row],[CAvg]]) / Table1[[#This Row],[CStd]])</f>
        <v>0.44702266044413058</v>
      </c>
      <c r="AC1132" t="str">
        <f>IF(Table1[[#This Row],[CStd]]=0,"Normal", IF(ABS(Table1[[#This Row],[CZscore]])&gt;2,"Outlier","Normal"))</f>
        <v>Normal</v>
      </c>
    </row>
    <row r="1133" spans="1:29" x14ac:dyDescent="0.35">
      <c r="A1133" t="s">
        <v>875</v>
      </c>
      <c r="B1133">
        <v>51.6</v>
      </c>
      <c r="C1133">
        <v>164</v>
      </c>
      <c r="D1133" t="s">
        <v>82</v>
      </c>
      <c r="E1133">
        <v>19</v>
      </c>
      <c r="F1133" t="s">
        <v>876</v>
      </c>
      <c r="G1133" t="s">
        <v>28</v>
      </c>
      <c r="H1133" t="s">
        <v>29</v>
      </c>
      <c r="I1133" t="s">
        <v>55</v>
      </c>
      <c r="J1133">
        <v>0</v>
      </c>
      <c r="K1133">
        <v>1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1</v>
      </c>
      <c r="V1133">
        <v>0</v>
      </c>
      <c r="W1133">
        <v>1</v>
      </c>
      <c r="X1133">
        <v>867.14</v>
      </c>
      <c r="Y1133">
        <v>1000</v>
      </c>
      <c r="Z1133">
        <f>AVERAGEIFS(Table1[FinalElo], Table1[Country], Table1[[#This Row],[Country]])</f>
        <v>1012.5275373134326</v>
      </c>
      <c r="AA1133" cm="1">
        <f t="array" ref="AA1133">IF(COUNTIFS(Table1[Country],Table1[[#This Row],[Country]])=1,0, _xlfn.STDEV.S(IF(Table1[Country]=Table1[[#This Row],[Country]],Table1[FinalElo])))</f>
        <v>135.61062237674741</v>
      </c>
      <c r="AB1133">
        <f>IF(Table1[[#This Row],[CStd]]=0,0, (Table1[[#This Row],[FinalElo]]-Table1[[#This Row],[CAvg]]) / Table1[[#This Row],[CStd]])</f>
        <v>-1.0720954949201797</v>
      </c>
      <c r="AC1133" t="str">
        <f>IF(Table1[[#This Row],[CStd]]=0,"Normal", IF(ABS(Table1[[#This Row],[CZscore]])&gt;2,"Outlier","Normal"))</f>
        <v>Normal</v>
      </c>
    </row>
    <row r="1134" spans="1:29" x14ac:dyDescent="0.35">
      <c r="A1134" t="s">
        <v>873</v>
      </c>
      <c r="B1134">
        <v>45.359200000000001</v>
      </c>
      <c r="C1134">
        <v>148</v>
      </c>
      <c r="D1134" t="s">
        <v>82</v>
      </c>
      <c r="E1134">
        <v>21</v>
      </c>
      <c r="F1134" t="s">
        <v>874</v>
      </c>
      <c r="G1134" t="s">
        <v>34</v>
      </c>
      <c r="H1134" t="s">
        <v>29</v>
      </c>
      <c r="I1134" t="s">
        <v>55</v>
      </c>
      <c r="J1134">
        <v>0</v>
      </c>
      <c r="K1134">
        <v>1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1</v>
      </c>
      <c r="V1134">
        <v>0</v>
      </c>
      <c r="W1134">
        <v>1</v>
      </c>
      <c r="X1134">
        <v>900</v>
      </c>
      <c r="Y1134">
        <v>1000</v>
      </c>
      <c r="Z1134">
        <f>AVERAGEIFS(Table1[FinalElo], Table1[Country], Table1[[#This Row],[Country]])</f>
        <v>1012.5275373134326</v>
      </c>
      <c r="AA1134" cm="1">
        <f t="array" ref="AA1134">IF(COUNTIFS(Table1[Country],Table1[[#This Row],[Country]])=1,0, _xlfn.STDEV.S(IF(Table1[Country]=Table1[[#This Row],[Country]],Table1[FinalElo])))</f>
        <v>135.61062237674741</v>
      </c>
      <c r="AB1134">
        <f>IF(Table1[[#This Row],[CStd]]=0,0, (Table1[[#This Row],[FinalElo]]-Table1[[#This Row],[CAvg]]) / Table1[[#This Row],[CStd]])</f>
        <v>-0.82978409317238888</v>
      </c>
      <c r="AC1134" t="str">
        <f>IF(Table1[[#This Row],[CStd]]=0,"Normal", IF(ABS(Table1[[#This Row],[CZscore]])&gt;2,"Outlier","Normal"))</f>
        <v>Normal</v>
      </c>
    </row>
    <row r="1135" spans="1:29" hidden="1" x14ac:dyDescent="0.35">
      <c r="A1135" t="s">
        <v>2033</v>
      </c>
      <c r="B1135">
        <v>65.8</v>
      </c>
      <c r="C1135">
        <v>172</v>
      </c>
      <c r="D1135" t="s">
        <v>368</v>
      </c>
      <c r="E1135">
        <v>34</v>
      </c>
      <c r="F1135" t="s">
        <v>2034</v>
      </c>
      <c r="G1135" t="s">
        <v>40</v>
      </c>
      <c r="I1135" t="s">
        <v>48</v>
      </c>
      <c r="J1135">
        <v>0</v>
      </c>
      <c r="K1135">
        <v>1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1</v>
      </c>
      <c r="T1135">
        <v>0</v>
      </c>
      <c r="U1135">
        <v>0</v>
      </c>
      <c r="V1135">
        <v>0</v>
      </c>
      <c r="W1135">
        <v>1</v>
      </c>
      <c r="X1135">
        <v>928.01</v>
      </c>
      <c r="Y1135">
        <v>1000</v>
      </c>
      <c r="Z1135">
        <f>AVERAGEIFS(Table1[FinalElo], Table1[Country], Table1[[#This Row],[Country]])</f>
        <v>980.53583333333336</v>
      </c>
      <c r="AA1135" cm="1">
        <f t="array" ref="AA1135">IF(COUNTIFS(Table1[Country],Table1[[#This Row],[Country]])=1,0, _xlfn.STDEV.S(IF(Table1[Country]=Table1[[#This Row],[Country]],Table1[FinalElo])))</f>
        <v>85.643213227725752</v>
      </c>
      <c r="AB1135">
        <f>IF(Table1[[#This Row],[CStd]]=0,0, (Table1[[#This Row],[FinalElo]]-Table1[[#This Row],[CAvg]]) / Table1[[#This Row],[CStd]])</f>
        <v>-0.6133099326115532</v>
      </c>
      <c r="AC1135" t="str">
        <f>IF(Table1[[#This Row],[CStd]]=0,"Normal", IF(ABS(Table1[[#This Row],[CZscore]])&gt;2,"Outlier","Normal"))</f>
        <v>Normal</v>
      </c>
    </row>
    <row r="1136" spans="1:29" x14ac:dyDescent="0.35">
      <c r="A1136" t="s">
        <v>871</v>
      </c>
      <c r="B1136">
        <v>68.945983999999996</v>
      </c>
      <c r="C1136">
        <v>180</v>
      </c>
      <c r="D1136" t="s">
        <v>247</v>
      </c>
      <c r="E1136">
        <v>26</v>
      </c>
      <c r="F1136" t="s">
        <v>872</v>
      </c>
      <c r="G1136" t="s">
        <v>34</v>
      </c>
      <c r="H1136" t="s">
        <v>29</v>
      </c>
      <c r="I1136" t="s">
        <v>48</v>
      </c>
      <c r="J1136">
        <v>3</v>
      </c>
      <c r="K1136">
        <v>2</v>
      </c>
      <c r="L1136">
        <v>0</v>
      </c>
      <c r="M1136">
        <v>3</v>
      </c>
      <c r="N1136">
        <v>0</v>
      </c>
      <c r="O1136">
        <v>0</v>
      </c>
      <c r="P1136">
        <v>0</v>
      </c>
      <c r="Q1136">
        <v>0</v>
      </c>
      <c r="R1136">
        <v>1</v>
      </c>
      <c r="S1136">
        <v>0</v>
      </c>
      <c r="T1136">
        <v>0</v>
      </c>
      <c r="U1136">
        <v>1</v>
      </c>
      <c r="V1136">
        <v>0</v>
      </c>
      <c r="W1136">
        <v>5</v>
      </c>
      <c r="X1136">
        <v>1099.58</v>
      </c>
      <c r="Y1136">
        <v>1100</v>
      </c>
      <c r="Z1136">
        <f>AVERAGEIFS(Table1[FinalElo], Table1[Country], Table1[[#This Row],[Country]])</f>
        <v>1050.0176190476191</v>
      </c>
      <c r="AA1136" cm="1">
        <f t="array" ref="AA1136">IF(COUNTIFS(Table1[Country],Table1[[#This Row],[Country]])=1,0, _xlfn.STDEV.S(IF(Table1[Country]=Table1[[#This Row],[Country]],Table1[FinalElo])))</f>
        <v>127.00578096703971</v>
      </c>
      <c r="AB1136">
        <f>IF(Table1[[#This Row],[CStd]]=0,0, (Table1[[#This Row],[FinalElo]]-Table1[[#This Row],[CAvg]]) / Table1[[#This Row],[CStd]])</f>
        <v>0.39023720475561025</v>
      </c>
      <c r="AC1136" t="str">
        <f>IF(Table1[[#This Row],[CStd]]=0,"Normal", IF(ABS(Table1[[#This Row],[CZscore]])&gt;2,"Outlier","Normal"))</f>
        <v>Normal</v>
      </c>
    </row>
    <row r="1137" spans="1:29" x14ac:dyDescent="0.35">
      <c r="A1137" t="s">
        <v>870</v>
      </c>
      <c r="B1137">
        <v>70.099999999999994</v>
      </c>
      <c r="C1137">
        <v>176</v>
      </c>
      <c r="D1137" t="s">
        <v>116</v>
      </c>
      <c r="E1137">
        <v>22</v>
      </c>
      <c r="F1137" t="s">
        <v>843</v>
      </c>
      <c r="G1137" t="s">
        <v>40</v>
      </c>
      <c r="H1137" t="s">
        <v>29</v>
      </c>
      <c r="I1137" t="s">
        <v>48</v>
      </c>
      <c r="J1137">
        <v>0</v>
      </c>
      <c r="K1137">
        <v>1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1</v>
      </c>
      <c r="T1137">
        <v>0</v>
      </c>
      <c r="U1137">
        <v>0</v>
      </c>
      <c r="V1137">
        <v>0</v>
      </c>
      <c r="W1137">
        <v>1</v>
      </c>
      <c r="X1137">
        <v>928.01</v>
      </c>
      <c r="Y1137">
        <v>1000</v>
      </c>
      <c r="Z1137">
        <f>AVERAGEIFS(Table1[FinalElo], Table1[Country], Table1[[#This Row],[Country]])</f>
        <v>980.88090909090931</v>
      </c>
      <c r="AA1137" cm="1">
        <f t="array" ref="AA1137">IF(COUNTIFS(Table1[Country],Table1[[#This Row],[Country]])=1,0, _xlfn.STDEV.S(IF(Table1[Country]=Table1[[#This Row],[Country]],Table1[FinalElo])))</f>
        <v>133.41794796376408</v>
      </c>
      <c r="AB1137">
        <f>IF(Table1[[#This Row],[CStd]]=0,0, (Table1[[#This Row],[FinalElo]]-Table1[[#This Row],[CAvg]]) / Table1[[#This Row],[CStd]])</f>
        <v>-0.39628033482623271</v>
      </c>
      <c r="AC1137" t="str">
        <f>IF(Table1[[#This Row],[CStd]]=0,"Normal", IF(ABS(Table1[[#This Row],[CZscore]])&gt;2,"Outlier","Normal"))</f>
        <v>Normal</v>
      </c>
    </row>
    <row r="1138" spans="1:29" x14ac:dyDescent="0.35">
      <c r="A1138" t="s">
        <v>868</v>
      </c>
      <c r="B1138">
        <v>65.8</v>
      </c>
      <c r="C1138">
        <v>175</v>
      </c>
      <c r="D1138" t="s">
        <v>116</v>
      </c>
      <c r="E1138">
        <v>31</v>
      </c>
      <c r="F1138" t="s">
        <v>869</v>
      </c>
      <c r="G1138" t="s">
        <v>28</v>
      </c>
      <c r="H1138" t="s">
        <v>29</v>
      </c>
      <c r="I1138" t="s">
        <v>48</v>
      </c>
      <c r="J1138">
        <v>4</v>
      </c>
      <c r="K1138">
        <v>1</v>
      </c>
      <c r="L1138">
        <v>0</v>
      </c>
      <c r="M1138">
        <v>0</v>
      </c>
      <c r="N1138">
        <v>0</v>
      </c>
      <c r="O1138">
        <v>0</v>
      </c>
      <c r="P1138">
        <v>2</v>
      </c>
      <c r="Q1138">
        <v>1</v>
      </c>
      <c r="R1138">
        <v>0</v>
      </c>
      <c r="S1138">
        <v>0</v>
      </c>
      <c r="T1138">
        <v>0</v>
      </c>
      <c r="U1138">
        <v>1</v>
      </c>
      <c r="V1138">
        <v>0</v>
      </c>
      <c r="W1138">
        <v>5</v>
      </c>
      <c r="X1138">
        <v>1226.17</v>
      </c>
      <c r="Y1138">
        <v>1226.17</v>
      </c>
      <c r="Z1138">
        <f>AVERAGEIFS(Table1[FinalElo], Table1[Country], Table1[[#This Row],[Country]])</f>
        <v>980.88090909090931</v>
      </c>
      <c r="AA1138" cm="1">
        <f t="array" ref="AA1138">IF(COUNTIFS(Table1[Country],Table1[[#This Row],[Country]])=1,0, _xlfn.STDEV.S(IF(Table1[Country]=Table1[[#This Row],[Country]],Table1[FinalElo])))</f>
        <v>133.41794796376408</v>
      </c>
      <c r="AB1138">
        <f>IF(Table1[[#This Row],[CStd]]=0,0, (Table1[[#This Row],[FinalElo]]-Table1[[#This Row],[CAvg]]) / Table1[[#This Row],[CStd]])</f>
        <v>1.8385014509120658</v>
      </c>
      <c r="AC1138" t="str">
        <f>IF(Table1[[#This Row],[CStd]]=0,"Normal", IF(ABS(Table1[[#This Row],[CZscore]])&gt;2,"Outlier","Normal"))</f>
        <v>Normal</v>
      </c>
    </row>
    <row r="1139" spans="1:29" x14ac:dyDescent="0.35">
      <c r="A1139" t="s">
        <v>867</v>
      </c>
      <c r="B1139">
        <v>70.3</v>
      </c>
      <c r="C1139">
        <v>175</v>
      </c>
      <c r="D1139" t="s">
        <v>116</v>
      </c>
      <c r="E1139">
        <v>27</v>
      </c>
      <c r="F1139" t="s">
        <v>117</v>
      </c>
      <c r="G1139" t="s">
        <v>40</v>
      </c>
      <c r="H1139" t="s">
        <v>29</v>
      </c>
      <c r="I1139" t="s">
        <v>48</v>
      </c>
      <c r="J1139">
        <v>2</v>
      </c>
      <c r="K1139">
        <v>0</v>
      </c>
      <c r="L1139">
        <v>0</v>
      </c>
      <c r="M1139">
        <v>1</v>
      </c>
      <c r="N1139">
        <v>1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2</v>
      </c>
      <c r="X1139">
        <v>1178.06</v>
      </c>
      <c r="Y1139">
        <v>1178.06</v>
      </c>
      <c r="Z1139">
        <f>AVERAGEIFS(Table1[FinalElo], Table1[Country], Table1[[#This Row],[Country]])</f>
        <v>980.88090909090931</v>
      </c>
      <c r="AA1139" cm="1">
        <f t="array" ref="AA1139">IF(COUNTIFS(Table1[Country],Table1[[#This Row],[Country]])=1,0, _xlfn.STDEV.S(IF(Table1[Country]=Table1[[#This Row],[Country]],Table1[FinalElo])))</f>
        <v>133.41794796376408</v>
      </c>
      <c r="AB1139">
        <f>IF(Table1[[#This Row],[CStd]]=0,0, (Table1[[#This Row],[FinalElo]]-Table1[[#This Row],[CAvg]]) / Table1[[#This Row],[CStd]])</f>
        <v>1.477905288744539</v>
      </c>
      <c r="AC1139" t="str">
        <f>IF(Table1[[#This Row],[CStd]]=0,"Normal", IF(ABS(Table1[[#This Row],[CZscore]])&gt;2,"Outlier","Normal"))</f>
        <v>Normal</v>
      </c>
    </row>
    <row r="1140" spans="1:29" x14ac:dyDescent="0.35">
      <c r="A1140" t="s">
        <v>865</v>
      </c>
      <c r="B1140">
        <v>56.7</v>
      </c>
      <c r="C1140">
        <v>168</v>
      </c>
      <c r="D1140" t="s">
        <v>60</v>
      </c>
      <c r="E1140">
        <v>30</v>
      </c>
      <c r="F1140" t="s">
        <v>866</v>
      </c>
      <c r="G1140" t="s">
        <v>40</v>
      </c>
      <c r="H1140" t="s">
        <v>29</v>
      </c>
      <c r="I1140" t="s">
        <v>58</v>
      </c>
      <c r="J1140">
        <v>3</v>
      </c>
      <c r="K1140">
        <v>2</v>
      </c>
      <c r="L1140">
        <v>0</v>
      </c>
      <c r="M1140">
        <v>1</v>
      </c>
      <c r="N1140">
        <v>0</v>
      </c>
      <c r="O1140">
        <v>0</v>
      </c>
      <c r="P1140">
        <v>1</v>
      </c>
      <c r="Q1140">
        <v>0</v>
      </c>
      <c r="R1140">
        <v>1</v>
      </c>
      <c r="S1140">
        <v>0</v>
      </c>
      <c r="T1140">
        <v>0</v>
      </c>
      <c r="U1140">
        <v>1</v>
      </c>
      <c r="V1140">
        <v>0</v>
      </c>
      <c r="W1140">
        <v>5</v>
      </c>
      <c r="X1140">
        <v>985.77</v>
      </c>
      <c r="Y1140">
        <v>1171.99</v>
      </c>
      <c r="Z1140">
        <f>AVERAGEIFS(Table1[FinalElo], Table1[Country], Table1[[#This Row],[Country]])</f>
        <v>1034.681315789474</v>
      </c>
      <c r="AA1140" cm="1">
        <f t="array" ref="AA1140">IF(COUNTIFS(Table1[Country],Table1[[#This Row],[Country]])=1,0, _xlfn.STDEV.S(IF(Table1[Country]=Table1[[#This Row],[Country]],Table1[FinalElo])))</f>
        <v>152.902810204692</v>
      </c>
      <c r="AB1140">
        <f>IF(Table1[[#This Row],[CStd]]=0,0, (Table1[[#This Row],[FinalElo]]-Table1[[#This Row],[CAvg]]) / Table1[[#This Row],[CStd]])</f>
        <v>-0.31988500227037081</v>
      </c>
      <c r="AC1140" t="str">
        <f>IF(Table1[[#This Row],[CStd]]=0,"Normal", IF(ABS(Table1[[#This Row],[CZscore]])&gt;2,"Outlier","Normal"))</f>
        <v>Normal</v>
      </c>
    </row>
    <row r="1141" spans="1:29" x14ac:dyDescent="0.35">
      <c r="A1141" t="s">
        <v>863</v>
      </c>
      <c r="B1141">
        <v>56.7</v>
      </c>
      <c r="C1141">
        <v>170</v>
      </c>
      <c r="D1141" t="s">
        <v>864</v>
      </c>
      <c r="E1141">
        <v>20</v>
      </c>
      <c r="F1141" t="s">
        <v>72</v>
      </c>
      <c r="G1141" t="s">
        <v>34</v>
      </c>
      <c r="H1141" t="s">
        <v>29</v>
      </c>
      <c r="I1141" t="s">
        <v>58</v>
      </c>
      <c r="J1141">
        <v>3</v>
      </c>
      <c r="K1141">
        <v>1</v>
      </c>
      <c r="L1141">
        <v>0</v>
      </c>
      <c r="M1141">
        <v>1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1</v>
      </c>
      <c r="V1141">
        <v>0</v>
      </c>
      <c r="W1141">
        <v>4</v>
      </c>
      <c r="X1141">
        <v>1067.9100000000001</v>
      </c>
      <c r="Y1141">
        <v>1224.8900000000001</v>
      </c>
      <c r="Z1141">
        <f>AVERAGEIFS(Table1[FinalElo], Table1[Country], Table1[[#This Row],[Country]])</f>
        <v>1078.2024999999999</v>
      </c>
      <c r="AA1141" cm="1">
        <f t="array" ref="AA1141">IF(COUNTIFS(Table1[Country],Table1[[#This Row],[Country]])=1,0, _xlfn.STDEV.S(IF(Table1[Country]=Table1[[#This Row],[Country]],Table1[FinalElo])))</f>
        <v>159.22226673741403</v>
      </c>
      <c r="AB1141">
        <f>IF(Table1[[#This Row],[CStd]]=0,0, (Table1[[#This Row],[FinalElo]]-Table1[[#This Row],[CAvg]]) / Table1[[#This Row],[CStd]])</f>
        <v>-6.4642340615423857E-2</v>
      </c>
      <c r="AC1141" t="str">
        <f>IF(Table1[[#This Row],[CStd]]=0,"Normal", IF(ABS(Table1[[#This Row],[CZscore]])&gt;2,"Outlier","Normal"))</f>
        <v>Normal</v>
      </c>
    </row>
    <row r="1142" spans="1:29" x14ac:dyDescent="0.35">
      <c r="A1142" t="s">
        <v>862</v>
      </c>
      <c r="B1142">
        <v>80.099999999999994</v>
      </c>
      <c r="C1142">
        <v>186</v>
      </c>
      <c r="D1142" t="s">
        <v>32</v>
      </c>
      <c r="E1142">
        <v>24</v>
      </c>
      <c r="F1142" t="s">
        <v>148</v>
      </c>
      <c r="G1142" t="s">
        <v>54</v>
      </c>
      <c r="H1142" t="s">
        <v>29</v>
      </c>
      <c r="I1142" t="s">
        <v>50</v>
      </c>
      <c r="J1142">
        <v>0</v>
      </c>
      <c r="K1142">
        <v>1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1</v>
      </c>
      <c r="T1142">
        <v>0</v>
      </c>
      <c r="U1142">
        <v>0</v>
      </c>
      <c r="V1142">
        <v>0</v>
      </c>
      <c r="W1142">
        <v>1</v>
      </c>
      <c r="X1142">
        <v>978.94</v>
      </c>
      <c r="Y1142">
        <v>1000</v>
      </c>
      <c r="Z1142">
        <f>AVERAGEIFS(Table1[FinalElo], Table1[Country], Table1[[#This Row],[Country]])</f>
        <v>1025.3786885245902</v>
      </c>
      <c r="AA1142" cm="1">
        <f t="array" ref="AA1142">IF(COUNTIFS(Table1[Country],Table1[[#This Row],[Country]])=1,0, _xlfn.STDEV.S(IF(Table1[Country]=Table1[[#This Row],[Country]],Table1[FinalElo])))</f>
        <v>144.71595558743479</v>
      </c>
      <c r="AB1142">
        <f>IF(Table1[[#This Row],[CStd]]=0,0, (Table1[[#This Row],[FinalElo]]-Table1[[#This Row],[CAvg]]) / Table1[[#This Row],[CStd]])</f>
        <v>-0.32089542812390653</v>
      </c>
      <c r="AC1142" t="str">
        <f>IF(Table1[[#This Row],[CStd]]=0,"Normal", IF(ABS(Table1[[#This Row],[CZscore]])&gt;2,"Outlier","Normal"))</f>
        <v>Normal</v>
      </c>
    </row>
    <row r="1143" spans="1:29" x14ac:dyDescent="0.35">
      <c r="A1143" t="s">
        <v>859</v>
      </c>
      <c r="B1143">
        <v>50.7</v>
      </c>
      <c r="C1143">
        <v>171</v>
      </c>
      <c r="D1143" t="s">
        <v>860</v>
      </c>
      <c r="E1143">
        <v>25</v>
      </c>
      <c r="F1143" t="s">
        <v>861</v>
      </c>
      <c r="G1143" t="s">
        <v>34</v>
      </c>
      <c r="H1143" t="s">
        <v>29</v>
      </c>
      <c r="I1143" t="s">
        <v>55</v>
      </c>
      <c r="J1143">
        <v>4</v>
      </c>
      <c r="K1143">
        <v>3</v>
      </c>
      <c r="L1143">
        <v>0</v>
      </c>
      <c r="M1143">
        <v>1</v>
      </c>
      <c r="N1143">
        <v>0</v>
      </c>
      <c r="O1143">
        <v>0</v>
      </c>
      <c r="P1143">
        <v>1</v>
      </c>
      <c r="Q1143">
        <v>2</v>
      </c>
      <c r="R1143">
        <v>0</v>
      </c>
      <c r="S1143">
        <v>0</v>
      </c>
      <c r="T1143">
        <v>0</v>
      </c>
      <c r="U1143">
        <v>2</v>
      </c>
      <c r="V1143">
        <v>0</v>
      </c>
      <c r="W1143">
        <v>7</v>
      </c>
      <c r="X1143">
        <v>1185.27</v>
      </c>
      <c r="Y1143">
        <v>1185.27</v>
      </c>
      <c r="Z1143">
        <f>AVERAGEIFS(Table1[FinalElo], Table1[Country], Table1[[#This Row],[Country]])</f>
        <v>1185.27</v>
      </c>
      <c r="AA1143" cm="1">
        <f t="array" ref="AA1143">IF(COUNTIFS(Table1[Country],Table1[[#This Row],[Country]])=1,0, _xlfn.STDEV.S(IF(Table1[Country]=Table1[[#This Row],[Country]],Table1[FinalElo])))</f>
        <v>0</v>
      </c>
      <c r="AB1143">
        <f>IF(Table1[[#This Row],[CStd]]=0,0, (Table1[[#This Row],[FinalElo]]-Table1[[#This Row],[CAvg]]) / Table1[[#This Row],[CStd]])</f>
        <v>0</v>
      </c>
      <c r="AC1143" t="str">
        <f>IF(Table1[[#This Row],[CStd]]=0,"Normal", IF(ABS(Table1[[#This Row],[CZscore]])&gt;2,"Outlier","Normal"))</f>
        <v>Normal</v>
      </c>
    </row>
    <row r="1144" spans="1:29" x14ac:dyDescent="0.35">
      <c r="A1144" t="s">
        <v>858</v>
      </c>
      <c r="B1144">
        <v>59.874144000000001</v>
      </c>
      <c r="C1144">
        <v>168</v>
      </c>
      <c r="D1144" t="s">
        <v>89</v>
      </c>
      <c r="E1144">
        <v>20</v>
      </c>
      <c r="F1144" t="s">
        <v>99</v>
      </c>
      <c r="G1144" t="s">
        <v>34</v>
      </c>
      <c r="H1144" t="s">
        <v>29</v>
      </c>
      <c r="I1144" t="s">
        <v>58</v>
      </c>
      <c r="J1144">
        <v>1</v>
      </c>
      <c r="K1144">
        <v>1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2</v>
      </c>
      <c r="X1144">
        <v>1020.99</v>
      </c>
      <c r="Y1144">
        <v>1100</v>
      </c>
      <c r="Z1144">
        <f>AVERAGEIFS(Table1[FinalElo], Table1[Country], Table1[[#This Row],[Country]])</f>
        <v>1012.0629025423733</v>
      </c>
      <c r="AA1144" cm="1">
        <f t="array" ref="AA1144">IF(COUNTIFS(Table1[Country],Table1[[#This Row],[Country]])=1,0, _xlfn.STDEV.S(IF(Table1[Country]=Table1[[#This Row],[Country]],Table1[FinalElo])))</f>
        <v>148.42180446198614</v>
      </c>
      <c r="AB1144">
        <f>IF(Table1[[#This Row],[CStd]]=0,0, (Table1[[#This Row],[FinalElo]]-Table1[[#This Row],[CAvg]]) / Table1[[#This Row],[CStd]])</f>
        <v>6.0146805855019185E-2</v>
      </c>
      <c r="AC1144" t="str">
        <f>IF(Table1[[#This Row],[CStd]]=0,"Normal", IF(ABS(Table1[[#This Row],[CZscore]])&gt;2,"Outlier","Normal"))</f>
        <v>Normal</v>
      </c>
    </row>
    <row r="1145" spans="1:29" x14ac:dyDescent="0.35">
      <c r="A1145" t="s">
        <v>856</v>
      </c>
      <c r="B1145">
        <v>47.63</v>
      </c>
      <c r="C1145">
        <v>170</v>
      </c>
      <c r="D1145" t="s">
        <v>89</v>
      </c>
      <c r="E1145">
        <v>18</v>
      </c>
      <c r="F1145" t="s">
        <v>857</v>
      </c>
      <c r="G1145" t="s">
        <v>34</v>
      </c>
      <c r="H1145" t="s">
        <v>29</v>
      </c>
      <c r="I1145" t="s">
        <v>55</v>
      </c>
      <c r="J1145">
        <v>0</v>
      </c>
      <c r="K1145">
        <v>1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1</v>
      </c>
      <c r="X1145">
        <v>900</v>
      </c>
      <c r="Y1145">
        <v>1000</v>
      </c>
      <c r="Z1145">
        <f>AVERAGEIFS(Table1[FinalElo], Table1[Country], Table1[[#This Row],[Country]])</f>
        <v>1012.0629025423733</v>
      </c>
      <c r="AA1145" cm="1">
        <f t="array" ref="AA1145">IF(COUNTIFS(Table1[Country],Table1[[#This Row],[Country]])=1,0, _xlfn.STDEV.S(IF(Table1[Country]=Table1[[#This Row],[Country]],Table1[FinalElo])))</f>
        <v>148.42180446198614</v>
      </c>
      <c r="AB1145">
        <f>IF(Table1[[#This Row],[CStd]]=0,0, (Table1[[#This Row],[FinalElo]]-Table1[[#This Row],[CAvg]]) / Table1[[#This Row],[CStd]])</f>
        <v>-0.75502991591154589</v>
      </c>
      <c r="AC1145" t="str">
        <f>IF(Table1[[#This Row],[CStd]]=0,"Normal", IF(ABS(Table1[[#This Row],[CZscore]])&gt;2,"Outlier","Normal"))</f>
        <v>Normal</v>
      </c>
    </row>
    <row r="1146" spans="1:29" x14ac:dyDescent="0.35">
      <c r="A1146" t="s">
        <v>855</v>
      </c>
      <c r="B1146">
        <v>66.678023999999994</v>
      </c>
      <c r="C1146">
        <v>175</v>
      </c>
      <c r="D1146" t="s">
        <v>247</v>
      </c>
      <c r="E1146">
        <v>29</v>
      </c>
      <c r="F1146" t="s">
        <v>408</v>
      </c>
      <c r="G1146" t="s">
        <v>34</v>
      </c>
      <c r="H1146" t="s">
        <v>29</v>
      </c>
      <c r="I1146" t="s">
        <v>48</v>
      </c>
      <c r="J1146">
        <v>3</v>
      </c>
      <c r="K1146">
        <v>4</v>
      </c>
      <c r="L1146">
        <v>0</v>
      </c>
      <c r="M1146">
        <v>0</v>
      </c>
      <c r="N1146">
        <v>0</v>
      </c>
      <c r="O1146">
        <v>0</v>
      </c>
      <c r="P1146">
        <v>2</v>
      </c>
      <c r="Q1146">
        <v>0</v>
      </c>
      <c r="R1146">
        <v>0</v>
      </c>
      <c r="S1146">
        <v>0</v>
      </c>
      <c r="T1146">
        <v>0</v>
      </c>
      <c r="U1146">
        <v>1</v>
      </c>
      <c r="V1146">
        <v>1</v>
      </c>
      <c r="W1146">
        <v>7</v>
      </c>
      <c r="X1146">
        <v>976.94</v>
      </c>
      <c r="Y1146">
        <v>1127.97</v>
      </c>
      <c r="Z1146">
        <f>AVERAGEIFS(Table1[FinalElo], Table1[Country], Table1[[#This Row],[Country]])</f>
        <v>1050.0176190476191</v>
      </c>
      <c r="AA1146" cm="1">
        <f t="array" ref="AA1146">IF(COUNTIFS(Table1[Country],Table1[[#This Row],[Country]])=1,0, _xlfn.STDEV.S(IF(Table1[Country]=Table1[[#This Row],[Country]],Table1[FinalElo])))</f>
        <v>127.00578096703971</v>
      </c>
      <c r="AB1146">
        <f>IF(Table1[[#This Row],[CStd]]=0,0, (Table1[[#This Row],[FinalElo]]-Table1[[#This Row],[CAvg]]) / Table1[[#This Row],[CStd]])</f>
        <v>-0.57538813187239068</v>
      </c>
      <c r="AC1146" t="str">
        <f>IF(Table1[[#This Row],[CStd]]=0,"Normal", IF(ABS(Table1[[#This Row],[CZscore]])&gt;2,"Outlier","Normal"))</f>
        <v>Normal</v>
      </c>
    </row>
    <row r="1147" spans="1:29" x14ac:dyDescent="0.35">
      <c r="A1147" t="s">
        <v>854</v>
      </c>
      <c r="B1147">
        <v>65.599999999999994</v>
      </c>
      <c r="C1147">
        <v>174</v>
      </c>
      <c r="D1147" t="s">
        <v>89</v>
      </c>
      <c r="E1147">
        <v>28</v>
      </c>
      <c r="F1147">
        <v>0</v>
      </c>
      <c r="G1147" t="s">
        <v>34</v>
      </c>
      <c r="H1147" t="s">
        <v>29</v>
      </c>
      <c r="I1147" t="s">
        <v>73</v>
      </c>
      <c r="J1147">
        <v>5</v>
      </c>
      <c r="K1147">
        <v>3</v>
      </c>
      <c r="L1147">
        <v>1</v>
      </c>
      <c r="M1147">
        <v>0</v>
      </c>
      <c r="N1147">
        <v>0</v>
      </c>
      <c r="O1147">
        <v>0</v>
      </c>
      <c r="P1147">
        <v>5</v>
      </c>
      <c r="Q1147">
        <v>0</v>
      </c>
      <c r="R1147">
        <v>0</v>
      </c>
      <c r="S1147">
        <v>0</v>
      </c>
      <c r="T1147">
        <v>0</v>
      </c>
      <c r="U1147">
        <v>2</v>
      </c>
      <c r="V1147">
        <v>0</v>
      </c>
      <c r="W1147">
        <v>9</v>
      </c>
      <c r="X1147">
        <v>1169.3900000000001</v>
      </c>
      <c r="Y1147">
        <v>1345.29</v>
      </c>
      <c r="Z1147">
        <f>AVERAGEIFS(Table1[FinalElo], Table1[Country], Table1[[#This Row],[Country]])</f>
        <v>1012.0629025423733</v>
      </c>
      <c r="AA1147" cm="1">
        <f t="array" ref="AA1147">IF(COUNTIFS(Table1[Country],Table1[[#This Row],[Country]])=1,0, _xlfn.STDEV.S(IF(Table1[Country]=Table1[[#This Row],[Country]],Table1[FinalElo])))</f>
        <v>148.42180446198614</v>
      </c>
      <c r="AB1147">
        <f>IF(Table1[[#This Row],[CStd]]=0,0, (Table1[[#This Row],[FinalElo]]-Table1[[#This Row],[CAvg]]) / Table1[[#This Row],[CStd]])</f>
        <v>1.0599998971035383</v>
      </c>
      <c r="AC1147" t="str">
        <f>IF(Table1[[#This Row],[CStd]]=0,"Normal", IF(ABS(Table1[[#This Row],[CZscore]])&gt;2,"Outlier","Normal"))</f>
        <v>Normal</v>
      </c>
    </row>
    <row r="1148" spans="1:29" x14ac:dyDescent="0.35">
      <c r="A1148" t="s">
        <v>853</v>
      </c>
      <c r="B1148">
        <v>73.900000000000006</v>
      </c>
      <c r="C1148">
        <v>182</v>
      </c>
      <c r="D1148" t="s">
        <v>218</v>
      </c>
      <c r="E1148">
        <v>26</v>
      </c>
      <c r="F1148" t="s">
        <v>304</v>
      </c>
      <c r="G1148" t="s">
        <v>34</v>
      </c>
      <c r="H1148" t="s">
        <v>29</v>
      </c>
      <c r="I1148" t="s">
        <v>30</v>
      </c>
      <c r="J1148">
        <v>0</v>
      </c>
      <c r="K1148">
        <v>1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1</v>
      </c>
      <c r="V1148">
        <v>0</v>
      </c>
      <c r="W1148">
        <v>1</v>
      </c>
      <c r="X1148">
        <v>900</v>
      </c>
      <c r="Y1148">
        <v>1000</v>
      </c>
      <c r="Z1148">
        <f>AVERAGEIFS(Table1[FinalElo], Table1[Country], Table1[[#This Row],[Country]])</f>
        <v>953.02272727272725</v>
      </c>
      <c r="AA1148" cm="1">
        <f t="array" ref="AA1148">IF(COUNTIFS(Table1[Country],Table1[[#This Row],[Country]])=1,0, _xlfn.STDEV.S(IF(Table1[Country]=Table1[[#This Row],[Country]],Table1[FinalElo])))</f>
        <v>75.051454894746612</v>
      </c>
      <c r="AB1148">
        <f>IF(Table1[[#This Row],[CStd]]=0,0, (Table1[[#This Row],[FinalElo]]-Table1[[#This Row],[CAvg]]) / Table1[[#This Row],[CStd]])</f>
        <v>-0.70648500215068699</v>
      </c>
      <c r="AC1148" t="str">
        <f>IF(Table1[[#This Row],[CStd]]=0,"Normal", IF(ABS(Table1[[#This Row],[CZscore]])&gt;2,"Outlier","Normal"))</f>
        <v>Normal</v>
      </c>
    </row>
    <row r="1149" spans="1:29" x14ac:dyDescent="0.35">
      <c r="A1149" t="s">
        <v>850</v>
      </c>
      <c r="B1149">
        <v>77.099999999999994</v>
      </c>
      <c r="C1149">
        <v>175</v>
      </c>
      <c r="D1149" t="s">
        <v>116</v>
      </c>
      <c r="E1149">
        <v>30</v>
      </c>
      <c r="F1149" t="s">
        <v>851</v>
      </c>
      <c r="G1149" t="s">
        <v>852</v>
      </c>
      <c r="H1149" t="s">
        <v>29</v>
      </c>
      <c r="I1149" t="s">
        <v>30</v>
      </c>
      <c r="J1149">
        <v>1</v>
      </c>
      <c r="K1149">
        <v>0</v>
      </c>
      <c r="L1149">
        <v>0</v>
      </c>
      <c r="M1149">
        <v>1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1</v>
      </c>
      <c r="X1149">
        <v>1100</v>
      </c>
      <c r="Y1149">
        <v>1100</v>
      </c>
      <c r="Z1149">
        <f>AVERAGEIFS(Table1[FinalElo], Table1[Country], Table1[[#This Row],[Country]])</f>
        <v>980.88090909090931</v>
      </c>
      <c r="AA1149" cm="1">
        <f t="array" ref="AA1149">IF(COUNTIFS(Table1[Country],Table1[[#This Row],[Country]])=1,0, _xlfn.STDEV.S(IF(Table1[Country]=Table1[[#This Row],[Country]],Table1[FinalElo])))</f>
        <v>133.41794796376408</v>
      </c>
      <c r="AB1149">
        <f>IF(Table1[[#This Row],[CStd]]=0,0, (Table1[[#This Row],[FinalElo]]-Table1[[#This Row],[CAvg]]) / Table1[[#This Row],[CStd]])</f>
        <v>0.89282658538147419</v>
      </c>
      <c r="AC1149" t="str">
        <f>IF(Table1[[#This Row],[CStd]]=0,"Normal", IF(ABS(Table1[[#This Row],[CZscore]])&gt;2,"Outlier","Normal"))</f>
        <v>Normal</v>
      </c>
    </row>
    <row r="1150" spans="1:29" hidden="1" x14ac:dyDescent="0.35">
      <c r="A1150" t="s">
        <v>2055</v>
      </c>
      <c r="B1150">
        <v>61.2</v>
      </c>
      <c r="C1150">
        <v>175</v>
      </c>
      <c r="D1150" t="s">
        <v>368</v>
      </c>
      <c r="E1150">
        <v>28</v>
      </c>
      <c r="F1150" t="s">
        <v>2056</v>
      </c>
      <c r="G1150" t="s">
        <v>40</v>
      </c>
      <c r="I1150" t="s">
        <v>58</v>
      </c>
      <c r="J1150">
        <v>1</v>
      </c>
      <c r="K1150">
        <v>0</v>
      </c>
      <c r="L1150">
        <v>0</v>
      </c>
      <c r="M1150">
        <v>0</v>
      </c>
      <c r="N1150">
        <v>1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1</v>
      </c>
      <c r="X1150">
        <v>1100</v>
      </c>
      <c r="Y1150">
        <v>1100</v>
      </c>
      <c r="Z1150">
        <f>AVERAGEIFS(Table1[FinalElo], Table1[Country], Table1[[#This Row],[Country]])</f>
        <v>980.53583333333336</v>
      </c>
      <c r="AA1150" cm="1">
        <f t="array" ref="AA1150">IF(COUNTIFS(Table1[Country],Table1[[#This Row],[Country]])=1,0, _xlfn.STDEV.S(IF(Table1[Country]=Table1[[#This Row],[Country]],Table1[FinalElo])))</f>
        <v>85.643213227725752</v>
      </c>
      <c r="AB1150">
        <f>IF(Table1[[#This Row],[CStd]]=0,0, (Table1[[#This Row],[FinalElo]]-Table1[[#This Row],[CAvg]]) / Table1[[#This Row],[CStd]])</f>
        <v>1.3949052372545947</v>
      </c>
      <c r="AC1150" t="str">
        <f>IF(Table1[[#This Row],[CStd]]=0,"Normal", IF(ABS(Table1[[#This Row],[CZscore]])&gt;2,"Outlier","Normal"))</f>
        <v>Normal</v>
      </c>
    </row>
    <row r="1151" spans="1:29" x14ac:dyDescent="0.35">
      <c r="A1151" t="s">
        <v>849</v>
      </c>
      <c r="B1151">
        <v>56.7</v>
      </c>
      <c r="C1151">
        <v>169</v>
      </c>
      <c r="D1151" t="s">
        <v>32</v>
      </c>
      <c r="E1151">
        <v>33</v>
      </c>
      <c r="F1151" t="s">
        <v>87</v>
      </c>
      <c r="G1151" t="s">
        <v>40</v>
      </c>
      <c r="H1151" t="s">
        <v>29</v>
      </c>
      <c r="I1151" t="s">
        <v>58</v>
      </c>
      <c r="J1151">
        <v>0</v>
      </c>
      <c r="K1151">
        <v>1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1</v>
      </c>
      <c r="T1151">
        <v>0</v>
      </c>
      <c r="U1151">
        <v>0</v>
      </c>
      <c r="V1151">
        <v>0</v>
      </c>
      <c r="W1151">
        <v>1</v>
      </c>
      <c r="X1151">
        <v>900</v>
      </c>
      <c r="Y1151">
        <v>1000</v>
      </c>
      <c r="Z1151">
        <f>AVERAGEIFS(Table1[FinalElo], Table1[Country], Table1[[#This Row],[Country]])</f>
        <v>1025.3786885245902</v>
      </c>
      <c r="AA1151" cm="1">
        <f t="array" ref="AA1151">IF(COUNTIFS(Table1[Country],Table1[[#This Row],[Country]])=1,0, _xlfn.STDEV.S(IF(Table1[Country]=Table1[[#This Row],[Country]],Table1[FinalElo])))</f>
        <v>144.71595558743479</v>
      </c>
      <c r="AB1151">
        <f>IF(Table1[[#This Row],[CStd]]=0,0, (Table1[[#This Row],[FinalElo]]-Table1[[#This Row],[CAvg]]) / Table1[[#This Row],[CStd]])</f>
        <v>-0.86637778132791055</v>
      </c>
      <c r="AC1151" t="str">
        <f>IF(Table1[[#This Row],[CStd]]=0,"Normal", IF(ABS(Table1[[#This Row],[CZscore]])&gt;2,"Outlier","Normal"))</f>
        <v>Normal</v>
      </c>
    </row>
    <row r="1152" spans="1:29" x14ac:dyDescent="0.35">
      <c r="A1152" t="s">
        <v>846</v>
      </c>
      <c r="B1152">
        <v>65</v>
      </c>
      <c r="C1152">
        <v>170</v>
      </c>
      <c r="D1152" t="s">
        <v>847</v>
      </c>
      <c r="E1152">
        <v>29</v>
      </c>
      <c r="F1152" t="s">
        <v>848</v>
      </c>
      <c r="G1152" t="s">
        <v>40</v>
      </c>
      <c r="H1152" t="s">
        <v>29</v>
      </c>
      <c r="I1152" t="s">
        <v>73</v>
      </c>
      <c r="J1152">
        <v>0</v>
      </c>
      <c r="K1152">
        <v>1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1</v>
      </c>
      <c r="V1152">
        <v>0</v>
      </c>
      <c r="W1152">
        <v>1</v>
      </c>
      <c r="X1152">
        <v>928.01</v>
      </c>
      <c r="Y1152">
        <v>1000</v>
      </c>
      <c r="Z1152">
        <f>AVERAGEIFS(Table1[FinalElo], Table1[Country], Table1[[#This Row],[Country]])</f>
        <v>928.01</v>
      </c>
      <c r="AA1152" cm="1">
        <f t="array" ref="AA1152">IF(COUNTIFS(Table1[Country],Table1[[#This Row],[Country]])=1,0, _xlfn.STDEV.S(IF(Table1[Country]=Table1[[#This Row],[Country]],Table1[FinalElo])))</f>
        <v>0</v>
      </c>
      <c r="AB1152">
        <f>IF(Table1[[#This Row],[CStd]]=0,0, (Table1[[#This Row],[FinalElo]]-Table1[[#This Row],[CAvg]]) / Table1[[#This Row],[CStd]])</f>
        <v>0</v>
      </c>
      <c r="AC1152" t="str">
        <f>IF(Table1[[#This Row],[CStd]]=0,"Normal", IF(ABS(Table1[[#This Row],[CZscore]])&gt;2,"Outlier","Normal"))</f>
        <v>Normal</v>
      </c>
    </row>
    <row r="1153" spans="1:29" x14ac:dyDescent="0.35">
      <c r="A1153" t="s">
        <v>844</v>
      </c>
      <c r="B1153">
        <v>65.2</v>
      </c>
      <c r="C1153">
        <v>175</v>
      </c>
      <c r="D1153" t="s">
        <v>32</v>
      </c>
      <c r="E1153">
        <v>32</v>
      </c>
      <c r="F1153" t="s">
        <v>845</v>
      </c>
      <c r="G1153" t="s">
        <v>34</v>
      </c>
      <c r="H1153" t="s">
        <v>29</v>
      </c>
      <c r="I1153" t="s">
        <v>73</v>
      </c>
      <c r="J1153">
        <v>4</v>
      </c>
      <c r="K1153">
        <v>3</v>
      </c>
      <c r="L1153">
        <v>0</v>
      </c>
      <c r="M1153">
        <v>1</v>
      </c>
      <c r="N1153">
        <v>0</v>
      </c>
      <c r="O1153">
        <v>0</v>
      </c>
      <c r="P1153">
        <v>1</v>
      </c>
      <c r="Q1153">
        <v>1</v>
      </c>
      <c r="R1153">
        <v>1</v>
      </c>
      <c r="S1153">
        <v>0</v>
      </c>
      <c r="T1153">
        <v>0</v>
      </c>
      <c r="U1153">
        <v>1</v>
      </c>
      <c r="V1153">
        <v>0</v>
      </c>
      <c r="W1153">
        <v>7</v>
      </c>
      <c r="X1153">
        <v>1262.3499999999999</v>
      </c>
      <c r="Y1153">
        <v>1277.8900000000001</v>
      </c>
      <c r="Z1153">
        <f>AVERAGEIFS(Table1[FinalElo], Table1[Country], Table1[[#This Row],[Country]])</f>
        <v>1025.3786885245902</v>
      </c>
      <c r="AA1153" cm="1">
        <f t="array" ref="AA1153">IF(COUNTIFS(Table1[Country],Table1[[#This Row],[Country]])=1,0, _xlfn.STDEV.S(IF(Table1[Country]=Table1[[#This Row],[Country]],Table1[FinalElo])))</f>
        <v>144.71595558743479</v>
      </c>
      <c r="AB1153">
        <f>IF(Table1[[#This Row],[CStd]]=0,0, (Table1[[#This Row],[FinalElo]]-Table1[[#This Row],[CAvg]]) / Table1[[#This Row],[CStd]])</f>
        <v>1.6374926352349302</v>
      </c>
      <c r="AC1153" t="str">
        <f>IF(Table1[[#This Row],[CStd]]=0,"Normal", IF(ABS(Table1[[#This Row],[CZscore]])&gt;2,"Outlier","Normal"))</f>
        <v>Normal</v>
      </c>
    </row>
    <row r="1154" spans="1:29" x14ac:dyDescent="0.35">
      <c r="A1154" t="s">
        <v>842</v>
      </c>
      <c r="B1154">
        <v>56.7</v>
      </c>
      <c r="C1154">
        <v>178</v>
      </c>
      <c r="D1154" t="s">
        <v>202</v>
      </c>
      <c r="E1154">
        <v>30</v>
      </c>
      <c r="F1154" t="s">
        <v>843</v>
      </c>
      <c r="G1154" t="s">
        <v>40</v>
      </c>
      <c r="H1154" t="s">
        <v>29</v>
      </c>
      <c r="I1154" t="s">
        <v>58</v>
      </c>
      <c r="J1154">
        <v>0</v>
      </c>
      <c r="K1154">
        <v>1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1</v>
      </c>
      <c r="W1154">
        <v>1</v>
      </c>
      <c r="X1154">
        <v>900</v>
      </c>
      <c r="Y1154">
        <v>1000</v>
      </c>
      <c r="Z1154">
        <f>AVERAGEIFS(Table1[FinalElo], Table1[Country], Table1[[#This Row],[Country]])</f>
        <v>984.11142857142863</v>
      </c>
      <c r="AA1154" cm="1">
        <f t="array" ref="AA1154">IF(COUNTIFS(Table1[Country],Table1[[#This Row],[Country]])=1,0, _xlfn.STDEV.S(IF(Table1[Country]=Table1[[#This Row],[Country]],Table1[FinalElo])))</f>
        <v>173.54746521039206</v>
      </c>
      <c r="AB1154">
        <f>IF(Table1[[#This Row],[CStd]]=0,0, (Table1[[#This Row],[FinalElo]]-Table1[[#This Row],[CAvg]]) / Table1[[#This Row],[CStd]])</f>
        <v>-0.4846595049340543</v>
      </c>
      <c r="AC1154" t="str">
        <f>IF(Table1[[#This Row],[CStd]]=0,"Normal", IF(ABS(Table1[[#This Row],[CZscore]])&gt;2,"Outlier","Normal"))</f>
        <v>Normal</v>
      </c>
    </row>
    <row r="1155" spans="1:29" x14ac:dyDescent="0.35">
      <c r="A1155" t="s">
        <v>841</v>
      </c>
      <c r="B1155">
        <v>61.2</v>
      </c>
      <c r="C1155">
        <v>172</v>
      </c>
      <c r="D1155" t="s">
        <v>116</v>
      </c>
      <c r="E1155">
        <v>27</v>
      </c>
      <c r="F1155" t="s">
        <v>411</v>
      </c>
      <c r="G1155" t="s">
        <v>40</v>
      </c>
      <c r="H1155" t="s">
        <v>29</v>
      </c>
      <c r="I1155" t="s">
        <v>58</v>
      </c>
      <c r="J1155">
        <v>1</v>
      </c>
      <c r="K1155">
        <v>1</v>
      </c>
      <c r="L1155">
        <v>0</v>
      </c>
      <c r="M1155">
        <v>0</v>
      </c>
      <c r="N1155">
        <v>1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1</v>
      </c>
      <c r="V1155">
        <v>0</v>
      </c>
      <c r="W1155">
        <v>2</v>
      </c>
      <c r="X1155">
        <v>971.99</v>
      </c>
      <c r="Y1155">
        <v>1100</v>
      </c>
      <c r="Z1155">
        <f>AVERAGEIFS(Table1[FinalElo], Table1[Country], Table1[[#This Row],[Country]])</f>
        <v>980.88090909090931</v>
      </c>
      <c r="AA1155" cm="1">
        <f t="array" ref="AA1155">IF(COUNTIFS(Table1[Country],Table1[[#This Row],[Country]])=1,0, _xlfn.STDEV.S(IF(Table1[Country]=Table1[[#This Row],[Country]],Table1[FinalElo])))</f>
        <v>133.41794796376408</v>
      </c>
      <c r="AB1155">
        <f>IF(Table1[[#This Row],[CStd]]=0,0, (Table1[[#This Row],[FinalElo]]-Table1[[#This Row],[CAvg]]) / Table1[[#This Row],[CStd]])</f>
        <v>-6.6639528089009803E-2</v>
      </c>
      <c r="AC1155" t="str">
        <f>IF(Table1[[#This Row],[CStd]]=0,"Normal", IF(ABS(Table1[[#This Row],[CZscore]])&gt;2,"Outlier","Normal"))</f>
        <v>Normal</v>
      </c>
    </row>
    <row r="1156" spans="1:29" x14ac:dyDescent="0.35">
      <c r="A1156" t="s">
        <v>839</v>
      </c>
      <c r="B1156">
        <v>61.2</v>
      </c>
      <c r="C1156">
        <v>171</v>
      </c>
      <c r="D1156" t="s">
        <v>150</v>
      </c>
      <c r="E1156">
        <v>30</v>
      </c>
      <c r="F1156" t="s">
        <v>840</v>
      </c>
      <c r="G1156" t="s">
        <v>40</v>
      </c>
      <c r="H1156" t="s">
        <v>29</v>
      </c>
      <c r="I1156" t="s">
        <v>58</v>
      </c>
      <c r="J1156">
        <v>1</v>
      </c>
      <c r="K1156">
        <v>1</v>
      </c>
      <c r="L1156">
        <v>0</v>
      </c>
      <c r="M1156">
        <v>1</v>
      </c>
      <c r="N1156">
        <v>0</v>
      </c>
      <c r="O1156">
        <v>0</v>
      </c>
      <c r="P1156">
        <v>0</v>
      </c>
      <c r="Q1156">
        <v>0</v>
      </c>
      <c r="R1156">
        <v>1</v>
      </c>
      <c r="S1156">
        <v>0</v>
      </c>
      <c r="T1156">
        <v>0</v>
      </c>
      <c r="U1156">
        <v>0</v>
      </c>
      <c r="V1156">
        <v>0</v>
      </c>
      <c r="W1156">
        <v>2</v>
      </c>
      <c r="X1156">
        <v>967.59</v>
      </c>
      <c r="Y1156">
        <v>1054.5899999999999</v>
      </c>
      <c r="Z1156">
        <f>AVERAGEIFS(Table1[FinalElo], Table1[Country], Table1[[#This Row],[Country]])</f>
        <v>983.37272727272716</v>
      </c>
      <c r="AA1156" cm="1">
        <f t="array" ref="AA1156">IF(COUNTIFS(Table1[Country],Table1[[#This Row],[Country]])=1,0, _xlfn.STDEV.S(IF(Table1[Country]=Table1[[#This Row],[Country]],Table1[FinalElo])))</f>
        <v>121.78204088377996</v>
      </c>
      <c r="AB1156">
        <f>IF(Table1[[#This Row],[CStd]]=0,0, (Table1[[#This Row],[FinalElo]]-Table1[[#This Row],[CAvg]]) / Table1[[#This Row],[CStd]])</f>
        <v>-0.12959815058272042</v>
      </c>
      <c r="AC1156" t="str">
        <f>IF(Table1[[#This Row],[CStd]]=0,"Normal", IF(ABS(Table1[[#This Row],[CZscore]])&gt;2,"Outlier","Normal"))</f>
        <v>Normal</v>
      </c>
    </row>
    <row r="1157" spans="1:29" x14ac:dyDescent="0.35">
      <c r="A1157" t="s">
        <v>837</v>
      </c>
      <c r="B1157">
        <v>61.2</v>
      </c>
      <c r="C1157">
        <v>170</v>
      </c>
      <c r="D1157" t="s">
        <v>193</v>
      </c>
      <c r="E1157">
        <v>38</v>
      </c>
      <c r="F1157" t="s">
        <v>838</v>
      </c>
      <c r="G1157" t="s">
        <v>40</v>
      </c>
      <c r="H1157" t="s">
        <v>29</v>
      </c>
      <c r="I1157" t="s">
        <v>58</v>
      </c>
      <c r="J1157">
        <v>0</v>
      </c>
      <c r="K1157">
        <v>1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1</v>
      </c>
      <c r="S1157">
        <v>0</v>
      </c>
      <c r="T1157">
        <v>0</v>
      </c>
      <c r="U1157">
        <v>0</v>
      </c>
      <c r="V1157">
        <v>0</v>
      </c>
      <c r="W1157">
        <v>1</v>
      </c>
      <c r="X1157">
        <v>900</v>
      </c>
      <c r="Y1157">
        <v>1000</v>
      </c>
      <c r="Z1157">
        <f>AVERAGEIFS(Table1[FinalElo], Table1[Country], Table1[[#This Row],[Country]])</f>
        <v>997.06500000000005</v>
      </c>
      <c r="AA1157" cm="1">
        <f t="array" ref="AA1157">IF(COUNTIFS(Table1[Country],Table1[[#This Row],[Country]])=1,0, _xlfn.STDEV.S(IF(Table1[Country]=Table1[[#This Row],[Country]],Table1[FinalElo])))</f>
        <v>135.83076329441192</v>
      </c>
      <c r="AB1157">
        <f>IF(Table1[[#This Row],[CStd]]=0,0, (Table1[[#This Row],[FinalElo]]-Table1[[#This Row],[CAvg]]) / Table1[[#This Row],[CStd]])</f>
        <v>-0.71460247771421681</v>
      </c>
      <c r="AC1157" t="str">
        <f>IF(Table1[[#This Row],[CStd]]=0,"Normal", IF(ABS(Table1[[#This Row],[CZscore]])&gt;2,"Outlier","Normal"))</f>
        <v>Normal</v>
      </c>
    </row>
    <row r="1158" spans="1:29" x14ac:dyDescent="0.35">
      <c r="A1158" t="s">
        <v>836</v>
      </c>
      <c r="B1158">
        <v>52.16</v>
      </c>
      <c r="C1158">
        <v>163</v>
      </c>
      <c r="D1158" t="s">
        <v>174</v>
      </c>
      <c r="E1158">
        <v>37</v>
      </c>
      <c r="F1158" t="s">
        <v>330</v>
      </c>
      <c r="G1158" t="s">
        <v>40</v>
      </c>
      <c r="H1158" t="s">
        <v>29</v>
      </c>
      <c r="I1158" t="s">
        <v>36</v>
      </c>
      <c r="J1158">
        <v>2</v>
      </c>
      <c r="K1158">
        <v>0</v>
      </c>
      <c r="L1158">
        <v>0</v>
      </c>
      <c r="M1158">
        <v>0</v>
      </c>
      <c r="N1158">
        <v>1</v>
      </c>
      <c r="O1158">
        <v>0</v>
      </c>
      <c r="P1158">
        <v>1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2</v>
      </c>
      <c r="X1158">
        <v>1171.99</v>
      </c>
      <c r="Y1158">
        <v>1171.99</v>
      </c>
      <c r="Z1158">
        <f>AVERAGEIFS(Table1[FinalElo], Table1[Country], Table1[[#This Row],[Country]])</f>
        <v>980.52444444444427</v>
      </c>
      <c r="AA1158" cm="1">
        <f t="array" ref="AA1158">IF(COUNTIFS(Table1[Country],Table1[[#This Row],[Country]])=1,0, _xlfn.STDEV.S(IF(Table1[Country]=Table1[[#This Row],[Country]],Table1[FinalElo])))</f>
        <v>143.66034832022171</v>
      </c>
      <c r="AB1158">
        <f>IF(Table1[[#This Row],[CStd]]=0,0, (Table1[[#This Row],[FinalElo]]-Table1[[#This Row],[CAvg]]) / Table1[[#This Row],[CStd]])</f>
        <v>1.3327654971904654</v>
      </c>
      <c r="AC1158" t="str">
        <f>IF(Table1[[#This Row],[CStd]]=0,"Normal", IF(ABS(Table1[[#This Row],[CZscore]])&gt;2,"Outlier","Normal"))</f>
        <v>Normal</v>
      </c>
    </row>
    <row r="1159" spans="1:29" x14ac:dyDescent="0.35">
      <c r="A1159" t="s">
        <v>834</v>
      </c>
      <c r="B1159">
        <v>51.255896</v>
      </c>
      <c r="C1159">
        <v>167</v>
      </c>
      <c r="D1159" t="s">
        <v>89</v>
      </c>
      <c r="E1159">
        <v>18</v>
      </c>
      <c r="F1159" t="s">
        <v>835</v>
      </c>
      <c r="G1159" t="s">
        <v>34</v>
      </c>
      <c r="H1159" t="s">
        <v>29</v>
      </c>
      <c r="I1159" t="s">
        <v>55</v>
      </c>
      <c r="J1159">
        <v>1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1</v>
      </c>
      <c r="X1159">
        <v>1071.99</v>
      </c>
      <c r="Y1159">
        <v>1071.99</v>
      </c>
      <c r="Z1159">
        <f>AVERAGEIFS(Table1[FinalElo], Table1[Country], Table1[[#This Row],[Country]])</f>
        <v>1012.0629025423733</v>
      </c>
      <c r="AA1159" cm="1">
        <f t="array" ref="AA1159">IF(COUNTIFS(Table1[Country],Table1[[#This Row],[Country]])=1,0, _xlfn.STDEV.S(IF(Table1[Country]=Table1[[#This Row],[Country]],Table1[FinalElo])))</f>
        <v>148.42180446198614</v>
      </c>
      <c r="AB1159">
        <f>IF(Table1[[#This Row],[CStd]]=0,0, (Table1[[#This Row],[FinalElo]]-Table1[[#This Row],[CAvg]]) / Table1[[#This Row],[CStd]])</f>
        <v>0.40376208654015694</v>
      </c>
      <c r="AC1159" t="str">
        <f>IF(Table1[[#This Row],[CStd]]=0,"Normal", IF(ABS(Table1[[#This Row],[CZscore]])&gt;2,"Outlier","Normal"))</f>
        <v>Normal</v>
      </c>
    </row>
    <row r="1160" spans="1:29" x14ac:dyDescent="0.35">
      <c r="A1160" t="s">
        <v>832</v>
      </c>
      <c r="B1160">
        <v>50.802303999999999</v>
      </c>
      <c r="C1160">
        <v>162</v>
      </c>
      <c r="D1160" t="s">
        <v>89</v>
      </c>
      <c r="E1160">
        <v>31</v>
      </c>
      <c r="F1160" t="s">
        <v>833</v>
      </c>
      <c r="G1160" t="s">
        <v>34</v>
      </c>
      <c r="H1160" t="s">
        <v>29</v>
      </c>
      <c r="I1160" t="s">
        <v>55</v>
      </c>
      <c r="J1160">
        <v>0</v>
      </c>
      <c r="K1160">
        <v>1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1</v>
      </c>
      <c r="V1160">
        <v>0</v>
      </c>
      <c r="W1160">
        <v>1</v>
      </c>
      <c r="X1160">
        <v>862.36</v>
      </c>
      <c r="Y1160">
        <v>1000</v>
      </c>
      <c r="Z1160">
        <f>AVERAGEIFS(Table1[FinalElo], Table1[Country], Table1[[#This Row],[Country]])</f>
        <v>1012.0629025423733</v>
      </c>
      <c r="AA1160" cm="1">
        <f t="array" ref="AA1160">IF(COUNTIFS(Table1[Country],Table1[[#This Row],[Country]])=1,0, _xlfn.STDEV.S(IF(Table1[Country]=Table1[[#This Row],[Country]],Table1[FinalElo])))</f>
        <v>148.42180446198614</v>
      </c>
      <c r="AB1160">
        <f>IF(Table1[[#This Row],[CStd]]=0,0, (Table1[[#This Row],[FinalElo]]-Table1[[#This Row],[CAvg]]) / Table1[[#This Row],[CStd]])</f>
        <v>-1.0086314681662241</v>
      </c>
      <c r="AC1160" t="str">
        <f>IF(Table1[[#This Row],[CStd]]=0,"Normal", IF(ABS(Table1[[#This Row],[CZscore]])&gt;2,"Outlier","Normal"))</f>
        <v>Normal</v>
      </c>
    </row>
    <row r="1161" spans="1:29" x14ac:dyDescent="0.35">
      <c r="A1161" t="s">
        <v>831</v>
      </c>
      <c r="B1161">
        <v>51.255896</v>
      </c>
      <c r="C1161">
        <v>164</v>
      </c>
      <c r="D1161" t="s">
        <v>89</v>
      </c>
      <c r="E1161">
        <v>26</v>
      </c>
      <c r="F1161" t="s">
        <v>154</v>
      </c>
      <c r="G1161" t="s">
        <v>34</v>
      </c>
      <c r="H1161" t="s">
        <v>29</v>
      </c>
      <c r="I1161" t="s">
        <v>55</v>
      </c>
      <c r="J1161">
        <v>1</v>
      </c>
      <c r="K1161">
        <v>2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1</v>
      </c>
      <c r="V1161">
        <v>0</v>
      </c>
      <c r="W1161">
        <v>3</v>
      </c>
      <c r="X1161">
        <v>923.94</v>
      </c>
      <c r="Y1161">
        <v>1100</v>
      </c>
      <c r="Z1161">
        <f>AVERAGEIFS(Table1[FinalElo], Table1[Country], Table1[[#This Row],[Country]])</f>
        <v>1012.0629025423733</v>
      </c>
      <c r="AA1161" cm="1">
        <f t="array" ref="AA1161">IF(COUNTIFS(Table1[Country],Table1[[#This Row],[Country]])=1,0, _xlfn.STDEV.S(IF(Table1[Country]=Table1[[#This Row],[Country]],Table1[FinalElo])))</f>
        <v>148.42180446198614</v>
      </c>
      <c r="AB1161">
        <f>IF(Table1[[#This Row],[CStd]]=0,0, (Table1[[#This Row],[FinalElo]]-Table1[[#This Row],[CAvg]]) / Table1[[#This Row],[CStd]])</f>
        <v>-0.5937328606252279</v>
      </c>
      <c r="AC1161" t="str">
        <f>IF(Table1[[#This Row],[CStd]]=0,"Normal", IF(ABS(Table1[[#This Row],[CZscore]])&gt;2,"Outlier","Normal"))</f>
        <v>Normal</v>
      </c>
    </row>
    <row r="1162" spans="1:29" x14ac:dyDescent="0.35">
      <c r="A1162" t="s">
        <v>829</v>
      </c>
      <c r="B1162">
        <v>56.245407999999998</v>
      </c>
      <c r="C1162">
        <v>166</v>
      </c>
      <c r="D1162" t="s">
        <v>89</v>
      </c>
      <c r="E1162">
        <v>28</v>
      </c>
      <c r="F1162" t="s">
        <v>830</v>
      </c>
      <c r="G1162" t="s">
        <v>34</v>
      </c>
      <c r="H1162" t="s">
        <v>29</v>
      </c>
      <c r="I1162" t="s">
        <v>36</v>
      </c>
      <c r="J1162">
        <v>3</v>
      </c>
      <c r="K1162">
        <v>1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1</v>
      </c>
      <c r="S1162">
        <v>0</v>
      </c>
      <c r="T1162">
        <v>0</v>
      </c>
      <c r="U1162">
        <v>0</v>
      </c>
      <c r="V1162">
        <v>0</v>
      </c>
      <c r="W1162">
        <v>4</v>
      </c>
      <c r="X1162">
        <v>1124.24</v>
      </c>
      <c r="Y1162">
        <v>1228.96</v>
      </c>
      <c r="Z1162">
        <f>AVERAGEIFS(Table1[FinalElo], Table1[Country], Table1[[#This Row],[Country]])</f>
        <v>1012.0629025423733</v>
      </c>
      <c r="AA1162" cm="1">
        <f t="array" ref="AA1162">IF(COUNTIFS(Table1[Country],Table1[[#This Row],[Country]])=1,0, _xlfn.STDEV.S(IF(Table1[Country]=Table1[[#This Row],[Country]],Table1[FinalElo])))</f>
        <v>148.42180446198614</v>
      </c>
      <c r="AB1162">
        <f>IF(Table1[[#This Row],[CStd]]=0,0, (Table1[[#This Row],[FinalElo]]-Table1[[#This Row],[CAvg]]) / Table1[[#This Row],[CStd]])</f>
        <v>0.75579931037934223</v>
      </c>
      <c r="AC1162" t="str">
        <f>IF(Table1[[#This Row],[CStd]]=0,"Normal", IF(ABS(Table1[[#This Row],[CZscore]])&gt;2,"Outlier","Normal"))</f>
        <v>Normal</v>
      </c>
    </row>
    <row r="1163" spans="1:29" x14ac:dyDescent="0.35">
      <c r="A1163" t="s">
        <v>828</v>
      </c>
      <c r="B1163">
        <v>65.77</v>
      </c>
      <c r="C1163">
        <v>165</v>
      </c>
      <c r="D1163" t="s">
        <v>32</v>
      </c>
      <c r="E1163">
        <v>25</v>
      </c>
      <c r="F1163" t="s">
        <v>726</v>
      </c>
      <c r="G1163" t="s">
        <v>54</v>
      </c>
      <c r="H1163" t="s">
        <v>29</v>
      </c>
      <c r="I1163" t="s">
        <v>48</v>
      </c>
      <c r="J1163">
        <v>1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1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1</v>
      </c>
      <c r="X1163">
        <v>1100</v>
      </c>
      <c r="Y1163">
        <v>1100</v>
      </c>
      <c r="Z1163">
        <f>AVERAGEIFS(Table1[FinalElo], Table1[Country], Table1[[#This Row],[Country]])</f>
        <v>1025.3786885245902</v>
      </c>
      <c r="AA1163" cm="1">
        <f t="array" ref="AA1163">IF(COUNTIFS(Table1[Country],Table1[[#This Row],[Country]])=1,0, _xlfn.STDEV.S(IF(Table1[Country]=Table1[[#This Row],[Country]],Table1[FinalElo])))</f>
        <v>144.71595558743479</v>
      </c>
      <c r="AB1163">
        <f>IF(Table1[[#This Row],[CStd]]=0,0, (Table1[[#This Row],[FinalElo]]-Table1[[#This Row],[CAvg]]) / Table1[[#This Row],[CStd]])</f>
        <v>0.51563983509976519</v>
      </c>
      <c r="AC1163" t="str">
        <f>IF(Table1[[#This Row],[CStd]]=0,"Normal", IF(ABS(Table1[[#This Row],[CZscore]])&gt;2,"Outlier","Normal"))</f>
        <v>Normal</v>
      </c>
    </row>
    <row r="1164" spans="1:29" x14ac:dyDescent="0.35">
      <c r="A1164" t="s">
        <v>61</v>
      </c>
      <c r="B1164">
        <v>65.8</v>
      </c>
      <c r="C1164">
        <v>172</v>
      </c>
      <c r="D1164" t="s">
        <v>32</v>
      </c>
      <c r="E1164">
        <v>27</v>
      </c>
      <c r="F1164" t="s">
        <v>62</v>
      </c>
      <c r="G1164" t="s">
        <v>40</v>
      </c>
      <c r="H1164" t="s">
        <v>29</v>
      </c>
      <c r="I1164" t="s">
        <v>48</v>
      </c>
      <c r="J1164">
        <v>7</v>
      </c>
      <c r="K1164">
        <v>1</v>
      </c>
      <c r="L1164">
        <v>1</v>
      </c>
      <c r="M1164">
        <v>3</v>
      </c>
      <c r="N1164">
        <v>1</v>
      </c>
      <c r="O1164">
        <v>0</v>
      </c>
      <c r="P1164">
        <v>1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9</v>
      </c>
      <c r="X1164">
        <v>1524.27</v>
      </c>
      <c r="Y1164">
        <v>1557.14</v>
      </c>
      <c r="Z1164">
        <f>AVERAGEIFS(Table1[FinalElo], Table1[Country], Table1[[#This Row],[Country]])</f>
        <v>1025.3786885245902</v>
      </c>
      <c r="AA1164" cm="1">
        <f t="array" ref="AA1164">IF(COUNTIFS(Table1[Country],Table1[[#This Row],[Country]])=1,0, _xlfn.STDEV.S(IF(Table1[Country]=Table1[[#This Row],[Country]],Table1[FinalElo])))</f>
        <v>144.71595558743479</v>
      </c>
      <c r="AB1164">
        <f>IF(Table1[[#This Row],[CStd]]=0,0, (Table1[[#This Row],[FinalElo]]-Table1[[#This Row],[CAvg]]) / Table1[[#This Row],[CStd]])</f>
        <v>3.4473829057086149</v>
      </c>
      <c r="AC1164" t="str">
        <f>IF(Table1[[#This Row],[CStd]]=0,"Normal", IF(ABS(Table1[[#This Row],[CZscore]])&gt;2,"Outlier","Normal"))</f>
        <v>Outlier</v>
      </c>
    </row>
    <row r="1165" spans="1:29" x14ac:dyDescent="0.35">
      <c r="A1165" t="s">
        <v>827</v>
      </c>
      <c r="B1165">
        <v>65.8</v>
      </c>
      <c r="C1165">
        <v>173</v>
      </c>
      <c r="D1165" t="s">
        <v>723</v>
      </c>
      <c r="E1165">
        <v>28</v>
      </c>
      <c r="F1165" t="s">
        <v>408</v>
      </c>
      <c r="G1165" t="s">
        <v>34</v>
      </c>
      <c r="H1165" t="s">
        <v>29</v>
      </c>
      <c r="I1165" t="s">
        <v>48</v>
      </c>
      <c r="J1165">
        <v>3</v>
      </c>
      <c r="K1165">
        <v>4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1</v>
      </c>
      <c r="V1165">
        <v>0</v>
      </c>
      <c r="W1165">
        <v>7</v>
      </c>
      <c r="X1165">
        <v>930.35</v>
      </c>
      <c r="Y1165">
        <v>1179.51</v>
      </c>
      <c r="Z1165">
        <f>AVERAGEIFS(Table1[FinalElo], Table1[Country], Table1[[#This Row],[Country]])</f>
        <v>969.45666666666659</v>
      </c>
      <c r="AA1165" cm="1">
        <f t="array" ref="AA1165">IF(COUNTIFS(Table1[Country],Table1[[#This Row],[Country]])=1,0, _xlfn.STDEV.S(IF(Table1[Country]=Table1[[#This Row],[Country]],Table1[FinalElo])))</f>
        <v>71.282681674209385</v>
      </c>
      <c r="AB1165">
        <f>IF(Table1[[#This Row],[CStd]]=0,0, (Table1[[#This Row],[FinalElo]]-Table1[[#This Row],[CAvg]]) / Table1[[#This Row],[CStd]])</f>
        <v>-0.54861385329749257</v>
      </c>
      <c r="AC1165" t="str">
        <f>IF(Table1[[#This Row],[CStd]]=0,"Normal", IF(ABS(Table1[[#This Row],[CZscore]])&gt;2,"Outlier","Normal"))</f>
        <v>Normal</v>
      </c>
    </row>
    <row r="1166" spans="1:29" x14ac:dyDescent="0.35">
      <c r="A1166" t="s">
        <v>824</v>
      </c>
      <c r="B1166">
        <v>61.23</v>
      </c>
      <c r="C1166">
        <v>175</v>
      </c>
      <c r="D1166" t="s">
        <v>825</v>
      </c>
      <c r="E1166">
        <v>25</v>
      </c>
      <c r="F1166" t="s">
        <v>826</v>
      </c>
      <c r="G1166" t="s">
        <v>40</v>
      </c>
      <c r="H1166" t="s">
        <v>29</v>
      </c>
      <c r="I1166" t="s">
        <v>73</v>
      </c>
      <c r="J1166">
        <v>0</v>
      </c>
      <c r="K1166">
        <v>1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1</v>
      </c>
      <c r="S1166">
        <v>0</v>
      </c>
      <c r="T1166">
        <v>0</v>
      </c>
      <c r="U1166">
        <v>0</v>
      </c>
      <c r="V1166">
        <v>0</v>
      </c>
      <c r="W1166">
        <v>1</v>
      </c>
      <c r="X1166">
        <v>900</v>
      </c>
      <c r="Y1166">
        <v>1000</v>
      </c>
      <c r="Z1166">
        <f>AVERAGEIFS(Table1[FinalElo], Table1[Country], Table1[[#This Row],[Country]])</f>
        <v>900</v>
      </c>
      <c r="AA1166" cm="1">
        <f t="array" ref="AA1166">IF(COUNTIFS(Table1[Country],Table1[[#This Row],[Country]])=1,0, _xlfn.STDEV.S(IF(Table1[Country]=Table1[[#This Row],[Country]],Table1[FinalElo])))</f>
        <v>0</v>
      </c>
      <c r="AB1166">
        <f>IF(Table1[[#This Row],[CStd]]=0,0, (Table1[[#This Row],[FinalElo]]-Table1[[#This Row],[CAvg]]) / Table1[[#This Row],[CStd]])</f>
        <v>0</v>
      </c>
      <c r="AC1166" t="str">
        <f>IF(Table1[[#This Row],[CStd]]=0,"Normal", IF(ABS(Table1[[#This Row],[CZscore]])&gt;2,"Outlier","Normal"))</f>
        <v>Normal</v>
      </c>
    </row>
    <row r="1167" spans="1:29" x14ac:dyDescent="0.35">
      <c r="A1167" t="s">
        <v>822</v>
      </c>
      <c r="B1167">
        <v>56.7</v>
      </c>
      <c r="C1167">
        <v>167</v>
      </c>
      <c r="D1167" t="s">
        <v>60</v>
      </c>
      <c r="E1167">
        <v>22</v>
      </c>
      <c r="F1167" t="s">
        <v>823</v>
      </c>
      <c r="G1167" t="s">
        <v>40</v>
      </c>
      <c r="H1167" t="s">
        <v>29</v>
      </c>
      <c r="I1167" t="s">
        <v>58</v>
      </c>
      <c r="J1167">
        <v>0</v>
      </c>
      <c r="K1167">
        <v>1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1</v>
      </c>
      <c r="X1167">
        <v>900</v>
      </c>
      <c r="Y1167">
        <v>1000</v>
      </c>
      <c r="Z1167">
        <f>AVERAGEIFS(Table1[FinalElo], Table1[Country], Table1[[#This Row],[Country]])</f>
        <v>1034.681315789474</v>
      </c>
      <c r="AA1167" cm="1">
        <f t="array" ref="AA1167">IF(COUNTIFS(Table1[Country],Table1[[#This Row],[Country]])=1,0, _xlfn.STDEV.S(IF(Table1[Country]=Table1[[#This Row],[Country]],Table1[FinalElo])))</f>
        <v>152.902810204692</v>
      </c>
      <c r="AB1167">
        <f>IF(Table1[[#This Row],[CStd]]=0,0, (Table1[[#This Row],[FinalElo]]-Table1[[#This Row],[CAvg]]) / Table1[[#This Row],[CStd]])</f>
        <v>-0.88082956493196685</v>
      </c>
      <c r="AC1167" t="str">
        <f>IF(Table1[[#This Row],[CStd]]=0,"Normal", IF(ABS(Table1[[#This Row],[CZscore]])&gt;2,"Outlier","Normal"))</f>
        <v>Normal</v>
      </c>
    </row>
    <row r="1168" spans="1:29" x14ac:dyDescent="0.35">
      <c r="A1168" t="s">
        <v>820</v>
      </c>
      <c r="B1168">
        <v>70.31</v>
      </c>
      <c r="C1168">
        <v>174</v>
      </c>
      <c r="D1168" t="s">
        <v>38</v>
      </c>
      <c r="E1168">
        <v>27</v>
      </c>
      <c r="F1168" t="s">
        <v>821</v>
      </c>
      <c r="G1168" t="s">
        <v>40</v>
      </c>
      <c r="H1168" t="s">
        <v>29</v>
      </c>
      <c r="I1168" t="s">
        <v>30</v>
      </c>
      <c r="J1168">
        <v>0</v>
      </c>
      <c r="K1168">
        <v>1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1</v>
      </c>
      <c r="S1168">
        <v>0</v>
      </c>
      <c r="T1168">
        <v>0</v>
      </c>
      <c r="U1168">
        <v>0</v>
      </c>
      <c r="V1168">
        <v>0</v>
      </c>
      <c r="W1168">
        <v>1</v>
      </c>
      <c r="X1168">
        <v>945.82</v>
      </c>
      <c r="Y1168">
        <v>1000</v>
      </c>
      <c r="Z1168">
        <f>AVERAGEIFS(Table1[FinalElo], Table1[Country], Table1[[#This Row],[Country]])</f>
        <v>1057.4495402298851</v>
      </c>
      <c r="AA1168" cm="1">
        <f t="array" ref="AA1168">IF(COUNTIFS(Table1[Country],Table1[[#This Row],[Country]])=1,0, _xlfn.STDEV.S(IF(Table1[Country]=Table1[[#This Row],[Country]],Table1[FinalElo])))</f>
        <v>156.98667602259493</v>
      </c>
      <c r="AB1168">
        <f>IF(Table1[[#This Row],[CStd]]=0,0, (Table1[[#This Row],[FinalElo]]-Table1[[#This Row],[CAvg]]) / Table1[[#This Row],[CStd]])</f>
        <v>-0.71107652609842065</v>
      </c>
      <c r="AC1168" t="str">
        <f>IF(Table1[[#This Row],[CStd]]=0,"Normal", IF(ABS(Table1[[#This Row],[CZscore]])&gt;2,"Outlier","Normal"))</f>
        <v>Normal</v>
      </c>
    </row>
    <row r="1169" spans="1:29" x14ac:dyDescent="0.35">
      <c r="A1169" t="s">
        <v>818</v>
      </c>
      <c r="B1169">
        <v>72.599999999999994</v>
      </c>
      <c r="C1169">
        <v>175</v>
      </c>
      <c r="D1169" t="s">
        <v>38</v>
      </c>
      <c r="E1169">
        <v>26</v>
      </c>
      <c r="F1169" t="s">
        <v>819</v>
      </c>
      <c r="G1169" t="s">
        <v>40</v>
      </c>
      <c r="H1169" t="s">
        <v>29</v>
      </c>
      <c r="I1169" t="s">
        <v>30</v>
      </c>
      <c r="J1169">
        <v>1</v>
      </c>
      <c r="K1169">
        <v>0</v>
      </c>
      <c r="L1169">
        <v>0</v>
      </c>
      <c r="M1169">
        <v>1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1</v>
      </c>
      <c r="X1169">
        <v>1100</v>
      </c>
      <c r="Y1169">
        <v>1100</v>
      </c>
      <c r="Z1169">
        <f>AVERAGEIFS(Table1[FinalElo], Table1[Country], Table1[[#This Row],[Country]])</f>
        <v>1057.4495402298851</v>
      </c>
      <c r="AA1169" cm="1">
        <f t="array" ref="AA1169">IF(COUNTIFS(Table1[Country],Table1[[#This Row],[Country]])=1,0, _xlfn.STDEV.S(IF(Table1[Country]=Table1[[#This Row],[Country]],Table1[FinalElo])))</f>
        <v>156.98667602259493</v>
      </c>
      <c r="AB1169">
        <f>IF(Table1[[#This Row],[CStd]]=0,0, (Table1[[#This Row],[FinalElo]]-Table1[[#This Row],[CAvg]]) / Table1[[#This Row],[CStd]])</f>
        <v>0.27104503928722373</v>
      </c>
      <c r="AC1169" t="str">
        <f>IF(Table1[[#This Row],[CStd]]=0,"Normal", IF(ABS(Table1[[#This Row],[CZscore]])&gt;2,"Outlier","Normal"))</f>
        <v>Normal</v>
      </c>
    </row>
    <row r="1170" spans="1:29" x14ac:dyDescent="0.35">
      <c r="A1170" t="s">
        <v>815</v>
      </c>
      <c r="B1170">
        <v>77.099999999999994</v>
      </c>
      <c r="C1170">
        <v>170</v>
      </c>
      <c r="D1170" t="s">
        <v>816</v>
      </c>
      <c r="E1170">
        <v>36</v>
      </c>
      <c r="F1170" t="s">
        <v>817</v>
      </c>
      <c r="G1170" t="s">
        <v>40</v>
      </c>
      <c r="H1170" t="s">
        <v>29</v>
      </c>
      <c r="I1170" t="s">
        <v>30</v>
      </c>
      <c r="J1170">
        <v>8</v>
      </c>
      <c r="K1170">
        <v>5</v>
      </c>
      <c r="L1170">
        <v>0</v>
      </c>
      <c r="M1170">
        <v>1</v>
      </c>
      <c r="N1170">
        <v>2</v>
      </c>
      <c r="O1170">
        <v>0</v>
      </c>
      <c r="P1170">
        <v>2</v>
      </c>
      <c r="Q1170">
        <v>2</v>
      </c>
      <c r="R1170">
        <v>1</v>
      </c>
      <c r="S1170">
        <v>2</v>
      </c>
      <c r="T1170">
        <v>0</v>
      </c>
      <c r="U1170">
        <v>1</v>
      </c>
      <c r="V1170">
        <v>1</v>
      </c>
      <c r="W1170">
        <v>13</v>
      </c>
      <c r="X1170">
        <v>1052.72</v>
      </c>
      <c r="Y1170">
        <v>1292.24</v>
      </c>
      <c r="Z1170">
        <f>AVERAGEIFS(Table1[FinalElo], Table1[Country], Table1[[#This Row],[Country]])</f>
        <v>1052.72</v>
      </c>
      <c r="AA1170" cm="1">
        <f t="array" ref="AA1170">IF(COUNTIFS(Table1[Country],Table1[[#This Row],[Country]])=1,0, _xlfn.STDEV.S(IF(Table1[Country]=Table1[[#This Row],[Country]],Table1[FinalElo])))</f>
        <v>0</v>
      </c>
      <c r="AB1170">
        <f>IF(Table1[[#This Row],[CStd]]=0,0, (Table1[[#This Row],[FinalElo]]-Table1[[#This Row],[CAvg]]) / Table1[[#This Row],[CStd]])</f>
        <v>0</v>
      </c>
      <c r="AC1170" t="str">
        <f>IF(Table1[[#This Row],[CStd]]=0,"Normal", IF(ABS(Table1[[#This Row],[CZscore]])&gt;2,"Outlier","Normal"))</f>
        <v>Normal</v>
      </c>
    </row>
    <row r="1171" spans="1:29" x14ac:dyDescent="0.35">
      <c r="A1171" t="s">
        <v>812</v>
      </c>
      <c r="B1171">
        <v>56.7</v>
      </c>
      <c r="C1171">
        <v>157</v>
      </c>
      <c r="D1171" t="s">
        <v>813</v>
      </c>
      <c r="E1171">
        <v>23</v>
      </c>
      <c r="F1171" t="s">
        <v>814</v>
      </c>
      <c r="G1171" t="s">
        <v>40</v>
      </c>
      <c r="H1171" t="s">
        <v>29</v>
      </c>
      <c r="I1171" t="s">
        <v>58</v>
      </c>
      <c r="J1171">
        <v>0</v>
      </c>
      <c r="K1171">
        <v>1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1</v>
      </c>
      <c r="S1171">
        <v>0</v>
      </c>
      <c r="T1171">
        <v>0</v>
      </c>
      <c r="U1171">
        <v>0</v>
      </c>
      <c r="V1171">
        <v>0</v>
      </c>
      <c r="W1171">
        <v>1</v>
      </c>
      <c r="X1171">
        <v>949.12</v>
      </c>
      <c r="Y1171">
        <v>1000</v>
      </c>
      <c r="Z1171">
        <f>AVERAGEIFS(Table1[FinalElo], Table1[Country], Table1[[#This Row],[Country]])</f>
        <v>949.12</v>
      </c>
      <c r="AA1171" cm="1">
        <f t="array" ref="AA1171">IF(COUNTIFS(Table1[Country],Table1[[#This Row],[Country]])=1,0, _xlfn.STDEV.S(IF(Table1[Country]=Table1[[#This Row],[Country]],Table1[FinalElo])))</f>
        <v>0</v>
      </c>
      <c r="AB1171">
        <f>IF(Table1[[#This Row],[CStd]]=0,0, (Table1[[#This Row],[FinalElo]]-Table1[[#This Row],[CAvg]]) / Table1[[#This Row],[CStd]])</f>
        <v>0</v>
      </c>
      <c r="AC1171" t="str">
        <f>IF(Table1[[#This Row],[CStd]]=0,"Normal", IF(ABS(Table1[[#This Row],[CZscore]])&gt;2,"Outlier","Normal"))</f>
        <v>Normal</v>
      </c>
    </row>
    <row r="1172" spans="1:29" hidden="1" x14ac:dyDescent="0.35">
      <c r="A1172" t="s">
        <v>2089</v>
      </c>
      <c r="B1172">
        <v>52.1</v>
      </c>
      <c r="C1172">
        <v>156</v>
      </c>
      <c r="D1172" t="s">
        <v>368</v>
      </c>
      <c r="E1172">
        <v>31</v>
      </c>
      <c r="F1172" t="s">
        <v>90</v>
      </c>
      <c r="G1172" t="s">
        <v>40</v>
      </c>
      <c r="H1172" t="s">
        <v>35</v>
      </c>
      <c r="I1172" t="s">
        <v>55</v>
      </c>
      <c r="J1172">
        <v>7</v>
      </c>
      <c r="K1172">
        <v>4</v>
      </c>
      <c r="L1172">
        <v>0</v>
      </c>
      <c r="M1172">
        <v>3</v>
      </c>
      <c r="N1172">
        <v>0</v>
      </c>
      <c r="O1172">
        <v>0</v>
      </c>
      <c r="P1172">
        <v>4</v>
      </c>
      <c r="Q1172">
        <v>0</v>
      </c>
      <c r="R1172">
        <v>0</v>
      </c>
      <c r="S1172">
        <v>3</v>
      </c>
      <c r="T1172">
        <v>0</v>
      </c>
      <c r="U1172">
        <v>0</v>
      </c>
      <c r="V1172">
        <v>1</v>
      </c>
      <c r="W1172">
        <v>11</v>
      </c>
      <c r="X1172">
        <v>1067.67</v>
      </c>
      <c r="Y1172">
        <v>1343.24</v>
      </c>
      <c r="Z1172">
        <f>AVERAGEIFS(Table1[FinalElo], Table1[Country], Table1[[#This Row],[Country]])</f>
        <v>980.53583333333336</v>
      </c>
      <c r="AA1172" cm="1">
        <f t="array" ref="AA1172">IF(COUNTIFS(Table1[Country],Table1[[#This Row],[Country]])=1,0, _xlfn.STDEV.S(IF(Table1[Country]=Table1[[#This Row],[Country]],Table1[FinalElo])))</f>
        <v>85.643213227725752</v>
      </c>
      <c r="AB1172">
        <f>IF(Table1[[#This Row],[CStd]]=0,0, (Table1[[#This Row],[FinalElo]]-Table1[[#This Row],[CAvg]]) / Table1[[#This Row],[CStd]])</f>
        <v>1.0174088918753728</v>
      </c>
      <c r="AC1172" t="str">
        <f>IF(Table1[[#This Row],[CStd]]=0,"Normal", IF(ABS(Table1[[#This Row],[CZscore]])&gt;2,"Outlier","Normal"))</f>
        <v>Normal</v>
      </c>
    </row>
    <row r="1173" spans="1:29" x14ac:dyDescent="0.35">
      <c r="A1173" t="s">
        <v>811</v>
      </c>
      <c r="B1173">
        <v>58.96696</v>
      </c>
      <c r="C1173">
        <v>176</v>
      </c>
      <c r="D1173" t="s">
        <v>89</v>
      </c>
      <c r="E1173">
        <v>31</v>
      </c>
      <c r="F1173" t="s">
        <v>337</v>
      </c>
      <c r="G1173" t="s">
        <v>34</v>
      </c>
      <c r="H1173" t="s">
        <v>29</v>
      </c>
      <c r="I1173" t="s">
        <v>58</v>
      </c>
      <c r="J1173">
        <v>3</v>
      </c>
      <c r="K1173">
        <v>2</v>
      </c>
      <c r="L1173">
        <v>0</v>
      </c>
      <c r="M1173">
        <v>0</v>
      </c>
      <c r="N1173">
        <v>0</v>
      </c>
      <c r="O1173">
        <v>0</v>
      </c>
      <c r="P1173">
        <v>1</v>
      </c>
      <c r="Q1173">
        <v>0</v>
      </c>
      <c r="R1173">
        <v>1</v>
      </c>
      <c r="S1173">
        <v>0</v>
      </c>
      <c r="T1173">
        <v>0</v>
      </c>
      <c r="U1173">
        <v>0</v>
      </c>
      <c r="V1173">
        <v>0</v>
      </c>
      <c r="W1173">
        <v>5</v>
      </c>
      <c r="X1173">
        <v>1010.48</v>
      </c>
      <c r="Y1173">
        <v>1109.98</v>
      </c>
      <c r="Z1173">
        <f>AVERAGEIFS(Table1[FinalElo], Table1[Country], Table1[[#This Row],[Country]])</f>
        <v>1012.0629025423733</v>
      </c>
      <c r="AA1173" cm="1">
        <f t="array" ref="AA1173">IF(COUNTIFS(Table1[Country],Table1[[#This Row],[Country]])=1,0, _xlfn.STDEV.S(IF(Table1[Country]=Table1[[#This Row],[Country]],Table1[FinalElo])))</f>
        <v>148.42180446198614</v>
      </c>
      <c r="AB1173">
        <f>IF(Table1[[#This Row],[CStd]]=0,0, (Table1[[#This Row],[FinalElo]]-Table1[[#This Row],[CAvg]]) / Table1[[#This Row],[CStd]])</f>
        <v>-1.0664892184212084E-2</v>
      </c>
      <c r="AC1173" t="str">
        <f>IF(Table1[[#This Row],[CStd]]=0,"Normal", IF(ABS(Table1[[#This Row],[CZscore]])&gt;2,"Outlier","Normal"))</f>
        <v>Normal</v>
      </c>
    </row>
    <row r="1174" spans="1:29" x14ac:dyDescent="0.35">
      <c r="A1174" t="s">
        <v>810</v>
      </c>
      <c r="B1174">
        <v>57.3</v>
      </c>
      <c r="C1174">
        <v>163</v>
      </c>
      <c r="D1174" t="s">
        <v>60</v>
      </c>
      <c r="E1174">
        <v>30</v>
      </c>
      <c r="F1174" t="s">
        <v>168</v>
      </c>
      <c r="G1174" t="s">
        <v>40</v>
      </c>
      <c r="H1174" t="s">
        <v>29</v>
      </c>
      <c r="I1174" t="s">
        <v>58</v>
      </c>
      <c r="J1174">
        <v>0</v>
      </c>
      <c r="K1174">
        <v>1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1</v>
      </c>
      <c r="S1174">
        <v>0</v>
      </c>
      <c r="T1174">
        <v>0</v>
      </c>
      <c r="U1174">
        <v>0</v>
      </c>
      <c r="V1174">
        <v>0</v>
      </c>
      <c r="W1174">
        <v>1</v>
      </c>
      <c r="X1174">
        <v>900</v>
      </c>
      <c r="Y1174">
        <v>1000</v>
      </c>
      <c r="Z1174">
        <f>AVERAGEIFS(Table1[FinalElo], Table1[Country], Table1[[#This Row],[Country]])</f>
        <v>1034.681315789474</v>
      </c>
      <c r="AA1174" cm="1">
        <f t="array" ref="AA1174">IF(COUNTIFS(Table1[Country],Table1[[#This Row],[Country]])=1,0, _xlfn.STDEV.S(IF(Table1[Country]=Table1[[#This Row],[Country]],Table1[FinalElo])))</f>
        <v>152.902810204692</v>
      </c>
      <c r="AB1174">
        <f>IF(Table1[[#This Row],[CStd]]=0,0, (Table1[[#This Row],[FinalElo]]-Table1[[#This Row],[CAvg]]) / Table1[[#This Row],[CStd]])</f>
        <v>-0.88082956493196685</v>
      </c>
      <c r="AC1174" t="str">
        <f>IF(Table1[[#This Row],[CStd]]=0,"Normal", IF(ABS(Table1[[#This Row],[CZscore]])&gt;2,"Outlier","Normal"))</f>
        <v>Normal</v>
      </c>
    </row>
    <row r="1175" spans="1:29" x14ac:dyDescent="0.35">
      <c r="A1175" t="s">
        <v>808</v>
      </c>
      <c r="B1175">
        <v>65.77</v>
      </c>
      <c r="C1175">
        <v>185</v>
      </c>
      <c r="D1175" t="s">
        <v>140</v>
      </c>
      <c r="E1175">
        <v>21</v>
      </c>
      <c r="F1175" t="s">
        <v>809</v>
      </c>
      <c r="G1175" t="s">
        <v>40</v>
      </c>
      <c r="H1175" t="s">
        <v>29</v>
      </c>
      <c r="I1175" t="s">
        <v>48</v>
      </c>
      <c r="J1175">
        <v>1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1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1</v>
      </c>
      <c r="X1175">
        <v>1100</v>
      </c>
      <c r="Y1175">
        <v>1100</v>
      </c>
      <c r="Z1175">
        <f>AVERAGEIFS(Table1[FinalElo], Table1[Country], Table1[[#This Row],[Country]])</f>
        <v>1002.675294117647</v>
      </c>
      <c r="AA1175" cm="1">
        <f t="array" ref="AA1175">IF(COUNTIFS(Table1[Country],Table1[[#This Row],[Country]])=1,0, _xlfn.STDEV.S(IF(Table1[Country]=Table1[[#This Row],[Country]],Table1[FinalElo])))</f>
        <v>171.59712028169514</v>
      </c>
      <c r="AB1175">
        <f>IF(Table1[[#This Row],[CStd]]=0,0, (Table1[[#This Row],[FinalElo]]-Table1[[#This Row],[CAvg]]) / Table1[[#This Row],[CStd]])</f>
        <v>0.56716980869250022</v>
      </c>
      <c r="AC1175" t="str">
        <f>IF(Table1[[#This Row],[CStd]]=0,"Normal", IF(ABS(Table1[[#This Row],[CZscore]])&gt;2,"Outlier","Normal"))</f>
        <v>Normal</v>
      </c>
    </row>
    <row r="1176" spans="1:29" x14ac:dyDescent="0.35">
      <c r="A1176" t="s">
        <v>806</v>
      </c>
      <c r="B1176">
        <v>56.6</v>
      </c>
      <c r="C1176">
        <v>163</v>
      </c>
      <c r="D1176" t="s">
        <v>60</v>
      </c>
      <c r="E1176">
        <v>32</v>
      </c>
      <c r="F1176" t="s">
        <v>807</v>
      </c>
      <c r="G1176" t="s">
        <v>40</v>
      </c>
      <c r="H1176" t="s">
        <v>29</v>
      </c>
      <c r="I1176" t="s">
        <v>36</v>
      </c>
      <c r="J1176">
        <v>1</v>
      </c>
      <c r="K1176">
        <v>0</v>
      </c>
      <c r="L1176">
        <v>0</v>
      </c>
      <c r="M1176">
        <v>0</v>
      </c>
      <c r="N1176">
        <v>1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1</v>
      </c>
      <c r="X1176">
        <v>1122.3800000000001</v>
      </c>
      <c r="Y1176">
        <v>1122.3800000000001</v>
      </c>
      <c r="Z1176">
        <f>AVERAGEIFS(Table1[FinalElo], Table1[Country], Table1[[#This Row],[Country]])</f>
        <v>1034.681315789474</v>
      </c>
      <c r="AA1176" cm="1">
        <f t="array" ref="AA1176">IF(COUNTIFS(Table1[Country],Table1[[#This Row],[Country]])=1,0, _xlfn.STDEV.S(IF(Table1[Country]=Table1[[#This Row],[Country]],Table1[FinalElo])))</f>
        <v>152.902810204692</v>
      </c>
      <c r="AB1176">
        <f>IF(Table1[[#This Row],[CStd]]=0,0, (Table1[[#This Row],[FinalElo]]-Table1[[#This Row],[CAvg]]) / Table1[[#This Row],[CStd]])</f>
        <v>0.57355835444177483</v>
      </c>
      <c r="AC1176" t="str">
        <f>IF(Table1[[#This Row],[CStd]]=0,"Normal", IF(ABS(Table1[[#This Row],[CZscore]])&gt;2,"Outlier","Normal"))</f>
        <v>Normal</v>
      </c>
    </row>
    <row r="1177" spans="1:29" x14ac:dyDescent="0.35">
      <c r="A1177" t="s">
        <v>804</v>
      </c>
      <c r="B1177">
        <v>69.5</v>
      </c>
      <c r="C1177">
        <v>176</v>
      </c>
      <c r="D1177" t="s">
        <v>109</v>
      </c>
      <c r="E1177">
        <v>27</v>
      </c>
      <c r="F1177" t="s">
        <v>805</v>
      </c>
      <c r="G1177" t="s">
        <v>34</v>
      </c>
      <c r="H1177" t="s">
        <v>29</v>
      </c>
      <c r="I1177" t="s">
        <v>48</v>
      </c>
      <c r="J1177">
        <v>0</v>
      </c>
      <c r="K1177">
        <v>1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1</v>
      </c>
      <c r="S1177">
        <v>0</v>
      </c>
      <c r="T1177">
        <v>0</v>
      </c>
      <c r="U1177">
        <v>0</v>
      </c>
      <c r="V1177">
        <v>0</v>
      </c>
      <c r="W1177">
        <v>1</v>
      </c>
      <c r="X1177">
        <v>871.99</v>
      </c>
      <c r="Y1177">
        <v>1000</v>
      </c>
      <c r="Z1177">
        <f>AVERAGEIFS(Table1[FinalElo], Table1[Country], Table1[[#This Row],[Country]])</f>
        <v>1017.2428571428571</v>
      </c>
      <c r="AA1177" cm="1">
        <f t="array" ref="AA1177">IF(COUNTIFS(Table1[Country],Table1[[#This Row],[Country]])=1,0, _xlfn.STDEV.S(IF(Table1[Country]=Table1[[#This Row],[Country]],Table1[FinalElo])))</f>
        <v>205.21100910317449</v>
      </c>
      <c r="AB1177">
        <f>IF(Table1[[#This Row],[CStd]]=0,0, (Table1[[#This Row],[FinalElo]]-Table1[[#This Row],[CAvg]]) / Table1[[#This Row],[CStd]])</f>
        <v>-0.7078219525241356</v>
      </c>
      <c r="AC1177" t="str">
        <f>IF(Table1[[#This Row],[CStd]]=0,"Normal", IF(ABS(Table1[[#This Row],[CZscore]])&gt;2,"Outlier","Normal"))</f>
        <v>Normal</v>
      </c>
    </row>
    <row r="1178" spans="1:29" x14ac:dyDescent="0.35">
      <c r="A1178" t="s">
        <v>802</v>
      </c>
      <c r="B1178">
        <v>67.131615999999994</v>
      </c>
      <c r="C1178">
        <v>177</v>
      </c>
      <c r="D1178" t="s">
        <v>247</v>
      </c>
      <c r="E1178">
        <v>24</v>
      </c>
      <c r="F1178" t="s">
        <v>803</v>
      </c>
      <c r="G1178" t="s">
        <v>34</v>
      </c>
      <c r="H1178" t="s">
        <v>29</v>
      </c>
      <c r="I1178" t="s">
        <v>48</v>
      </c>
      <c r="J1178">
        <v>1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1</v>
      </c>
      <c r="X1178">
        <v>1100</v>
      </c>
      <c r="Y1178">
        <v>1100</v>
      </c>
      <c r="Z1178">
        <f>AVERAGEIFS(Table1[FinalElo], Table1[Country], Table1[[#This Row],[Country]])</f>
        <v>1050.0176190476191</v>
      </c>
      <c r="AA1178" cm="1">
        <f t="array" ref="AA1178">IF(COUNTIFS(Table1[Country],Table1[[#This Row],[Country]])=1,0, _xlfn.STDEV.S(IF(Table1[Country]=Table1[[#This Row],[Country]],Table1[FinalElo])))</f>
        <v>127.00578096703971</v>
      </c>
      <c r="AB1178">
        <f>IF(Table1[[#This Row],[CStd]]=0,0, (Table1[[#This Row],[FinalElo]]-Table1[[#This Row],[CAvg]]) / Table1[[#This Row],[CStd]])</f>
        <v>0.39354414083995332</v>
      </c>
      <c r="AC1178" t="str">
        <f>IF(Table1[[#This Row],[CStd]]=0,"Normal", IF(ABS(Table1[[#This Row],[CZscore]])&gt;2,"Outlier","Normal"))</f>
        <v>Normal</v>
      </c>
    </row>
    <row r="1179" spans="1:29" x14ac:dyDescent="0.35">
      <c r="A1179" t="s">
        <v>801</v>
      </c>
      <c r="B1179">
        <v>57.2</v>
      </c>
      <c r="C1179">
        <v>174</v>
      </c>
      <c r="D1179" t="s">
        <v>26</v>
      </c>
      <c r="E1179">
        <v>21</v>
      </c>
      <c r="F1179" t="s">
        <v>87</v>
      </c>
      <c r="G1179" t="s">
        <v>34</v>
      </c>
      <c r="H1179" t="s">
        <v>29</v>
      </c>
      <c r="I1179" t="s">
        <v>58</v>
      </c>
      <c r="J1179">
        <v>2</v>
      </c>
      <c r="K1179">
        <v>1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1</v>
      </c>
      <c r="R1179">
        <v>0</v>
      </c>
      <c r="S1179">
        <v>0</v>
      </c>
      <c r="T1179">
        <v>0</v>
      </c>
      <c r="U1179">
        <v>1</v>
      </c>
      <c r="V1179">
        <v>0</v>
      </c>
      <c r="W1179">
        <v>3</v>
      </c>
      <c r="X1179">
        <v>1193.6500000000001</v>
      </c>
      <c r="Y1179">
        <v>1193.6500000000001</v>
      </c>
      <c r="Z1179">
        <f>AVERAGEIFS(Table1[FinalElo], Table1[Country], Table1[[#This Row],[Country]])</f>
        <v>979.07416666666666</v>
      </c>
      <c r="AA1179" cm="1">
        <f t="array" ref="AA1179">IF(COUNTIFS(Table1[Country],Table1[[#This Row],[Country]])=1,0, _xlfn.STDEV.S(IF(Table1[Country]=Table1[[#This Row],[Country]],Table1[FinalElo])))</f>
        <v>130.18126931728986</v>
      </c>
      <c r="AB1179">
        <f>IF(Table1[[#This Row],[CStd]]=0,0, (Table1[[#This Row],[FinalElo]]-Table1[[#This Row],[CAvg]]) / Table1[[#This Row],[CStd]])</f>
        <v>1.6482849987454748</v>
      </c>
      <c r="AC1179" t="str">
        <f>IF(Table1[[#This Row],[CStd]]=0,"Normal", IF(ABS(Table1[[#This Row],[CZscore]])&gt;2,"Outlier","Normal"))</f>
        <v>Normal</v>
      </c>
    </row>
    <row r="1180" spans="1:29" x14ac:dyDescent="0.35">
      <c r="A1180" t="s">
        <v>798</v>
      </c>
      <c r="B1180">
        <v>69.2</v>
      </c>
      <c r="C1180">
        <v>177</v>
      </c>
      <c r="D1180" t="s">
        <v>799</v>
      </c>
      <c r="E1180">
        <v>33</v>
      </c>
      <c r="F1180" t="s">
        <v>800</v>
      </c>
      <c r="G1180" t="s">
        <v>28</v>
      </c>
      <c r="H1180" t="s">
        <v>29</v>
      </c>
      <c r="I1180" t="s">
        <v>48</v>
      </c>
      <c r="J1180">
        <v>3</v>
      </c>
      <c r="K1180">
        <v>3</v>
      </c>
      <c r="L1180">
        <v>0</v>
      </c>
      <c r="M1180">
        <v>2</v>
      </c>
      <c r="N1180">
        <v>0</v>
      </c>
      <c r="O1180">
        <v>0</v>
      </c>
      <c r="P1180">
        <v>0</v>
      </c>
      <c r="Q1180">
        <v>1</v>
      </c>
      <c r="R1180">
        <v>1</v>
      </c>
      <c r="S1180">
        <v>0</v>
      </c>
      <c r="T1180">
        <v>0</v>
      </c>
      <c r="U1180">
        <v>2</v>
      </c>
      <c r="V1180">
        <v>0</v>
      </c>
      <c r="W1180">
        <v>6</v>
      </c>
      <c r="X1180">
        <v>869.03</v>
      </c>
      <c r="Y1180">
        <v>1131.3900000000001</v>
      </c>
      <c r="Z1180">
        <f>AVERAGEIFS(Table1[FinalElo], Table1[Country], Table1[[#This Row],[Country]])</f>
        <v>908.56333333333316</v>
      </c>
      <c r="AA1180" cm="1">
        <f t="array" ref="AA1180">IF(COUNTIFS(Table1[Country],Table1[[#This Row],[Country]])=1,0, _xlfn.STDEV.S(IF(Table1[Country]=Table1[[#This Row],[Country]],Table1[FinalElo])))</f>
        <v>55.482960747722679</v>
      </c>
      <c r="AB1180">
        <f>IF(Table1[[#This Row],[CStd]]=0,0, (Table1[[#This Row],[FinalElo]]-Table1[[#This Row],[CAvg]]) / Table1[[#This Row],[CStd]])</f>
        <v>-0.71253106900853069</v>
      </c>
      <c r="AC1180" t="str">
        <f>IF(Table1[[#This Row],[CStd]]=0,"Normal", IF(ABS(Table1[[#This Row],[CZscore]])&gt;2,"Outlier","Normal"))</f>
        <v>Normal</v>
      </c>
    </row>
    <row r="1181" spans="1:29" x14ac:dyDescent="0.35">
      <c r="A1181" t="s">
        <v>796</v>
      </c>
      <c r="B1181">
        <v>65.5</v>
      </c>
      <c r="C1181">
        <v>168</v>
      </c>
      <c r="D1181" t="s">
        <v>270</v>
      </c>
      <c r="E1181">
        <v>36</v>
      </c>
      <c r="F1181" t="s">
        <v>797</v>
      </c>
      <c r="G1181" t="s">
        <v>40</v>
      </c>
      <c r="H1181" t="s">
        <v>29</v>
      </c>
      <c r="I1181" t="s">
        <v>73</v>
      </c>
      <c r="J1181">
        <v>6</v>
      </c>
      <c r="K1181">
        <v>1</v>
      </c>
      <c r="L1181">
        <v>0</v>
      </c>
      <c r="M1181">
        <v>1</v>
      </c>
      <c r="N1181">
        <v>3</v>
      </c>
      <c r="O1181">
        <v>0</v>
      </c>
      <c r="P1181">
        <v>2</v>
      </c>
      <c r="Q1181">
        <v>0</v>
      </c>
      <c r="R1181">
        <v>1</v>
      </c>
      <c r="S1181">
        <v>0</v>
      </c>
      <c r="T1181">
        <v>0</v>
      </c>
      <c r="U1181">
        <v>0</v>
      </c>
      <c r="V1181">
        <v>0</v>
      </c>
      <c r="W1181">
        <v>7</v>
      </c>
      <c r="X1181">
        <v>1364.14</v>
      </c>
      <c r="Y1181">
        <v>1364.14</v>
      </c>
      <c r="Z1181">
        <f>AVERAGEIFS(Table1[FinalElo], Table1[Country], Table1[[#This Row],[Country]])</f>
        <v>1084.24</v>
      </c>
      <c r="AA1181" cm="1">
        <f t="array" ref="AA1181">IF(COUNTIFS(Table1[Country],Table1[[#This Row],[Country]])=1,0, _xlfn.STDEV.S(IF(Table1[Country]=Table1[[#This Row],[Country]],Table1[FinalElo])))</f>
        <v>156.18548191173187</v>
      </c>
      <c r="AB1181">
        <f>IF(Table1[[#This Row],[CStd]]=0,0, (Table1[[#This Row],[FinalElo]]-Table1[[#This Row],[CAvg]]) / Table1[[#This Row],[CStd]])</f>
        <v>1.7920999863366649</v>
      </c>
      <c r="AC1181" t="str">
        <f>IF(Table1[[#This Row],[CStd]]=0,"Normal", IF(ABS(Table1[[#This Row],[CZscore]])&gt;2,"Outlier","Normal"))</f>
        <v>Normal</v>
      </c>
    </row>
    <row r="1182" spans="1:29" x14ac:dyDescent="0.35">
      <c r="A1182" t="s">
        <v>795</v>
      </c>
      <c r="B1182">
        <v>76.5</v>
      </c>
      <c r="C1182">
        <v>179</v>
      </c>
      <c r="D1182" t="s">
        <v>247</v>
      </c>
      <c r="E1182">
        <v>30</v>
      </c>
      <c r="F1182" t="s">
        <v>33</v>
      </c>
      <c r="G1182" t="s">
        <v>40</v>
      </c>
      <c r="H1182" t="s">
        <v>29</v>
      </c>
      <c r="I1182" t="s">
        <v>30</v>
      </c>
      <c r="J1182">
        <v>0</v>
      </c>
      <c r="K1182">
        <v>1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1</v>
      </c>
      <c r="V1182">
        <v>0</v>
      </c>
      <c r="W1182">
        <v>1</v>
      </c>
      <c r="X1182">
        <v>900</v>
      </c>
      <c r="Y1182">
        <v>1000</v>
      </c>
      <c r="Z1182">
        <f>AVERAGEIFS(Table1[FinalElo], Table1[Country], Table1[[#This Row],[Country]])</f>
        <v>1050.0176190476191</v>
      </c>
      <c r="AA1182" cm="1">
        <f t="array" ref="AA1182">IF(COUNTIFS(Table1[Country],Table1[[#This Row],[Country]])=1,0, _xlfn.STDEV.S(IF(Table1[Country]=Table1[[#This Row],[Country]],Table1[FinalElo])))</f>
        <v>127.00578096703971</v>
      </c>
      <c r="AB1182">
        <f>IF(Table1[[#This Row],[CStd]]=0,0, (Table1[[#This Row],[FinalElo]]-Table1[[#This Row],[CAvg]]) / Table1[[#This Row],[CStd]])</f>
        <v>-1.1811873278945573</v>
      </c>
      <c r="AC1182" t="str">
        <f>IF(Table1[[#This Row],[CStd]]=0,"Normal", IF(ABS(Table1[[#This Row],[CZscore]])&gt;2,"Outlier","Normal"))</f>
        <v>Normal</v>
      </c>
    </row>
    <row r="1183" spans="1:29" x14ac:dyDescent="0.35">
      <c r="A1183" t="s">
        <v>794</v>
      </c>
      <c r="B1183">
        <v>47.63</v>
      </c>
      <c r="C1183">
        <v>163</v>
      </c>
      <c r="D1183" t="s">
        <v>597</v>
      </c>
      <c r="E1183">
        <v>19</v>
      </c>
      <c r="F1183" t="s">
        <v>154</v>
      </c>
      <c r="G1183" t="s">
        <v>34</v>
      </c>
      <c r="H1183" t="s">
        <v>29</v>
      </c>
      <c r="I1183" t="s">
        <v>55</v>
      </c>
      <c r="J1183">
        <v>1</v>
      </c>
      <c r="K1183">
        <v>1</v>
      </c>
      <c r="L1183">
        <v>0</v>
      </c>
      <c r="M1183">
        <v>0</v>
      </c>
      <c r="N1183">
        <v>0</v>
      </c>
      <c r="O1183">
        <v>0</v>
      </c>
      <c r="P1183">
        <v>1</v>
      </c>
      <c r="Q1183">
        <v>0</v>
      </c>
      <c r="R1183">
        <v>0</v>
      </c>
      <c r="S1183">
        <v>0</v>
      </c>
      <c r="T1183">
        <v>0</v>
      </c>
      <c r="U1183">
        <v>1</v>
      </c>
      <c r="V1183">
        <v>0</v>
      </c>
      <c r="W1183">
        <v>2</v>
      </c>
      <c r="X1183">
        <v>1081.1300000000001</v>
      </c>
      <c r="Y1183">
        <v>1128.01</v>
      </c>
      <c r="Z1183">
        <f>AVERAGEIFS(Table1[FinalElo], Table1[Country], Table1[[#This Row],[Country]])</f>
        <v>998.47333333333336</v>
      </c>
      <c r="AA1183" cm="1">
        <f t="array" ref="AA1183">IF(COUNTIFS(Table1[Country],Table1[[#This Row],[Country]])=1,0, _xlfn.STDEV.S(IF(Table1[Country]=Table1[[#This Row],[Country]],Table1[FinalElo])))</f>
        <v>91.595002229015435</v>
      </c>
      <c r="AB1183">
        <f>IF(Table1[[#This Row],[CStd]]=0,0, (Table1[[#This Row],[FinalElo]]-Table1[[#This Row],[CAvg]]) / Table1[[#This Row],[CStd]])</f>
        <v>0.90241459310192362</v>
      </c>
      <c r="AC1183" t="str">
        <f>IF(Table1[[#This Row],[CStd]]=0,"Normal", IF(ABS(Table1[[#This Row],[CZscore]])&gt;2,"Outlier","Normal"))</f>
        <v>Normal</v>
      </c>
    </row>
    <row r="1184" spans="1:29" x14ac:dyDescent="0.35">
      <c r="A1184" t="s">
        <v>793</v>
      </c>
      <c r="B1184">
        <v>70.3</v>
      </c>
      <c r="C1184">
        <v>173</v>
      </c>
      <c r="D1184" t="s">
        <v>52</v>
      </c>
      <c r="E1184">
        <v>38</v>
      </c>
      <c r="F1184" t="s">
        <v>133</v>
      </c>
      <c r="G1184" t="s">
        <v>40</v>
      </c>
      <c r="H1184" t="s">
        <v>29</v>
      </c>
      <c r="I1184" t="s">
        <v>48</v>
      </c>
      <c r="J1184">
        <v>2</v>
      </c>
      <c r="K1184">
        <v>4</v>
      </c>
      <c r="L1184">
        <v>0</v>
      </c>
      <c r="M1184">
        <v>0</v>
      </c>
      <c r="N1184">
        <v>0</v>
      </c>
      <c r="O1184">
        <v>0</v>
      </c>
      <c r="P1184">
        <v>1</v>
      </c>
      <c r="Q1184">
        <v>0</v>
      </c>
      <c r="R1184">
        <v>2</v>
      </c>
      <c r="S1184">
        <v>1</v>
      </c>
      <c r="T1184">
        <v>0</v>
      </c>
      <c r="U1184">
        <v>0</v>
      </c>
      <c r="V1184">
        <v>0</v>
      </c>
      <c r="W1184">
        <v>6</v>
      </c>
      <c r="X1184">
        <v>760.38</v>
      </c>
      <c r="Y1184">
        <v>1198.97</v>
      </c>
      <c r="Z1184">
        <f>AVERAGEIFS(Table1[FinalElo], Table1[Country], Table1[[#This Row],[Country]])</f>
        <v>1039.8985714285714</v>
      </c>
      <c r="AA1184" cm="1">
        <f t="array" ref="AA1184">IF(COUNTIFS(Table1[Country],Table1[[#This Row],[Country]])=1,0, _xlfn.STDEV.S(IF(Table1[Country]=Table1[[#This Row],[Country]],Table1[FinalElo])))</f>
        <v>194.01778111336392</v>
      </c>
      <c r="AB1184">
        <f>IF(Table1[[#This Row],[CStd]]=0,0, (Table1[[#This Row],[FinalElo]]-Table1[[#This Row],[CAvg]]) / Table1[[#This Row],[CStd]])</f>
        <v>-1.4406853321616415</v>
      </c>
      <c r="AC1184" t="str">
        <f>IF(Table1[[#This Row],[CStd]]=0,"Normal", IF(ABS(Table1[[#This Row],[CZscore]])&gt;2,"Outlier","Normal"))</f>
        <v>Normal</v>
      </c>
    </row>
    <row r="1185" spans="1:29" x14ac:dyDescent="0.35">
      <c r="A1185" t="s">
        <v>791</v>
      </c>
      <c r="B1185">
        <v>58.7</v>
      </c>
      <c r="C1185">
        <v>173</v>
      </c>
      <c r="D1185" t="s">
        <v>414</v>
      </c>
      <c r="E1185">
        <v>19</v>
      </c>
      <c r="F1185" t="s">
        <v>792</v>
      </c>
      <c r="G1185" t="s">
        <v>34</v>
      </c>
      <c r="H1185" t="s">
        <v>29</v>
      </c>
      <c r="I1185" t="s">
        <v>58</v>
      </c>
      <c r="J1185">
        <v>1</v>
      </c>
      <c r="K1185">
        <v>1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2</v>
      </c>
      <c r="X1185">
        <v>977.69</v>
      </c>
      <c r="Y1185">
        <v>1128.01</v>
      </c>
      <c r="Z1185">
        <f>AVERAGEIFS(Table1[FinalElo], Table1[Country], Table1[[#This Row],[Country]])</f>
        <v>1049.6228571428571</v>
      </c>
      <c r="AA1185" cm="1">
        <f t="array" ref="AA1185">IF(COUNTIFS(Table1[Country],Table1[[#This Row],[Country]])=1,0, _xlfn.STDEV.S(IF(Table1[Country]=Table1[[#This Row],[Country]],Table1[FinalElo])))</f>
        <v>104.38751437381221</v>
      </c>
      <c r="AB1185">
        <f>IF(Table1[[#This Row],[CStd]]=0,0, (Table1[[#This Row],[FinalElo]]-Table1[[#This Row],[CAvg]]) / Table1[[#This Row],[CStd]])</f>
        <v>-0.68909445324337504</v>
      </c>
      <c r="AC1185" t="str">
        <f>IF(Table1[[#This Row],[CStd]]=0,"Normal", IF(ABS(Table1[[#This Row],[CZscore]])&gt;2,"Outlier","Normal"))</f>
        <v>Normal</v>
      </c>
    </row>
    <row r="1186" spans="1:29" x14ac:dyDescent="0.35">
      <c r="A1186" t="s">
        <v>789</v>
      </c>
      <c r="B1186">
        <v>60.1</v>
      </c>
      <c r="C1186">
        <v>165</v>
      </c>
      <c r="D1186" t="s">
        <v>60</v>
      </c>
      <c r="E1186">
        <v>30</v>
      </c>
      <c r="F1186" t="s">
        <v>790</v>
      </c>
      <c r="G1186" t="s">
        <v>40</v>
      </c>
      <c r="H1186" t="s">
        <v>29</v>
      </c>
      <c r="I1186" t="s">
        <v>58</v>
      </c>
      <c r="J1186">
        <v>0</v>
      </c>
      <c r="K1186">
        <v>1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1</v>
      </c>
      <c r="T1186">
        <v>0</v>
      </c>
      <c r="U1186">
        <v>0</v>
      </c>
      <c r="V1186">
        <v>0</v>
      </c>
      <c r="W1186">
        <v>1</v>
      </c>
      <c r="X1186">
        <v>900</v>
      </c>
      <c r="Y1186">
        <v>1000</v>
      </c>
      <c r="Z1186">
        <f>AVERAGEIFS(Table1[FinalElo], Table1[Country], Table1[[#This Row],[Country]])</f>
        <v>1034.681315789474</v>
      </c>
      <c r="AA1186" cm="1">
        <f t="array" ref="AA1186">IF(COUNTIFS(Table1[Country],Table1[[#This Row],[Country]])=1,0, _xlfn.STDEV.S(IF(Table1[Country]=Table1[[#This Row],[Country]],Table1[FinalElo])))</f>
        <v>152.902810204692</v>
      </c>
      <c r="AB1186">
        <f>IF(Table1[[#This Row],[CStd]]=0,0, (Table1[[#This Row],[FinalElo]]-Table1[[#This Row],[CAvg]]) / Table1[[#This Row],[CStd]])</f>
        <v>-0.88082956493196685</v>
      </c>
      <c r="AC1186" t="str">
        <f>IF(Table1[[#This Row],[CStd]]=0,"Normal", IF(ABS(Table1[[#This Row],[CZscore]])&gt;2,"Outlier","Normal"))</f>
        <v>Normal</v>
      </c>
    </row>
    <row r="1187" spans="1:29" x14ac:dyDescent="0.35">
      <c r="A1187" t="s">
        <v>787</v>
      </c>
      <c r="B1187">
        <v>52.16</v>
      </c>
      <c r="C1187">
        <v>170</v>
      </c>
      <c r="D1187" t="s">
        <v>135</v>
      </c>
      <c r="E1187">
        <v>28</v>
      </c>
      <c r="F1187" t="s">
        <v>788</v>
      </c>
      <c r="G1187" t="s">
        <v>34</v>
      </c>
      <c r="H1187" t="s">
        <v>29</v>
      </c>
      <c r="I1187" t="s">
        <v>36</v>
      </c>
      <c r="J1187">
        <v>1</v>
      </c>
      <c r="K1187">
        <v>1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1</v>
      </c>
      <c r="V1187">
        <v>0</v>
      </c>
      <c r="W1187">
        <v>2</v>
      </c>
      <c r="X1187">
        <v>1040.45</v>
      </c>
      <c r="Y1187">
        <v>1122.46</v>
      </c>
      <c r="Z1187">
        <f>AVERAGEIFS(Table1[FinalElo], Table1[Country], Table1[[#This Row],[Country]])</f>
        <v>1008.644</v>
      </c>
      <c r="AA1187" cm="1">
        <f t="array" ref="AA1187">IF(COUNTIFS(Table1[Country],Table1[[#This Row],[Country]])=1,0, _xlfn.STDEV.S(IF(Table1[Country]=Table1[[#This Row],[Country]],Table1[FinalElo])))</f>
        <v>73.31330002121031</v>
      </c>
      <c r="AB1187">
        <f>IF(Table1[[#This Row],[CStd]]=0,0, (Table1[[#This Row],[FinalElo]]-Table1[[#This Row],[CAvg]]) / Table1[[#This Row],[CStd]])</f>
        <v>0.43383669799065422</v>
      </c>
      <c r="AC1187" t="str">
        <f>IF(Table1[[#This Row],[CStd]]=0,"Normal", IF(ABS(Table1[[#This Row],[CZscore]])&gt;2,"Outlier","Normal"))</f>
        <v>Normal</v>
      </c>
    </row>
    <row r="1188" spans="1:29" x14ac:dyDescent="0.35">
      <c r="A1188" t="s">
        <v>786</v>
      </c>
      <c r="B1188">
        <v>52.16</v>
      </c>
      <c r="C1188">
        <v>168</v>
      </c>
      <c r="D1188" t="s">
        <v>71</v>
      </c>
      <c r="E1188">
        <v>25</v>
      </c>
      <c r="F1188" t="s">
        <v>110</v>
      </c>
      <c r="G1188" t="s">
        <v>34</v>
      </c>
      <c r="H1188" t="s">
        <v>29</v>
      </c>
      <c r="I1188" t="s">
        <v>36</v>
      </c>
      <c r="J1188">
        <v>2</v>
      </c>
      <c r="K1188">
        <v>1</v>
      </c>
      <c r="L1188">
        <v>1</v>
      </c>
      <c r="M1188">
        <v>1</v>
      </c>
      <c r="N1188">
        <v>0</v>
      </c>
      <c r="O1188">
        <v>0</v>
      </c>
      <c r="P1188">
        <v>0</v>
      </c>
      <c r="Q1188">
        <v>1</v>
      </c>
      <c r="R1188">
        <v>1</v>
      </c>
      <c r="S1188">
        <v>0</v>
      </c>
      <c r="T1188">
        <v>0</v>
      </c>
      <c r="U1188">
        <v>0</v>
      </c>
      <c r="V1188">
        <v>0</v>
      </c>
      <c r="W1188">
        <v>4</v>
      </c>
      <c r="X1188">
        <v>1150.3800000000001</v>
      </c>
      <c r="Y1188">
        <v>1150.3800000000001</v>
      </c>
      <c r="Z1188">
        <f>AVERAGEIFS(Table1[FinalElo], Table1[Country], Table1[[#This Row],[Country]])</f>
        <v>991.47826086956536</v>
      </c>
      <c r="AA1188" cm="1">
        <f t="array" ref="AA1188">IF(COUNTIFS(Table1[Country],Table1[[#This Row],[Country]])=1,0, _xlfn.STDEV.S(IF(Table1[Country]=Table1[[#This Row],[Country]],Table1[FinalElo])))</f>
        <v>164.61500422203164</v>
      </c>
      <c r="AB1188">
        <f>IF(Table1[[#This Row],[CStd]]=0,0, (Table1[[#This Row],[FinalElo]]-Table1[[#This Row],[CAvg]]) / Table1[[#This Row],[CStd]])</f>
        <v>0.96529316924300002</v>
      </c>
      <c r="AC1188" t="str">
        <f>IF(Table1[[#This Row],[CStd]]=0,"Normal", IF(ABS(Table1[[#This Row],[CZscore]])&gt;2,"Outlier","Normal"))</f>
        <v>Normal</v>
      </c>
    </row>
    <row r="1189" spans="1:29" x14ac:dyDescent="0.35">
      <c r="A1189" t="s">
        <v>784</v>
      </c>
      <c r="B1189">
        <v>65.77</v>
      </c>
      <c r="C1189">
        <v>185</v>
      </c>
      <c r="D1189" t="s">
        <v>26</v>
      </c>
      <c r="E1189">
        <v>22</v>
      </c>
      <c r="F1189" t="s">
        <v>785</v>
      </c>
      <c r="G1189" t="s">
        <v>34</v>
      </c>
      <c r="H1189" t="s">
        <v>29</v>
      </c>
      <c r="I1189" t="s">
        <v>48</v>
      </c>
      <c r="J1189">
        <v>1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1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1</v>
      </c>
      <c r="X1189">
        <v>1100</v>
      </c>
      <c r="Y1189">
        <v>1100</v>
      </c>
      <c r="Z1189">
        <f>AVERAGEIFS(Table1[FinalElo], Table1[Country], Table1[[#This Row],[Country]])</f>
        <v>979.07416666666666</v>
      </c>
      <c r="AA1189" cm="1">
        <f t="array" ref="AA1189">IF(COUNTIFS(Table1[Country],Table1[[#This Row],[Country]])=1,0, _xlfn.STDEV.S(IF(Table1[Country]=Table1[[#This Row],[Country]],Table1[FinalElo])))</f>
        <v>130.18126931728986</v>
      </c>
      <c r="AB1189">
        <f>IF(Table1[[#This Row],[CStd]]=0,0, (Table1[[#This Row],[FinalElo]]-Table1[[#This Row],[CAvg]]) / Table1[[#This Row],[CStd]])</f>
        <v>0.92890347411348162</v>
      </c>
      <c r="AC1189" t="str">
        <f>IF(Table1[[#This Row],[CStd]]=0,"Normal", IF(ABS(Table1[[#This Row],[CZscore]])&gt;2,"Outlier","Normal"))</f>
        <v>Normal</v>
      </c>
    </row>
    <row r="1190" spans="1:29" x14ac:dyDescent="0.35">
      <c r="A1190" t="s">
        <v>783</v>
      </c>
      <c r="B1190">
        <v>61.3</v>
      </c>
      <c r="C1190">
        <v>178</v>
      </c>
      <c r="D1190" t="s">
        <v>414</v>
      </c>
      <c r="E1190">
        <v>27</v>
      </c>
      <c r="F1190" t="s">
        <v>27</v>
      </c>
      <c r="G1190" t="s">
        <v>34</v>
      </c>
      <c r="H1190" t="s">
        <v>29</v>
      </c>
      <c r="I1190" t="s">
        <v>73</v>
      </c>
      <c r="J1190">
        <v>4</v>
      </c>
      <c r="K1190">
        <v>2</v>
      </c>
      <c r="L1190">
        <v>1</v>
      </c>
      <c r="M1190">
        <v>1</v>
      </c>
      <c r="N1190">
        <v>0</v>
      </c>
      <c r="O1190">
        <v>0</v>
      </c>
      <c r="P1190">
        <v>2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7</v>
      </c>
      <c r="X1190">
        <v>1201.3399999999999</v>
      </c>
      <c r="Y1190">
        <v>1201.3399999999999</v>
      </c>
      <c r="Z1190">
        <f>AVERAGEIFS(Table1[FinalElo], Table1[Country], Table1[[#This Row],[Country]])</f>
        <v>1049.6228571428571</v>
      </c>
      <c r="AA1190" cm="1">
        <f t="array" ref="AA1190">IF(COUNTIFS(Table1[Country],Table1[[#This Row],[Country]])=1,0, _xlfn.STDEV.S(IF(Table1[Country]=Table1[[#This Row],[Country]],Table1[FinalElo])))</f>
        <v>104.38751437381221</v>
      </c>
      <c r="AB1190">
        <f>IF(Table1[[#This Row],[CStd]]=0,0, (Table1[[#This Row],[FinalElo]]-Table1[[#This Row],[CAvg]]) / Table1[[#This Row],[CStd]])</f>
        <v>1.4534031561843972</v>
      </c>
      <c r="AC1190" t="str">
        <f>IF(Table1[[#This Row],[CStd]]=0,"Normal", IF(ABS(Table1[[#This Row],[CZscore]])&gt;2,"Outlier","Normal"))</f>
        <v>Normal</v>
      </c>
    </row>
    <row r="1191" spans="1:29" x14ac:dyDescent="0.35">
      <c r="A1191" t="s">
        <v>780</v>
      </c>
      <c r="B1191">
        <v>56.7</v>
      </c>
      <c r="C1191">
        <v>175</v>
      </c>
      <c r="D1191" t="s">
        <v>781</v>
      </c>
      <c r="E1191">
        <v>22</v>
      </c>
      <c r="F1191" t="s">
        <v>782</v>
      </c>
      <c r="G1191" t="s">
        <v>34</v>
      </c>
      <c r="H1191" t="s">
        <v>29</v>
      </c>
      <c r="I1191" t="s">
        <v>58</v>
      </c>
      <c r="J1191">
        <v>2</v>
      </c>
      <c r="K1191">
        <v>1</v>
      </c>
      <c r="L1191">
        <v>0</v>
      </c>
      <c r="M1191">
        <v>0</v>
      </c>
      <c r="N1191">
        <v>0</v>
      </c>
      <c r="O1191">
        <v>0</v>
      </c>
      <c r="P1191">
        <v>2</v>
      </c>
      <c r="Q1191">
        <v>0</v>
      </c>
      <c r="R1191">
        <v>0</v>
      </c>
      <c r="S1191">
        <v>0</v>
      </c>
      <c r="T1191">
        <v>0</v>
      </c>
      <c r="U1191">
        <v>1</v>
      </c>
      <c r="V1191">
        <v>0</v>
      </c>
      <c r="W1191">
        <v>3</v>
      </c>
      <c r="X1191">
        <v>1079.57</v>
      </c>
      <c r="Y1191">
        <v>1100</v>
      </c>
      <c r="Z1191">
        <f>AVERAGEIFS(Table1[FinalElo], Table1[Country], Table1[[#This Row],[Country]])</f>
        <v>1007.425</v>
      </c>
      <c r="AA1191" cm="1">
        <f t="array" ref="AA1191">IF(COUNTIFS(Table1[Country],Table1[[#This Row],[Country]])=1,0, _xlfn.STDEV.S(IF(Table1[Country]=Table1[[#This Row],[Country]],Table1[FinalElo])))</f>
        <v>102.02843745740692</v>
      </c>
      <c r="AB1191">
        <f>IF(Table1[[#This Row],[CStd]]=0,0, (Table1[[#This Row],[FinalElo]]-Table1[[#This Row],[CAvg]]) / Table1[[#This Row],[CStd]])</f>
        <v>0.70710678118654746</v>
      </c>
      <c r="AC1191" t="str">
        <f>IF(Table1[[#This Row],[CStd]]=0,"Normal", IF(ABS(Table1[[#This Row],[CZscore]])&gt;2,"Outlier","Normal"))</f>
        <v>Normal</v>
      </c>
    </row>
    <row r="1192" spans="1:29" x14ac:dyDescent="0.35">
      <c r="A1192" t="s">
        <v>778</v>
      </c>
      <c r="B1192">
        <v>61.23</v>
      </c>
      <c r="C1192">
        <v>173</v>
      </c>
      <c r="D1192" t="s">
        <v>38</v>
      </c>
      <c r="E1192">
        <v>24</v>
      </c>
      <c r="F1192" t="s">
        <v>779</v>
      </c>
      <c r="G1192" t="s">
        <v>34</v>
      </c>
      <c r="H1192" t="s">
        <v>29</v>
      </c>
      <c r="I1192" t="s">
        <v>73</v>
      </c>
      <c r="J1192">
        <v>7</v>
      </c>
      <c r="K1192">
        <v>1</v>
      </c>
      <c r="L1192">
        <v>0</v>
      </c>
      <c r="M1192">
        <v>0</v>
      </c>
      <c r="N1192">
        <v>0</v>
      </c>
      <c r="O1192">
        <v>0</v>
      </c>
      <c r="P1192">
        <v>5</v>
      </c>
      <c r="Q1192">
        <v>0</v>
      </c>
      <c r="R1192">
        <v>0</v>
      </c>
      <c r="S1192">
        <v>0</v>
      </c>
      <c r="T1192">
        <v>0</v>
      </c>
      <c r="U1192">
        <v>1</v>
      </c>
      <c r="V1192">
        <v>0</v>
      </c>
      <c r="W1192">
        <v>8</v>
      </c>
      <c r="X1192">
        <v>1186.47</v>
      </c>
      <c r="Y1192">
        <v>1316.52</v>
      </c>
      <c r="Z1192">
        <f>AVERAGEIFS(Table1[FinalElo], Table1[Country], Table1[[#This Row],[Country]])</f>
        <v>1057.4495402298851</v>
      </c>
      <c r="AA1192" cm="1">
        <f t="array" ref="AA1192">IF(COUNTIFS(Table1[Country],Table1[[#This Row],[Country]])=1,0, _xlfn.STDEV.S(IF(Table1[Country]=Table1[[#This Row],[Country]],Table1[FinalElo])))</f>
        <v>156.98667602259493</v>
      </c>
      <c r="AB1192">
        <f>IF(Table1[[#This Row],[CStd]]=0,0, (Table1[[#This Row],[FinalElo]]-Table1[[#This Row],[CAvg]]) / Table1[[#This Row],[CStd]])</f>
        <v>0.82185611568427086</v>
      </c>
      <c r="AC1192" t="str">
        <f>IF(Table1[[#This Row],[CStd]]=0,"Normal", IF(ABS(Table1[[#This Row],[CZscore]])&gt;2,"Outlier","Normal"))</f>
        <v>Normal</v>
      </c>
    </row>
    <row r="1193" spans="1:29" x14ac:dyDescent="0.35">
      <c r="A1193" t="s">
        <v>775</v>
      </c>
      <c r="B1193">
        <v>67.400000000000006</v>
      </c>
      <c r="C1193">
        <v>167</v>
      </c>
      <c r="D1193" t="s">
        <v>776</v>
      </c>
      <c r="E1193">
        <v>26</v>
      </c>
      <c r="F1193" t="s">
        <v>777</v>
      </c>
      <c r="G1193" t="s">
        <v>40</v>
      </c>
      <c r="H1193" t="s">
        <v>29</v>
      </c>
      <c r="I1193" t="s">
        <v>48</v>
      </c>
      <c r="J1193">
        <v>1</v>
      </c>
      <c r="K1193">
        <v>0</v>
      </c>
      <c r="L1193">
        <v>0</v>
      </c>
      <c r="M1193">
        <v>0</v>
      </c>
      <c r="N1193">
        <v>1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1</v>
      </c>
      <c r="X1193">
        <v>1135.75</v>
      </c>
      <c r="Y1193">
        <v>1135.75</v>
      </c>
      <c r="Z1193">
        <f>AVERAGEIFS(Table1[FinalElo], Table1[Country], Table1[[#This Row],[Country]])</f>
        <v>1154.83</v>
      </c>
      <c r="AA1193" cm="1">
        <f t="array" ref="AA1193">IF(COUNTIFS(Table1[Country],Table1[[#This Row],[Country]])=1,0, _xlfn.STDEV.S(IF(Table1[Country]=Table1[[#This Row],[Country]],Table1[FinalElo])))</f>
        <v>26.983194770078711</v>
      </c>
      <c r="AB1193">
        <f>IF(Table1[[#This Row],[CStd]]=0,0, (Table1[[#This Row],[FinalElo]]-Table1[[#This Row],[CAvg]]) / Table1[[#This Row],[CStd]])</f>
        <v>-0.70710678118654335</v>
      </c>
      <c r="AC1193" t="str">
        <f>IF(Table1[[#This Row],[CStd]]=0,"Normal", IF(ABS(Table1[[#This Row],[CZscore]])&gt;2,"Outlier","Normal"))</f>
        <v>Normal</v>
      </c>
    </row>
    <row r="1194" spans="1:29" x14ac:dyDescent="0.35">
      <c r="A1194" t="s">
        <v>773</v>
      </c>
      <c r="B1194">
        <v>77</v>
      </c>
      <c r="C1194">
        <v>184</v>
      </c>
      <c r="D1194" t="s">
        <v>774</v>
      </c>
      <c r="E1194">
        <v>26</v>
      </c>
      <c r="F1194" t="s">
        <v>181</v>
      </c>
      <c r="G1194" t="s">
        <v>34</v>
      </c>
      <c r="H1194" t="s">
        <v>29</v>
      </c>
      <c r="I1194" t="s">
        <v>30</v>
      </c>
      <c r="J1194">
        <v>1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1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1</v>
      </c>
      <c r="X1194">
        <v>1079.57</v>
      </c>
      <c r="Y1194">
        <v>1079.57</v>
      </c>
      <c r="Z1194">
        <f>AVERAGEIFS(Table1[FinalElo], Table1[Country], Table1[[#This Row],[Country]])</f>
        <v>1079.57</v>
      </c>
      <c r="AA1194" cm="1">
        <f t="array" ref="AA1194">IF(COUNTIFS(Table1[Country],Table1[[#This Row],[Country]])=1,0, _xlfn.STDEV.S(IF(Table1[Country]=Table1[[#This Row],[Country]],Table1[FinalElo])))</f>
        <v>0</v>
      </c>
      <c r="AB1194">
        <f>IF(Table1[[#This Row],[CStd]]=0,0, (Table1[[#This Row],[FinalElo]]-Table1[[#This Row],[CAvg]]) / Table1[[#This Row],[CStd]])</f>
        <v>0</v>
      </c>
      <c r="AC1194" t="str">
        <f>IF(Table1[[#This Row],[CStd]]=0,"Normal", IF(ABS(Table1[[#This Row],[CZscore]])&gt;2,"Outlier","Normal"))</f>
        <v>Normal</v>
      </c>
    </row>
    <row r="1195" spans="1:29" x14ac:dyDescent="0.35">
      <c r="A1195" t="s">
        <v>772</v>
      </c>
      <c r="B1195">
        <v>61.2</v>
      </c>
      <c r="C1195">
        <v>163</v>
      </c>
      <c r="D1195" t="s">
        <v>150</v>
      </c>
      <c r="E1195">
        <v>34</v>
      </c>
      <c r="F1195" t="s">
        <v>90</v>
      </c>
      <c r="G1195" t="s">
        <v>40</v>
      </c>
      <c r="H1195" t="s">
        <v>29</v>
      </c>
      <c r="I1195" t="s">
        <v>58</v>
      </c>
      <c r="J1195">
        <v>7</v>
      </c>
      <c r="K1195">
        <v>4</v>
      </c>
      <c r="L1195">
        <v>0</v>
      </c>
      <c r="M1195">
        <v>0</v>
      </c>
      <c r="N1195">
        <v>6</v>
      </c>
      <c r="O1195">
        <v>0</v>
      </c>
      <c r="P1195">
        <v>0</v>
      </c>
      <c r="Q1195">
        <v>0</v>
      </c>
      <c r="R1195">
        <v>2</v>
      </c>
      <c r="S1195">
        <v>0</v>
      </c>
      <c r="T1195">
        <v>0</v>
      </c>
      <c r="U1195">
        <v>1</v>
      </c>
      <c r="V1195">
        <v>0</v>
      </c>
      <c r="W1195">
        <v>11</v>
      </c>
      <c r="X1195">
        <v>1105.04</v>
      </c>
      <c r="Y1195">
        <v>1316.89</v>
      </c>
      <c r="Z1195">
        <f>AVERAGEIFS(Table1[FinalElo], Table1[Country], Table1[[#This Row],[Country]])</f>
        <v>983.37272727272716</v>
      </c>
      <c r="AA1195" cm="1">
        <f t="array" ref="AA1195">IF(COUNTIFS(Table1[Country],Table1[[#This Row],[Country]])=1,0, _xlfn.STDEV.S(IF(Table1[Country]=Table1[[#This Row],[Country]],Table1[FinalElo])))</f>
        <v>121.78204088377996</v>
      </c>
      <c r="AB1195">
        <f>IF(Table1[[#This Row],[CStd]]=0,0, (Table1[[#This Row],[FinalElo]]-Table1[[#This Row],[CAvg]]) / Table1[[#This Row],[CStd]])</f>
        <v>0.99905759374966729</v>
      </c>
      <c r="AC1195" t="str">
        <f>IF(Table1[[#This Row],[CStd]]=0,"Normal", IF(ABS(Table1[[#This Row],[CZscore]])&gt;2,"Outlier","Normal"))</f>
        <v>Normal</v>
      </c>
    </row>
    <row r="1196" spans="1:29" x14ac:dyDescent="0.35">
      <c r="A1196" t="s">
        <v>149</v>
      </c>
      <c r="B1196">
        <v>61.2</v>
      </c>
      <c r="C1196">
        <v>172</v>
      </c>
      <c r="D1196" t="s">
        <v>150</v>
      </c>
      <c r="E1196">
        <v>31</v>
      </c>
      <c r="F1196" t="s">
        <v>151</v>
      </c>
      <c r="G1196" t="s">
        <v>40</v>
      </c>
      <c r="H1196" t="s">
        <v>29</v>
      </c>
      <c r="I1196" t="s">
        <v>58</v>
      </c>
      <c r="J1196">
        <v>0</v>
      </c>
      <c r="K1196">
        <v>1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1</v>
      </c>
      <c r="V1196">
        <v>0</v>
      </c>
      <c r="W1196">
        <v>1</v>
      </c>
      <c r="X1196">
        <v>855.19</v>
      </c>
      <c r="Y1196">
        <v>1000</v>
      </c>
      <c r="Z1196">
        <f>AVERAGEIFS(Table1[FinalElo], Table1[Country], Table1[[#This Row],[Country]])</f>
        <v>983.37272727272716</v>
      </c>
      <c r="AA1196" cm="1">
        <f t="array" ref="AA1196">IF(COUNTIFS(Table1[Country],Table1[[#This Row],[Country]])=1,0, _xlfn.STDEV.S(IF(Table1[Country]=Table1[[#This Row],[Country]],Table1[FinalElo])))</f>
        <v>121.78204088377996</v>
      </c>
      <c r="AB1196">
        <f>IF(Table1[[#This Row],[CStd]]=0,0, (Table1[[#This Row],[FinalElo]]-Table1[[#This Row],[CAvg]]) / Table1[[#This Row],[CStd]])</f>
        <v>-1.0525585410007663</v>
      </c>
      <c r="AC1196" t="str">
        <f>IF(Table1[[#This Row],[CStd]]=0,"Normal", IF(ABS(Table1[[#This Row],[CZscore]])&gt;2,"Outlier","Normal"))</f>
        <v>Normal</v>
      </c>
    </row>
    <row r="1197" spans="1:29" x14ac:dyDescent="0.35">
      <c r="A1197" t="s">
        <v>768</v>
      </c>
      <c r="B1197">
        <v>59.874144000000001</v>
      </c>
      <c r="C1197">
        <v>171</v>
      </c>
      <c r="D1197" t="s">
        <v>82</v>
      </c>
      <c r="E1197">
        <v>29</v>
      </c>
      <c r="F1197" t="s">
        <v>769</v>
      </c>
      <c r="G1197" t="s">
        <v>34</v>
      </c>
      <c r="H1197" t="s">
        <v>29</v>
      </c>
      <c r="I1197" t="s">
        <v>58</v>
      </c>
      <c r="J1197">
        <v>2</v>
      </c>
      <c r="K1197">
        <v>2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1</v>
      </c>
      <c r="V1197">
        <v>0</v>
      </c>
      <c r="W1197">
        <v>4</v>
      </c>
      <c r="X1197">
        <v>1016.66</v>
      </c>
      <c r="Y1197">
        <v>1162.18</v>
      </c>
      <c r="Z1197">
        <f>AVERAGEIFS(Table1[FinalElo], Table1[Country], Table1[[#This Row],[Country]])</f>
        <v>1012.5275373134326</v>
      </c>
      <c r="AA1197" cm="1">
        <f t="array" ref="AA1197">IF(COUNTIFS(Table1[Country],Table1[[#This Row],[Country]])=1,0, _xlfn.STDEV.S(IF(Table1[Country]=Table1[[#This Row],[Country]],Table1[FinalElo])))</f>
        <v>135.61062237674741</v>
      </c>
      <c r="AB1197">
        <f>IF(Table1[[#This Row],[CStd]]=0,0, (Table1[[#This Row],[FinalElo]]-Table1[[#This Row],[CAvg]]) / Table1[[#This Row],[CStd]])</f>
        <v>3.0473001407564714E-2</v>
      </c>
      <c r="AC1197" t="str">
        <f>IF(Table1[[#This Row],[CStd]]=0,"Normal", IF(ABS(Table1[[#This Row],[CZscore]])&gt;2,"Outlier","Normal"))</f>
        <v>Normal</v>
      </c>
    </row>
    <row r="1198" spans="1:29" x14ac:dyDescent="0.35">
      <c r="A1198" t="s">
        <v>766</v>
      </c>
      <c r="B1198">
        <v>63.1</v>
      </c>
      <c r="C1198">
        <v>168</v>
      </c>
      <c r="D1198" t="s">
        <v>396</v>
      </c>
      <c r="E1198">
        <v>23</v>
      </c>
      <c r="F1198" t="s">
        <v>767</v>
      </c>
      <c r="G1198" t="s">
        <v>34</v>
      </c>
      <c r="H1198" t="s">
        <v>29</v>
      </c>
      <c r="I1198" t="s">
        <v>73</v>
      </c>
      <c r="J1198">
        <v>2</v>
      </c>
      <c r="K1198">
        <v>3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1</v>
      </c>
      <c r="S1198">
        <v>0</v>
      </c>
      <c r="T1198">
        <v>0</v>
      </c>
      <c r="U1198">
        <v>2</v>
      </c>
      <c r="V1198">
        <v>0</v>
      </c>
      <c r="W1198">
        <v>5</v>
      </c>
      <c r="X1198">
        <v>932.46</v>
      </c>
      <c r="Y1198">
        <v>1159.6300000000001</v>
      </c>
      <c r="Z1198">
        <f>AVERAGEIFS(Table1[FinalElo], Table1[Country], Table1[[#This Row],[Country]])</f>
        <v>998.29391304347814</v>
      </c>
      <c r="AA1198" cm="1">
        <f t="array" ref="AA1198">IF(COUNTIFS(Table1[Country],Table1[[#This Row],[Country]])=1,0, _xlfn.STDEV.S(IF(Table1[Country]=Table1[[#This Row],[Country]],Table1[FinalElo])))</f>
        <v>125.31531828802386</v>
      </c>
      <c r="AB1198">
        <f>IF(Table1[[#This Row],[CStd]]=0,0, (Table1[[#This Row],[FinalElo]]-Table1[[#This Row],[CAvg]]) / Table1[[#This Row],[CStd]])</f>
        <v>-0.52534609449872594</v>
      </c>
      <c r="AC1198" t="str">
        <f>IF(Table1[[#This Row],[CStd]]=0,"Normal", IF(ABS(Table1[[#This Row],[CZscore]])&gt;2,"Outlier","Normal"))</f>
        <v>Normal</v>
      </c>
    </row>
    <row r="1199" spans="1:29" x14ac:dyDescent="0.35">
      <c r="A1199" t="s">
        <v>764</v>
      </c>
      <c r="B1199">
        <v>56.7</v>
      </c>
      <c r="C1199">
        <v>176</v>
      </c>
      <c r="D1199" t="s">
        <v>38</v>
      </c>
      <c r="E1199">
        <v>22</v>
      </c>
      <c r="F1199" t="s">
        <v>765</v>
      </c>
      <c r="G1199" t="s">
        <v>34</v>
      </c>
      <c r="H1199" t="s">
        <v>29</v>
      </c>
      <c r="I1199" t="s">
        <v>58</v>
      </c>
      <c r="J1199">
        <v>2</v>
      </c>
      <c r="K1199">
        <v>0</v>
      </c>
      <c r="L1199">
        <v>0</v>
      </c>
      <c r="M1199">
        <v>1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2</v>
      </c>
      <c r="X1199">
        <v>1191.4100000000001</v>
      </c>
      <c r="Y1199">
        <v>1191.4100000000001</v>
      </c>
      <c r="Z1199">
        <f>AVERAGEIFS(Table1[FinalElo], Table1[Country], Table1[[#This Row],[Country]])</f>
        <v>1057.4495402298851</v>
      </c>
      <c r="AA1199" cm="1">
        <f t="array" ref="AA1199">IF(COUNTIFS(Table1[Country],Table1[[#This Row],[Country]])=1,0, _xlfn.STDEV.S(IF(Table1[Country]=Table1[[#This Row],[Country]],Table1[FinalElo])))</f>
        <v>156.98667602259493</v>
      </c>
      <c r="AB1199">
        <f>IF(Table1[[#This Row],[CStd]]=0,0, (Table1[[#This Row],[FinalElo]]-Table1[[#This Row],[CAvg]]) / Table1[[#This Row],[CStd]])</f>
        <v>0.85332375437285013</v>
      </c>
      <c r="AC1199" t="str">
        <f>IF(Table1[[#This Row],[CStd]]=0,"Normal", IF(ABS(Table1[[#This Row],[CZscore]])&gt;2,"Outlier","Normal"))</f>
        <v>Normal</v>
      </c>
    </row>
    <row r="1200" spans="1:29" x14ac:dyDescent="0.35">
      <c r="A1200" t="s">
        <v>762</v>
      </c>
      <c r="B1200">
        <v>56.7</v>
      </c>
      <c r="C1200">
        <v>170</v>
      </c>
      <c r="D1200" t="s">
        <v>150</v>
      </c>
      <c r="E1200">
        <v>37</v>
      </c>
      <c r="F1200" t="s">
        <v>763</v>
      </c>
      <c r="G1200" t="s">
        <v>40</v>
      </c>
      <c r="H1200" t="s">
        <v>29</v>
      </c>
      <c r="I1200" t="s">
        <v>58</v>
      </c>
      <c r="J1200">
        <v>2</v>
      </c>
      <c r="K1200">
        <v>4</v>
      </c>
      <c r="L1200">
        <v>0</v>
      </c>
      <c r="M1200">
        <v>1</v>
      </c>
      <c r="N1200">
        <v>0</v>
      </c>
      <c r="O1200">
        <v>0</v>
      </c>
      <c r="P1200">
        <v>0</v>
      </c>
      <c r="Q1200">
        <v>0</v>
      </c>
      <c r="R1200">
        <v>2</v>
      </c>
      <c r="S1200">
        <v>1</v>
      </c>
      <c r="T1200">
        <v>0</v>
      </c>
      <c r="U1200">
        <v>0</v>
      </c>
      <c r="V1200">
        <v>0</v>
      </c>
      <c r="W1200">
        <v>6</v>
      </c>
      <c r="X1200">
        <v>775.22</v>
      </c>
      <c r="Y1200">
        <v>1071.18</v>
      </c>
      <c r="Z1200">
        <f>AVERAGEIFS(Table1[FinalElo], Table1[Country], Table1[[#This Row],[Country]])</f>
        <v>983.37272727272716</v>
      </c>
      <c r="AA1200" cm="1">
        <f t="array" ref="AA1200">IF(COUNTIFS(Table1[Country],Table1[[#This Row],[Country]])=1,0, _xlfn.STDEV.S(IF(Table1[Country]=Table1[[#This Row],[Country]],Table1[FinalElo])))</f>
        <v>121.78204088377996</v>
      </c>
      <c r="AB1200">
        <f>IF(Table1[[#This Row],[CStd]]=0,0, (Table1[[#This Row],[FinalElo]]-Table1[[#This Row],[CAvg]]) / Table1[[#This Row],[CStd]])</f>
        <v>-1.7092235091656345</v>
      </c>
      <c r="AC1200" t="str">
        <f>IF(Table1[[#This Row],[CStd]]=0,"Normal", IF(ABS(Table1[[#This Row],[CZscore]])&gt;2,"Outlier","Normal"))</f>
        <v>Normal</v>
      </c>
    </row>
    <row r="1201" spans="1:29" x14ac:dyDescent="0.35">
      <c r="A1201" t="s">
        <v>761</v>
      </c>
      <c r="B1201">
        <v>70.3</v>
      </c>
      <c r="C1201">
        <v>174</v>
      </c>
      <c r="D1201" t="s">
        <v>60</v>
      </c>
      <c r="E1201">
        <v>41</v>
      </c>
      <c r="F1201" t="s">
        <v>78</v>
      </c>
      <c r="G1201" t="s">
        <v>40</v>
      </c>
      <c r="H1201" t="s">
        <v>29</v>
      </c>
      <c r="I1201" t="s">
        <v>48</v>
      </c>
      <c r="J1201">
        <v>9</v>
      </c>
      <c r="K1201">
        <v>8</v>
      </c>
      <c r="L1201">
        <v>0</v>
      </c>
      <c r="M1201">
        <v>2</v>
      </c>
      <c r="N1201">
        <v>3</v>
      </c>
      <c r="O1201">
        <v>1</v>
      </c>
      <c r="P1201">
        <v>1</v>
      </c>
      <c r="Q1201">
        <v>1</v>
      </c>
      <c r="R1201">
        <v>3</v>
      </c>
      <c r="S1201">
        <v>1</v>
      </c>
      <c r="T1201">
        <v>0</v>
      </c>
      <c r="U1201">
        <v>2</v>
      </c>
      <c r="V1201">
        <v>0</v>
      </c>
      <c r="W1201">
        <v>17</v>
      </c>
      <c r="X1201">
        <v>1090.43</v>
      </c>
      <c r="Y1201">
        <v>1168.2</v>
      </c>
      <c r="Z1201">
        <f>AVERAGEIFS(Table1[FinalElo], Table1[Country], Table1[[#This Row],[Country]])</f>
        <v>1034.681315789474</v>
      </c>
      <c r="AA1201" cm="1">
        <f t="array" ref="AA1201">IF(COUNTIFS(Table1[Country],Table1[[#This Row],[Country]])=1,0, _xlfn.STDEV.S(IF(Table1[Country]=Table1[[#This Row],[Country]],Table1[FinalElo])))</f>
        <v>152.902810204692</v>
      </c>
      <c r="AB1201">
        <f>IF(Table1[[#This Row],[CStd]]=0,0, (Table1[[#This Row],[FinalElo]]-Table1[[#This Row],[CAvg]]) / Table1[[#This Row],[CStd]])</f>
        <v>0.36460209028136875</v>
      </c>
      <c r="AC1201" t="str">
        <f>IF(Table1[[#This Row],[CStd]]=0,"Normal", IF(ABS(Table1[[#This Row],[CZscore]])&gt;2,"Outlier","Normal"))</f>
        <v>Normal</v>
      </c>
    </row>
    <row r="1202" spans="1:29" x14ac:dyDescent="0.35">
      <c r="A1202" t="s">
        <v>760</v>
      </c>
      <c r="B1202">
        <v>70.31</v>
      </c>
      <c r="C1202">
        <v>180</v>
      </c>
      <c r="D1202" t="s">
        <v>32</v>
      </c>
      <c r="E1202">
        <v>27</v>
      </c>
      <c r="F1202" t="s">
        <v>33</v>
      </c>
      <c r="G1202" t="s">
        <v>40</v>
      </c>
      <c r="H1202" t="s">
        <v>29</v>
      </c>
      <c r="I1202" t="s">
        <v>30</v>
      </c>
      <c r="J1202">
        <v>0</v>
      </c>
      <c r="K1202">
        <v>1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1</v>
      </c>
      <c r="X1202">
        <v>900</v>
      </c>
      <c r="Y1202">
        <v>1000</v>
      </c>
      <c r="Z1202">
        <f>AVERAGEIFS(Table1[FinalElo], Table1[Country], Table1[[#This Row],[Country]])</f>
        <v>1025.3786885245902</v>
      </c>
      <c r="AA1202" cm="1">
        <f t="array" ref="AA1202">IF(COUNTIFS(Table1[Country],Table1[[#This Row],[Country]])=1,0, _xlfn.STDEV.S(IF(Table1[Country]=Table1[[#This Row],[Country]],Table1[FinalElo])))</f>
        <v>144.71595558743479</v>
      </c>
      <c r="AB1202">
        <f>IF(Table1[[#This Row],[CStd]]=0,0, (Table1[[#This Row],[FinalElo]]-Table1[[#This Row],[CAvg]]) / Table1[[#This Row],[CStd]])</f>
        <v>-0.86637778132791055</v>
      </c>
      <c r="AC1202" t="str">
        <f>IF(Table1[[#This Row],[CStd]]=0,"Normal", IF(ABS(Table1[[#This Row],[CZscore]])&gt;2,"Outlier","Normal"))</f>
        <v>Normal</v>
      </c>
    </row>
    <row r="1203" spans="1:29" x14ac:dyDescent="0.35">
      <c r="A1203" t="s">
        <v>759</v>
      </c>
      <c r="B1203">
        <v>76.599999999999994</v>
      </c>
      <c r="C1203">
        <v>186</v>
      </c>
      <c r="D1203" t="s">
        <v>38</v>
      </c>
      <c r="E1203">
        <v>25</v>
      </c>
      <c r="F1203" t="s">
        <v>252</v>
      </c>
      <c r="G1203" t="s">
        <v>34</v>
      </c>
      <c r="H1203" t="s">
        <v>29</v>
      </c>
      <c r="I1203" t="s">
        <v>30</v>
      </c>
      <c r="J1203">
        <v>1</v>
      </c>
      <c r="K1203">
        <v>1</v>
      </c>
      <c r="L1203">
        <v>0</v>
      </c>
      <c r="M1203">
        <v>1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1</v>
      </c>
      <c r="V1203">
        <v>0</v>
      </c>
      <c r="W1203">
        <v>2</v>
      </c>
      <c r="X1203">
        <v>956.55</v>
      </c>
      <c r="Y1203">
        <v>1100</v>
      </c>
      <c r="Z1203">
        <f>AVERAGEIFS(Table1[FinalElo], Table1[Country], Table1[[#This Row],[Country]])</f>
        <v>1057.4495402298851</v>
      </c>
      <c r="AA1203" cm="1">
        <f t="array" ref="AA1203">IF(COUNTIFS(Table1[Country],Table1[[#This Row],[Country]])=1,0, _xlfn.STDEV.S(IF(Table1[Country]=Table1[[#This Row],[Country]],Table1[FinalElo])))</f>
        <v>156.98667602259493</v>
      </c>
      <c r="AB1203">
        <f>IF(Table1[[#This Row],[CStd]]=0,0, (Table1[[#This Row],[FinalElo]]-Table1[[#This Row],[CAvg]]) / Table1[[#This Row],[CStd]])</f>
        <v>-0.64272677647727738</v>
      </c>
      <c r="AC1203" t="str">
        <f>IF(Table1[[#This Row],[CStd]]=0,"Normal", IF(ABS(Table1[[#This Row],[CZscore]])&gt;2,"Outlier","Normal"))</f>
        <v>Normal</v>
      </c>
    </row>
    <row r="1204" spans="1:29" x14ac:dyDescent="0.35">
      <c r="A1204" t="s">
        <v>758</v>
      </c>
      <c r="B1204">
        <v>76.5</v>
      </c>
      <c r="C1204">
        <v>170</v>
      </c>
      <c r="D1204" t="s">
        <v>60</v>
      </c>
      <c r="E1204">
        <v>41</v>
      </c>
      <c r="F1204" t="s">
        <v>78</v>
      </c>
      <c r="G1204" t="s">
        <v>40</v>
      </c>
      <c r="H1204" t="s">
        <v>29</v>
      </c>
      <c r="I1204" t="s">
        <v>30</v>
      </c>
      <c r="J1204">
        <v>13</v>
      </c>
      <c r="K1204">
        <v>12</v>
      </c>
      <c r="L1204">
        <v>0</v>
      </c>
      <c r="M1204">
        <v>1</v>
      </c>
      <c r="N1204">
        <v>0</v>
      </c>
      <c r="O1204">
        <v>0</v>
      </c>
      <c r="P1204">
        <v>10</v>
      </c>
      <c r="Q1204">
        <v>0</v>
      </c>
      <c r="R1204">
        <v>1</v>
      </c>
      <c r="S1204">
        <v>4</v>
      </c>
      <c r="T1204">
        <v>0</v>
      </c>
      <c r="U1204">
        <v>3</v>
      </c>
      <c r="V1204">
        <v>2</v>
      </c>
      <c r="W1204">
        <v>25</v>
      </c>
      <c r="X1204">
        <v>919.08</v>
      </c>
      <c r="Y1204">
        <v>1438.57</v>
      </c>
      <c r="Z1204">
        <f>AVERAGEIFS(Table1[FinalElo], Table1[Country], Table1[[#This Row],[Country]])</f>
        <v>1034.681315789474</v>
      </c>
      <c r="AA1204" cm="1">
        <f t="array" ref="AA1204">IF(COUNTIFS(Table1[Country],Table1[[#This Row],[Country]])=1,0, _xlfn.STDEV.S(IF(Table1[Country]=Table1[[#This Row],[Country]],Table1[FinalElo])))</f>
        <v>152.902810204692</v>
      </c>
      <c r="AB1204">
        <f>IF(Table1[[#This Row],[CStd]]=0,0, (Table1[[#This Row],[FinalElo]]-Table1[[#This Row],[CAvg]]) / Table1[[#This Row],[CStd]])</f>
        <v>-0.75604441563054114</v>
      </c>
      <c r="AC1204" t="str">
        <f>IF(Table1[[#This Row],[CStd]]=0,"Normal", IF(ABS(Table1[[#This Row],[CZscore]])&gt;2,"Outlier","Normal"))</f>
        <v>Normal</v>
      </c>
    </row>
    <row r="1205" spans="1:29" x14ac:dyDescent="0.35">
      <c r="A1205" t="s">
        <v>756</v>
      </c>
      <c r="B1205">
        <v>76.5</v>
      </c>
      <c r="C1205">
        <v>183</v>
      </c>
      <c r="D1205" t="s">
        <v>32</v>
      </c>
      <c r="E1205">
        <v>36</v>
      </c>
      <c r="F1205" t="s">
        <v>757</v>
      </c>
      <c r="G1205" t="s">
        <v>40</v>
      </c>
      <c r="H1205" t="s">
        <v>29</v>
      </c>
      <c r="I1205" t="s">
        <v>30</v>
      </c>
      <c r="J1205">
        <v>2</v>
      </c>
      <c r="K1205">
        <v>2</v>
      </c>
      <c r="L1205">
        <v>0</v>
      </c>
      <c r="M1205">
        <v>1</v>
      </c>
      <c r="N1205">
        <v>0</v>
      </c>
      <c r="O1205">
        <v>0</v>
      </c>
      <c r="P1205">
        <v>1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4</v>
      </c>
      <c r="X1205">
        <v>1072.56</v>
      </c>
      <c r="Y1205">
        <v>1072.56</v>
      </c>
      <c r="Z1205">
        <f>AVERAGEIFS(Table1[FinalElo], Table1[Country], Table1[[#This Row],[Country]])</f>
        <v>1025.3786885245902</v>
      </c>
      <c r="AA1205" cm="1">
        <f t="array" ref="AA1205">IF(COUNTIFS(Table1[Country],Table1[[#This Row],[Country]])=1,0, _xlfn.STDEV.S(IF(Table1[Country]=Table1[[#This Row],[Country]],Table1[FinalElo])))</f>
        <v>144.71595558743479</v>
      </c>
      <c r="AB1205">
        <f>IF(Table1[[#This Row],[CStd]]=0,0, (Table1[[#This Row],[FinalElo]]-Table1[[#This Row],[CAvg]]) / Table1[[#This Row],[CStd]])</f>
        <v>0.32602701812588769</v>
      </c>
      <c r="AC1205" t="str">
        <f>IF(Table1[[#This Row],[CStd]]=0,"Normal", IF(ABS(Table1[[#This Row],[CZscore]])&gt;2,"Outlier","Normal"))</f>
        <v>Normal</v>
      </c>
    </row>
    <row r="1206" spans="1:29" x14ac:dyDescent="0.35">
      <c r="A1206" t="s">
        <v>753</v>
      </c>
      <c r="B1206">
        <v>60.5</v>
      </c>
      <c r="C1206">
        <v>175</v>
      </c>
      <c r="D1206" t="s">
        <v>754</v>
      </c>
      <c r="E1206">
        <v>29</v>
      </c>
      <c r="F1206" t="s">
        <v>755</v>
      </c>
      <c r="G1206" t="s">
        <v>40</v>
      </c>
      <c r="H1206" t="s">
        <v>29</v>
      </c>
      <c r="I1206" t="s">
        <v>58</v>
      </c>
      <c r="J1206">
        <v>1</v>
      </c>
      <c r="K1206">
        <v>0</v>
      </c>
      <c r="L1206">
        <v>0</v>
      </c>
      <c r="M1206">
        <v>1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1</v>
      </c>
      <c r="X1206">
        <v>1132.8800000000001</v>
      </c>
      <c r="Y1206">
        <v>1132.8800000000001</v>
      </c>
      <c r="Z1206">
        <f>AVERAGEIFS(Table1[FinalElo], Table1[Country], Table1[[#This Row],[Country]])</f>
        <v>1132.8800000000001</v>
      </c>
      <c r="AA1206" cm="1">
        <f t="array" ref="AA1206">IF(COUNTIFS(Table1[Country],Table1[[#This Row],[Country]])=1,0, _xlfn.STDEV.S(IF(Table1[Country]=Table1[[#This Row],[Country]],Table1[FinalElo])))</f>
        <v>0</v>
      </c>
      <c r="AB1206">
        <f>IF(Table1[[#This Row],[CStd]]=0,0, (Table1[[#This Row],[FinalElo]]-Table1[[#This Row],[CAvg]]) / Table1[[#This Row],[CStd]])</f>
        <v>0</v>
      </c>
      <c r="AC1206" t="str">
        <f>IF(Table1[[#This Row],[CStd]]=0,"Normal", IF(ABS(Table1[[#This Row],[CZscore]])&gt;2,"Outlier","Normal"))</f>
        <v>Normal</v>
      </c>
    </row>
    <row r="1207" spans="1:29" x14ac:dyDescent="0.35">
      <c r="A1207" t="s">
        <v>751</v>
      </c>
      <c r="B1207">
        <v>76</v>
      </c>
      <c r="C1207">
        <v>178</v>
      </c>
      <c r="D1207" t="s">
        <v>52</v>
      </c>
      <c r="E1207">
        <v>38</v>
      </c>
      <c r="F1207" t="s">
        <v>752</v>
      </c>
      <c r="G1207" t="s">
        <v>34</v>
      </c>
      <c r="H1207" t="s">
        <v>29</v>
      </c>
      <c r="I1207" t="s">
        <v>30</v>
      </c>
      <c r="J1207">
        <v>1</v>
      </c>
      <c r="K1207">
        <v>4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3</v>
      </c>
      <c r="V1207">
        <v>1</v>
      </c>
      <c r="W1207">
        <v>5</v>
      </c>
      <c r="X1207">
        <v>772.55</v>
      </c>
      <c r="Y1207">
        <v>1000</v>
      </c>
      <c r="Z1207">
        <f>AVERAGEIFS(Table1[FinalElo], Table1[Country], Table1[[#This Row],[Country]])</f>
        <v>1039.8985714285714</v>
      </c>
      <c r="AA1207" cm="1">
        <f t="array" ref="AA1207">IF(COUNTIFS(Table1[Country],Table1[[#This Row],[Country]])=1,0, _xlfn.STDEV.S(IF(Table1[Country]=Table1[[#This Row],[Country]],Table1[FinalElo])))</f>
        <v>194.01778111336392</v>
      </c>
      <c r="AB1207">
        <f>IF(Table1[[#This Row],[CStd]]=0,0, (Table1[[#This Row],[FinalElo]]-Table1[[#This Row],[CAvg]]) / Table1[[#This Row],[CStd]])</f>
        <v>-1.3779591225835148</v>
      </c>
      <c r="AC1207" t="str">
        <f>IF(Table1[[#This Row],[CStd]]=0,"Normal", IF(ABS(Table1[[#This Row],[CZscore]])&gt;2,"Outlier","Normal"))</f>
        <v>Normal</v>
      </c>
    </row>
    <row r="1208" spans="1:29" x14ac:dyDescent="0.35">
      <c r="A1208" t="s">
        <v>749</v>
      </c>
      <c r="B1208">
        <v>61</v>
      </c>
      <c r="C1208">
        <v>168</v>
      </c>
      <c r="D1208" t="s">
        <v>384</v>
      </c>
      <c r="E1208">
        <v>28</v>
      </c>
      <c r="F1208" t="s">
        <v>750</v>
      </c>
      <c r="G1208" t="s">
        <v>40</v>
      </c>
      <c r="H1208" t="s">
        <v>29</v>
      </c>
      <c r="I1208" t="s">
        <v>58</v>
      </c>
      <c r="J1208">
        <v>1</v>
      </c>
      <c r="K1208">
        <v>1</v>
      </c>
      <c r="L1208">
        <v>0</v>
      </c>
      <c r="M1208">
        <v>1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1</v>
      </c>
      <c r="W1208">
        <v>2</v>
      </c>
      <c r="X1208">
        <v>966.09</v>
      </c>
      <c r="Y1208">
        <v>1091.96</v>
      </c>
      <c r="Z1208">
        <f>AVERAGEIFS(Table1[FinalElo], Table1[Country], Table1[[#This Row],[Country]])</f>
        <v>1054.6869565217391</v>
      </c>
      <c r="AA1208" cm="1">
        <f t="array" ref="AA1208">IF(COUNTIFS(Table1[Country],Table1[[#This Row],[Country]])=1,0, _xlfn.STDEV.S(IF(Table1[Country]=Table1[[#This Row],[Country]],Table1[FinalElo])))</f>
        <v>191.2923801275472</v>
      </c>
      <c r="AB1208">
        <f>IF(Table1[[#This Row],[CStd]]=0,0, (Table1[[#This Row],[FinalElo]]-Table1[[#This Row],[CAvg]]) / Table1[[#This Row],[CStd]])</f>
        <v>-0.46314942844386014</v>
      </c>
      <c r="AC1208" t="str">
        <f>IF(Table1[[#This Row],[CStd]]=0,"Normal", IF(ABS(Table1[[#This Row],[CZscore]])&gt;2,"Outlier","Normal"))</f>
        <v>Normal</v>
      </c>
    </row>
    <row r="1209" spans="1:29" x14ac:dyDescent="0.35">
      <c r="A1209" t="s">
        <v>747</v>
      </c>
      <c r="B1209">
        <v>70.31</v>
      </c>
      <c r="C1209">
        <v>187</v>
      </c>
      <c r="D1209" t="s">
        <v>247</v>
      </c>
      <c r="E1209">
        <v>20</v>
      </c>
      <c r="F1209" t="s">
        <v>748</v>
      </c>
      <c r="G1209" t="s">
        <v>40</v>
      </c>
      <c r="H1209" t="s">
        <v>29</v>
      </c>
      <c r="I1209" t="s">
        <v>30</v>
      </c>
      <c r="J1209">
        <v>3</v>
      </c>
      <c r="K1209">
        <v>0</v>
      </c>
      <c r="L1209">
        <v>0</v>
      </c>
      <c r="M1209">
        <v>2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3</v>
      </c>
      <c r="X1209">
        <v>1222.51</v>
      </c>
      <c r="Y1209">
        <v>1222.51</v>
      </c>
      <c r="Z1209">
        <f>AVERAGEIFS(Table1[FinalElo], Table1[Country], Table1[[#This Row],[Country]])</f>
        <v>1050.0176190476191</v>
      </c>
      <c r="AA1209" cm="1">
        <f t="array" ref="AA1209">IF(COUNTIFS(Table1[Country],Table1[[#This Row],[Country]])=1,0, _xlfn.STDEV.S(IF(Table1[Country]=Table1[[#This Row],[Country]],Table1[FinalElo])))</f>
        <v>127.00578096703971</v>
      </c>
      <c r="AB1209">
        <f>IF(Table1[[#This Row],[CStd]]=0,0, (Table1[[#This Row],[FinalElo]]-Table1[[#This Row],[CAvg]]) / Table1[[#This Row],[CStd]])</f>
        <v>1.3581459020132778</v>
      </c>
      <c r="AC1209" t="str">
        <f>IF(Table1[[#This Row],[CStd]]=0,"Normal", IF(ABS(Table1[[#This Row],[CZscore]])&gt;2,"Outlier","Normal"))</f>
        <v>Normal</v>
      </c>
    </row>
    <row r="1210" spans="1:29" x14ac:dyDescent="0.35">
      <c r="A1210" t="s">
        <v>745</v>
      </c>
      <c r="B1210">
        <v>63.502879999999998</v>
      </c>
      <c r="C1210">
        <v>170</v>
      </c>
      <c r="D1210" t="s">
        <v>89</v>
      </c>
      <c r="E1210">
        <v>27</v>
      </c>
      <c r="F1210" t="s">
        <v>746</v>
      </c>
      <c r="G1210" t="s">
        <v>34</v>
      </c>
      <c r="H1210" t="s">
        <v>29</v>
      </c>
      <c r="I1210" t="s">
        <v>73</v>
      </c>
      <c r="J1210">
        <v>0</v>
      </c>
      <c r="K1210">
        <v>1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1</v>
      </c>
      <c r="X1210">
        <v>871.99</v>
      </c>
      <c r="Y1210">
        <v>1000</v>
      </c>
      <c r="Z1210">
        <f>AVERAGEIFS(Table1[FinalElo], Table1[Country], Table1[[#This Row],[Country]])</f>
        <v>1012.0629025423733</v>
      </c>
      <c r="AA1210" cm="1">
        <f t="array" ref="AA1210">IF(COUNTIFS(Table1[Country],Table1[[#This Row],[Country]])=1,0, _xlfn.STDEV.S(IF(Table1[Country]=Table1[[#This Row],[Country]],Table1[FinalElo])))</f>
        <v>148.42180446198614</v>
      </c>
      <c r="AB1210">
        <f>IF(Table1[[#This Row],[CStd]]=0,0, (Table1[[#This Row],[FinalElo]]-Table1[[#This Row],[CAvg]]) / Table1[[#This Row],[CStd]])</f>
        <v>-0.94374881810744216</v>
      </c>
      <c r="AC1210" t="str">
        <f>IF(Table1[[#This Row],[CStd]]=0,"Normal", IF(ABS(Table1[[#This Row],[CZscore]])&gt;2,"Outlier","Normal"))</f>
        <v>Normal</v>
      </c>
    </row>
    <row r="1211" spans="1:29" hidden="1" x14ac:dyDescent="0.35">
      <c r="A1211" t="s">
        <v>2152</v>
      </c>
      <c r="B1211">
        <v>77.099999999999994</v>
      </c>
      <c r="C1211">
        <v>185</v>
      </c>
      <c r="D1211" t="s">
        <v>82</v>
      </c>
      <c r="E1211">
        <v>26</v>
      </c>
      <c r="F1211" t="s">
        <v>2153</v>
      </c>
      <c r="G1211" t="s">
        <v>40</v>
      </c>
      <c r="I1211" t="s">
        <v>30</v>
      </c>
      <c r="J1211">
        <v>0</v>
      </c>
      <c r="K1211">
        <v>1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1</v>
      </c>
      <c r="T1211">
        <v>0</v>
      </c>
      <c r="U1211">
        <v>0</v>
      </c>
      <c r="V1211">
        <v>0</v>
      </c>
      <c r="W1211">
        <v>1</v>
      </c>
      <c r="X1211">
        <v>928.01</v>
      </c>
      <c r="Y1211">
        <v>1000</v>
      </c>
      <c r="Z1211">
        <f>AVERAGEIFS(Table1[FinalElo], Table1[Country], Table1[[#This Row],[Country]])</f>
        <v>1012.5275373134326</v>
      </c>
      <c r="AA1211" cm="1">
        <f t="array" ref="AA1211">IF(COUNTIFS(Table1[Country],Table1[[#This Row],[Country]])=1,0, _xlfn.STDEV.S(IF(Table1[Country]=Table1[[#This Row],[Country]],Table1[FinalElo])))</f>
        <v>135.61062237674741</v>
      </c>
      <c r="AB1211">
        <f>IF(Table1[[#This Row],[CStd]]=0,0, (Table1[[#This Row],[FinalElo]]-Table1[[#This Row],[CAvg]]) / Table1[[#This Row],[CStd]])</f>
        <v>-0.62323685145128049</v>
      </c>
      <c r="AC1211" t="str">
        <f>IF(Table1[[#This Row],[CStd]]=0,"Normal", IF(ABS(Table1[[#This Row],[CZscore]])&gt;2,"Outlier","Normal"))</f>
        <v>Normal</v>
      </c>
    </row>
    <row r="1212" spans="1:29" x14ac:dyDescent="0.35">
      <c r="A1212" t="s">
        <v>743</v>
      </c>
      <c r="B1212">
        <v>105.6</v>
      </c>
      <c r="C1212">
        <v>194</v>
      </c>
      <c r="D1212" t="s">
        <v>174</v>
      </c>
      <c r="E1212">
        <v>36</v>
      </c>
      <c r="F1212" t="s">
        <v>744</v>
      </c>
      <c r="G1212" t="s">
        <v>40</v>
      </c>
      <c r="H1212" t="s">
        <v>29</v>
      </c>
      <c r="I1212" t="s">
        <v>94</v>
      </c>
      <c r="J1212">
        <v>0</v>
      </c>
      <c r="K1212">
        <v>1</v>
      </c>
      <c r="L1212">
        <v>1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1</v>
      </c>
      <c r="W1212">
        <v>2</v>
      </c>
      <c r="X1212">
        <v>900</v>
      </c>
      <c r="Y1212">
        <v>1000</v>
      </c>
      <c r="Z1212">
        <f>AVERAGEIFS(Table1[FinalElo], Table1[Country], Table1[[#This Row],[Country]])</f>
        <v>980.52444444444427</v>
      </c>
      <c r="AA1212" cm="1">
        <f t="array" ref="AA1212">IF(COUNTIFS(Table1[Country],Table1[[#This Row],[Country]])=1,0, _xlfn.STDEV.S(IF(Table1[Country]=Table1[[#This Row],[Country]],Table1[FinalElo])))</f>
        <v>143.66034832022171</v>
      </c>
      <c r="AB1212">
        <f>IF(Table1[[#This Row],[CStd]]=0,0, (Table1[[#This Row],[FinalElo]]-Table1[[#This Row],[CAvg]]) / Table1[[#This Row],[CStd]])</f>
        <v>-0.56051962414119805</v>
      </c>
      <c r="AC1212" t="str">
        <f>IF(Table1[[#This Row],[CStd]]=0,"Normal", IF(ABS(Table1[[#This Row],[CZscore]])&gt;2,"Outlier","Normal"))</f>
        <v>Normal</v>
      </c>
    </row>
    <row r="1213" spans="1:29" x14ac:dyDescent="0.35">
      <c r="A1213" t="s">
        <v>742</v>
      </c>
      <c r="B1213">
        <v>61</v>
      </c>
      <c r="C1213">
        <v>180</v>
      </c>
      <c r="D1213" t="s">
        <v>89</v>
      </c>
      <c r="E1213">
        <v>27</v>
      </c>
      <c r="F1213" t="s">
        <v>104</v>
      </c>
      <c r="G1213" t="s">
        <v>34</v>
      </c>
      <c r="H1213" t="s">
        <v>29</v>
      </c>
      <c r="I1213" t="s">
        <v>58</v>
      </c>
      <c r="J1213">
        <v>4</v>
      </c>
      <c r="K1213">
        <v>3</v>
      </c>
      <c r="L1213">
        <v>0</v>
      </c>
      <c r="M1213">
        <v>0</v>
      </c>
      <c r="N1213">
        <v>0</v>
      </c>
      <c r="O1213">
        <v>0</v>
      </c>
      <c r="P1213">
        <v>2</v>
      </c>
      <c r="Q1213">
        <v>1</v>
      </c>
      <c r="R1213">
        <v>0</v>
      </c>
      <c r="S1213">
        <v>0</v>
      </c>
      <c r="T1213">
        <v>0</v>
      </c>
      <c r="U1213">
        <v>1</v>
      </c>
      <c r="V1213">
        <v>0</v>
      </c>
      <c r="W1213">
        <v>7</v>
      </c>
      <c r="X1213">
        <v>1031.44</v>
      </c>
      <c r="Y1213">
        <v>1122.7</v>
      </c>
      <c r="Z1213">
        <f>AVERAGEIFS(Table1[FinalElo], Table1[Country], Table1[[#This Row],[Country]])</f>
        <v>1012.0629025423733</v>
      </c>
      <c r="AA1213" cm="1">
        <f t="array" ref="AA1213">IF(COUNTIFS(Table1[Country],Table1[[#This Row],[Country]])=1,0, _xlfn.STDEV.S(IF(Table1[Country]=Table1[[#This Row],[Country]],Table1[FinalElo])))</f>
        <v>148.42180446198614</v>
      </c>
      <c r="AB1213">
        <f>IF(Table1[[#This Row],[CStd]]=0,0, (Table1[[#This Row],[FinalElo]]-Table1[[#This Row],[CAvg]]) / Table1[[#This Row],[CStd]])</f>
        <v>0.13055425062285655</v>
      </c>
      <c r="AC1213" t="str">
        <f>IF(Table1[[#This Row],[CStd]]=0,"Normal", IF(ABS(Table1[[#This Row],[CZscore]])&gt;2,"Outlier","Normal"))</f>
        <v>Normal</v>
      </c>
    </row>
    <row r="1214" spans="1:29" x14ac:dyDescent="0.35">
      <c r="A1214" t="s">
        <v>741</v>
      </c>
      <c r="B1214">
        <v>56.7</v>
      </c>
      <c r="C1214">
        <v>170</v>
      </c>
      <c r="D1214" t="s">
        <v>89</v>
      </c>
      <c r="E1214">
        <v>36</v>
      </c>
      <c r="F1214" t="s">
        <v>87</v>
      </c>
      <c r="G1214" t="s">
        <v>34</v>
      </c>
      <c r="H1214" t="s">
        <v>29</v>
      </c>
      <c r="I1214" t="s">
        <v>58</v>
      </c>
      <c r="J1214">
        <v>0</v>
      </c>
      <c r="K1214">
        <v>1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1</v>
      </c>
      <c r="V1214">
        <v>0</v>
      </c>
      <c r="W1214">
        <v>1</v>
      </c>
      <c r="X1214">
        <v>900</v>
      </c>
      <c r="Y1214">
        <v>1000</v>
      </c>
      <c r="Z1214">
        <f>AVERAGEIFS(Table1[FinalElo], Table1[Country], Table1[[#This Row],[Country]])</f>
        <v>1012.0629025423733</v>
      </c>
      <c r="AA1214" cm="1">
        <f t="array" ref="AA1214">IF(COUNTIFS(Table1[Country],Table1[[#This Row],[Country]])=1,0, _xlfn.STDEV.S(IF(Table1[Country]=Table1[[#This Row],[Country]],Table1[FinalElo])))</f>
        <v>148.42180446198614</v>
      </c>
      <c r="AB1214">
        <f>IF(Table1[[#This Row],[CStd]]=0,0, (Table1[[#This Row],[FinalElo]]-Table1[[#This Row],[CAvg]]) / Table1[[#This Row],[CStd]])</f>
        <v>-0.75502991591154589</v>
      </c>
      <c r="AC1214" t="str">
        <f>IF(Table1[[#This Row],[CStd]]=0,"Normal", IF(ABS(Table1[[#This Row],[CZscore]])&gt;2,"Outlier","Normal"))</f>
        <v>Normal</v>
      </c>
    </row>
    <row r="1215" spans="1:29" x14ac:dyDescent="0.35">
      <c r="A1215" t="s">
        <v>740</v>
      </c>
      <c r="B1215">
        <v>70.31</v>
      </c>
      <c r="C1215">
        <v>187</v>
      </c>
      <c r="D1215" t="s">
        <v>71</v>
      </c>
      <c r="E1215">
        <v>17</v>
      </c>
      <c r="F1215" t="s">
        <v>133</v>
      </c>
      <c r="G1215" t="s">
        <v>34</v>
      </c>
      <c r="H1215" t="s">
        <v>29</v>
      </c>
      <c r="I1215" t="s">
        <v>30</v>
      </c>
      <c r="J1215">
        <v>0</v>
      </c>
      <c r="K1215">
        <v>1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1</v>
      </c>
      <c r="S1215">
        <v>0</v>
      </c>
      <c r="T1215">
        <v>0</v>
      </c>
      <c r="U1215">
        <v>0</v>
      </c>
      <c r="V1215">
        <v>0</v>
      </c>
      <c r="W1215">
        <v>1</v>
      </c>
      <c r="X1215">
        <v>900</v>
      </c>
      <c r="Y1215">
        <v>1000</v>
      </c>
      <c r="Z1215">
        <f>AVERAGEIFS(Table1[FinalElo], Table1[Country], Table1[[#This Row],[Country]])</f>
        <v>991.47826086956536</v>
      </c>
      <c r="AA1215" cm="1">
        <f t="array" ref="AA1215">IF(COUNTIFS(Table1[Country],Table1[[#This Row],[Country]])=1,0, _xlfn.STDEV.S(IF(Table1[Country]=Table1[[#This Row],[Country]],Table1[FinalElo])))</f>
        <v>164.61500422203164</v>
      </c>
      <c r="AB1215">
        <f>IF(Table1[[#This Row],[CStd]]=0,0, (Table1[[#This Row],[FinalElo]]-Table1[[#This Row],[CAvg]]) / Table1[[#This Row],[CStd]])</f>
        <v>-0.55571034549305165</v>
      </c>
      <c r="AC1215" t="str">
        <f>IF(Table1[[#This Row],[CStd]]=0,"Normal", IF(ABS(Table1[[#This Row],[CZscore]])&gt;2,"Outlier","Normal"))</f>
        <v>Normal</v>
      </c>
    </row>
    <row r="1216" spans="1:29" x14ac:dyDescent="0.35">
      <c r="A1216" t="s">
        <v>738</v>
      </c>
      <c r="B1216">
        <v>59.4</v>
      </c>
      <c r="C1216">
        <v>170</v>
      </c>
      <c r="D1216" t="s">
        <v>89</v>
      </c>
      <c r="E1216">
        <v>24</v>
      </c>
      <c r="F1216" t="s">
        <v>739</v>
      </c>
      <c r="G1216" t="s">
        <v>34</v>
      </c>
      <c r="H1216" t="s">
        <v>29</v>
      </c>
      <c r="I1216" t="s">
        <v>58</v>
      </c>
      <c r="J1216">
        <v>4</v>
      </c>
      <c r="K1216">
        <v>1</v>
      </c>
      <c r="L1216">
        <v>0</v>
      </c>
      <c r="M1216">
        <v>0</v>
      </c>
      <c r="N1216">
        <v>0</v>
      </c>
      <c r="O1216">
        <v>0</v>
      </c>
      <c r="P1216">
        <v>1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5</v>
      </c>
      <c r="X1216">
        <v>1106.5</v>
      </c>
      <c r="Y1216">
        <v>1256.49</v>
      </c>
      <c r="Z1216">
        <f>AVERAGEIFS(Table1[FinalElo], Table1[Country], Table1[[#This Row],[Country]])</f>
        <v>1012.0629025423733</v>
      </c>
      <c r="AA1216" cm="1">
        <f t="array" ref="AA1216">IF(COUNTIFS(Table1[Country],Table1[[#This Row],[Country]])=1,0, _xlfn.STDEV.S(IF(Table1[Country]=Table1[[#This Row],[Country]],Table1[FinalElo])))</f>
        <v>148.42180446198614</v>
      </c>
      <c r="AB1216">
        <f>IF(Table1[[#This Row],[CStd]]=0,0, (Table1[[#This Row],[FinalElo]]-Table1[[#This Row],[CAvg]]) / Table1[[#This Row],[CStd]])</f>
        <v>0.63627509313710007</v>
      </c>
      <c r="AC1216" t="str">
        <f>IF(Table1[[#This Row],[CStd]]=0,"Normal", IF(ABS(Table1[[#This Row],[CZscore]])&gt;2,"Outlier","Normal"))</f>
        <v>Normal</v>
      </c>
    </row>
    <row r="1217" spans="1:29" x14ac:dyDescent="0.35">
      <c r="A1217" t="s">
        <v>737</v>
      </c>
      <c r="B1217">
        <v>56.7</v>
      </c>
      <c r="C1217">
        <v>165</v>
      </c>
      <c r="D1217" t="s">
        <v>89</v>
      </c>
      <c r="E1217">
        <v>27</v>
      </c>
      <c r="F1217" t="s">
        <v>99</v>
      </c>
      <c r="G1217" t="s">
        <v>34</v>
      </c>
      <c r="H1217" t="s">
        <v>29</v>
      </c>
      <c r="I1217" t="s">
        <v>58</v>
      </c>
      <c r="J1217">
        <v>0</v>
      </c>
      <c r="K1217">
        <v>1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1</v>
      </c>
      <c r="X1217">
        <v>900</v>
      </c>
      <c r="Y1217">
        <v>1000</v>
      </c>
      <c r="Z1217">
        <f>AVERAGEIFS(Table1[FinalElo], Table1[Country], Table1[[#This Row],[Country]])</f>
        <v>1012.0629025423733</v>
      </c>
      <c r="AA1217" cm="1">
        <f t="array" ref="AA1217">IF(COUNTIFS(Table1[Country],Table1[[#This Row],[Country]])=1,0, _xlfn.STDEV.S(IF(Table1[Country]=Table1[[#This Row],[Country]],Table1[FinalElo])))</f>
        <v>148.42180446198614</v>
      </c>
      <c r="AB1217">
        <f>IF(Table1[[#This Row],[CStd]]=0,0, (Table1[[#This Row],[FinalElo]]-Table1[[#This Row],[CAvg]]) / Table1[[#This Row],[CStd]])</f>
        <v>-0.75502991591154589</v>
      </c>
      <c r="AC1217" t="str">
        <f>IF(Table1[[#This Row],[CStd]]=0,"Normal", IF(ABS(Table1[[#This Row],[CZscore]])&gt;2,"Outlier","Normal"))</f>
        <v>Normal</v>
      </c>
    </row>
    <row r="1218" spans="1:29" x14ac:dyDescent="0.35">
      <c r="A1218" t="s">
        <v>735</v>
      </c>
      <c r="B1218">
        <v>76.8</v>
      </c>
      <c r="C1218">
        <v>180</v>
      </c>
      <c r="D1218" t="s">
        <v>38</v>
      </c>
      <c r="E1218">
        <v>27</v>
      </c>
      <c r="F1218" t="s">
        <v>736</v>
      </c>
      <c r="G1218" t="s">
        <v>34</v>
      </c>
      <c r="H1218" t="s">
        <v>29</v>
      </c>
      <c r="I1218" t="s">
        <v>30</v>
      </c>
      <c r="J1218">
        <v>3</v>
      </c>
      <c r="K1218">
        <v>1</v>
      </c>
      <c r="L1218">
        <v>1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5</v>
      </c>
      <c r="X1218">
        <v>1320.3</v>
      </c>
      <c r="Y1218">
        <v>1320.3</v>
      </c>
      <c r="Z1218">
        <f>AVERAGEIFS(Table1[FinalElo], Table1[Country], Table1[[#This Row],[Country]])</f>
        <v>1057.4495402298851</v>
      </c>
      <c r="AA1218" cm="1">
        <f t="array" ref="AA1218">IF(COUNTIFS(Table1[Country],Table1[[#This Row],[Country]])=1,0, _xlfn.STDEV.S(IF(Table1[Country]=Table1[[#This Row],[Country]],Table1[FinalElo])))</f>
        <v>156.98667602259493</v>
      </c>
      <c r="AB1218">
        <f>IF(Table1[[#This Row],[CStd]]=0,0, (Table1[[#This Row],[FinalElo]]-Table1[[#This Row],[CAvg]]) / Table1[[#This Row],[CStd]])</f>
        <v>1.6743488455815387</v>
      </c>
      <c r="AC1218" t="str">
        <f>IF(Table1[[#This Row],[CStd]]=0,"Normal", IF(ABS(Table1[[#This Row],[CZscore]])&gt;2,"Outlier","Normal"))</f>
        <v>Normal</v>
      </c>
    </row>
    <row r="1219" spans="1:29" x14ac:dyDescent="0.35">
      <c r="A1219" t="s">
        <v>733</v>
      </c>
      <c r="B1219">
        <v>65.77</v>
      </c>
      <c r="C1219">
        <v>171</v>
      </c>
      <c r="D1219" t="s">
        <v>38</v>
      </c>
      <c r="E1219">
        <v>30</v>
      </c>
      <c r="F1219" t="s">
        <v>734</v>
      </c>
      <c r="G1219" t="s">
        <v>28</v>
      </c>
      <c r="H1219" t="s">
        <v>29</v>
      </c>
      <c r="I1219" t="s">
        <v>48</v>
      </c>
      <c r="J1219">
        <v>0</v>
      </c>
      <c r="K1219">
        <v>1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1</v>
      </c>
      <c r="W1219">
        <v>1</v>
      </c>
      <c r="X1219">
        <v>913.16</v>
      </c>
      <c r="Y1219">
        <v>1000</v>
      </c>
      <c r="Z1219">
        <f>AVERAGEIFS(Table1[FinalElo], Table1[Country], Table1[[#This Row],[Country]])</f>
        <v>1057.4495402298851</v>
      </c>
      <c r="AA1219" cm="1">
        <f t="array" ref="AA1219">IF(COUNTIFS(Table1[Country],Table1[[#This Row],[Country]])=1,0, _xlfn.STDEV.S(IF(Table1[Country]=Table1[[#This Row],[Country]],Table1[FinalElo])))</f>
        <v>156.98667602259493</v>
      </c>
      <c r="AB1219">
        <f>IF(Table1[[#This Row],[CStd]]=0,0, (Table1[[#This Row],[FinalElo]]-Table1[[#This Row],[CAvg]]) / Table1[[#This Row],[CStd]])</f>
        <v>-0.91911965961441</v>
      </c>
      <c r="AC1219" t="str">
        <f>IF(Table1[[#This Row],[CStd]]=0,"Normal", IF(ABS(Table1[[#This Row],[CZscore]])&gt;2,"Outlier","Normal"))</f>
        <v>Normal</v>
      </c>
    </row>
    <row r="1220" spans="1:29" x14ac:dyDescent="0.35">
      <c r="A1220" t="s">
        <v>732</v>
      </c>
      <c r="B1220">
        <v>65.77</v>
      </c>
      <c r="C1220">
        <v>180</v>
      </c>
      <c r="D1220" t="s">
        <v>38</v>
      </c>
      <c r="E1220">
        <v>26</v>
      </c>
      <c r="F1220" t="s">
        <v>252</v>
      </c>
      <c r="G1220" t="s">
        <v>34</v>
      </c>
      <c r="H1220" t="s">
        <v>29</v>
      </c>
      <c r="I1220" t="s">
        <v>48</v>
      </c>
      <c r="J1220">
        <v>1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1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1</v>
      </c>
      <c r="X1220">
        <v>1100</v>
      </c>
      <c r="Y1220">
        <v>1100</v>
      </c>
      <c r="Z1220">
        <f>AVERAGEIFS(Table1[FinalElo], Table1[Country], Table1[[#This Row],[Country]])</f>
        <v>1057.4495402298851</v>
      </c>
      <c r="AA1220" cm="1">
        <f t="array" ref="AA1220">IF(COUNTIFS(Table1[Country],Table1[[#This Row],[Country]])=1,0, _xlfn.STDEV.S(IF(Table1[Country]=Table1[[#This Row],[Country]],Table1[FinalElo])))</f>
        <v>156.98667602259493</v>
      </c>
      <c r="AB1220">
        <f>IF(Table1[[#This Row],[CStd]]=0,0, (Table1[[#This Row],[FinalElo]]-Table1[[#This Row],[CAvg]]) / Table1[[#This Row],[CStd]])</f>
        <v>0.27104503928722373</v>
      </c>
      <c r="AC1220" t="str">
        <f>IF(Table1[[#This Row],[CStd]]=0,"Normal", IF(ABS(Table1[[#This Row],[CZscore]])&gt;2,"Outlier","Normal"))</f>
        <v>Normal</v>
      </c>
    </row>
    <row r="1221" spans="1:29" x14ac:dyDescent="0.35">
      <c r="A1221" t="s">
        <v>730</v>
      </c>
      <c r="B1221">
        <v>61.23</v>
      </c>
      <c r="C1221">
        <v>173</v>
      </c>
      <c r="D1221" t="s">
        <v>38</v>
      </c>
      <c r="E1221">
        <v>26</v>
      </c>
      <c r="F1221" t="s">
        <v>731</v>
      </c>
      <c r="G1221" t="s">
        <v>40</v>
      </c>
      <c r="H1221" t="s">
        <v>29</v>
      </c>
      <c r="I1221" t="s">
        <v>73</v>
      </c>
      <c r="J1221">
        <v>0</v>
      </c>
      <c r="K1221">
        <v>1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1</v>
      </c>
      <c r="V1221">
        <v>0</v>
      </c>
      <c r="W1221">
        <v>1</v>
      </c>
      <c r="X1221">
        <v>900</v>
      </c>
      <c r="Y1221">
        <v>1000</v>
      </c>
      <c r="Z1221">
        <f>AVERAGEIFS(Table1[FinalElo], Table1[Country], Table1[[#This Row],[Country]])</f>
        <v>1057.4495402298851</v>
      </c>
      <c r="AA1221" cm="1">
        <f t="array" ref="AA1221">IF(COUNTIFS(Table1[Country],Table1[[#This Row],[Country]])=1,0, _xlfn.STDEV.S(IF(Table1[Country]=Table1[[#This Row],[Country]],Table1[FinalElo])))</f>
        <v>156.98667602259493</v>
      </c>
      <c r="AB1221">
        <f>IF(Table1[[#This Row],[CStd]]=0,0, (Table1[[#This Row],[FinalElo]]-Table1[[#This Row],[CAvg]]) / Table1[[#This Row],[CStd]])</f>
        <v>-1.0029484298860085</v>
      </c>
      <c r="AC1221" t="str">
        <f>IF(Table1[[#This Row],[CStd]]=0,"Normal", IF(ABS(Table1[[#This Row],[CZscore]])&gt;2,"Outlier","Normal"))</f>
        <v>Normal</v>
      </c>
    </row>
    <row r="1222" spans="1:29" x14ac:dyDescent="0.35">
      <c r="A1222" t="s">
        <v>728</v>
      </c>
      <c r="B1222">
        <v>61.23</v>
      </c>
      <c r="C1222">
        <v>178</v>
      </c>
      <c r="D1222" t="s">
        <v>38</v>
      </c>
      <c r="E1222">
        <v>27</v>
      </c>
      <c r="F1222" t="s">
        <v>729</v>
      </c>
      <c r="G1222" t="s">
        <v>34</v>
      </c>
      <c r="H1222" t="s">
        <v>29</v>
      </c>
      <c r="I1222" t="s">
        <v>73</v>
      </c>
      <c r="J1222">
        <v>3</v>
      </c>
      <c r="K1222">
        <v>1</v>
      </c>
      <c r="L1222">
        <v>0</v>
      </c>
      <c r="M1222">
        <v>0</v>
      </c>
      <c r="N1222">
        <v>0</v>
      </c>
      <c r="O1222">
        <v>0</v>
      </c>
      <c r="P1222">
        <v>3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4</v>
      </c>
      <c r="X1222">
        <v>1249.53</v>
      </c>
      <c r="Y1222">
        <v>1249.53</v>
      </c>
      <c r="Z1222">
        <f>AVERAGEIFS(Table1[FinalElo], Table1[Country], Table1[[#This Row],[Country]])</f>
        <v>1057.4495402298851</v>
      </c>
      <c r="AA1222" cm="1">
        <f t="array" ref="AA1222">IF(COUNTIFS(Table1[Country],Table1[[#This Row],[Country]])=1,0, _xlfn.STDEV.S(IF(Table1[Country]=Table1[[#This Row],[Country]],Table1[FinalElo])))</f>
        <v>156.98667602259493</v>
      </c>
      <c r="AB1222">
        <f>IF(Table1[[#This Row],[CStd]]=0,0, (Table1[[#This Row],[FinalElo]]-Table1[[#This Row],[CAvg]]) / Table1[[#This Row],[CStd]])</f>
        <v>1.2235462565145907</v>
      </c>
      <c r="AC1222" t="str">
        <f>IF(Table1[[#This Row],[CStd]]=0,"Normal", IF(ABS(Table1[[#This Row],[CZscore]])&gt;2,"Outlier","Normal"))</f>
        <v>Normal</v>
      </c>
    </row>
    <row r="1223" spans="1:29" x14ac:dyDescent="0.35">
      <c r="A1223" t="s">
        <v>727</v>
      </c>
      <c r="B1223">
        <v>53.2</v>
      </c>
      <c r="C1223">
        <v>163</v>
      </c>
      <c r="D1223" t="s">
        <v>32</v>
      </c>
      <c r="E1223">
        <v>25</v>
      </c>
      <c r="F1223" t="s">
        <v>154</v>
      </c>
      <c r="G1223" t="s">
        <v>34</v>
      </c>
      <c r="H1223" t="s">
        <v>29</v>
      </c>
      <c r="I1223" t="s">
        <v>36</v>
      </c>
      <c r="J1223">
        <v>2</v>
      </c>
      <c r="K1223">
        <v>2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1</v>
      </c>
      <c r="V1223">
        <v>0</v>
      </c>
      <c r="W1223">
        <v>4</v>
      </c>
      <c r="X1223">
        <v>968.78</v>
      </c>
      <c r="Y1223">
        <v>1105.74</v>
      </c>
      <c r="Z1223">
        <f>AVERAGEIFS(Table1[FinalElo], Table1[Country], Table1[[#This Row],[Country]])</f>
        <v>1025.3786885245902</v>
      </c>
      <c r="AA1223" cm="1">
        <f t="array" ref="AA1223">IF(COUNTIFS(Table1[Country],Table1[[#This Row],[Country]])=1,0, _xlfn.STDEV.S(IF(Table1[Country]=Table1[[#This Row],[Country]],Table1[FinalElo])))</f>
        <v>144.71595558743479</v>
      </c>
      <c r="AB1223">
        <f>IF(Table1[[#This Row],[CStd]]=0,0, (Table1[[#This Row],[FinalElo]]-Table1[[#This Row],[CAvg]]) / Table1[[#This Row],[CStd]])</f>
        <v>-0.39110192303843305</v>
      </c>
      <c r="AC1223" t="str">
        <f>IF(Table1[[#This Row],[CStd]]=0,"Normal", IF(ABS(Table1[[#This Row],[CZscore]])&gt;2,"Outlier","Normal"))</f>
        <v>Normal</v>
      </c>
    </row>
    <row r="1224" spans="1:29" x14ac:dyDescent="0.35">
      <c r="A1224" t="s">
        <v>725</v>
      </c>
      <c r="B1224">
        <v>56.7</v>
      </c>
      <c r="C1224">
        <v>166</v>
      </c>
      <c r="D1224" t="s">
        <v>32</v>
      </c>
      <c r="E1224">
        <v>23</v>
      </c>
      <c r="F1224" t="s">
        <v>726</v>
      </c>
      <c r="G1224" t="s">
        <v>54</v>
      </c>
      <c r="H1224" t="s">
        <v>29</v>
      </c>
      <c r="I1224" t="s">
        <v>58</v>
      </c>
      <c r="J1224">
        <v>1</v>
      </c>
      <c r="K1224">
        <v>0</v>
      </c>
      <c r="L1224">
        <v>0</v>
      </c>
      <c r="M1224">
        <v>0</v>
      </c>
      <c r="N1224">
        <v>1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1</v>
      </c>
      <c r="X1224">
        <v>1161.31</v>
      </c>
      <c r="Y1224">
        <v>1161.31</v>
      </c>
      <c r="Z1224">
        <f>AVERAGEIFS(Table1[FinalElo], Table1[Country], Table1[[#This Row],[Country]])</f>
        <v>1025.3786885245902</v>
      </c>
      <c r="AA1224" cm="1">
        <f t="array" ref="AA1224">IF(COUNTIFS(Table1[Country],Table1[[#This Row],[Country]])=1,0, _xlfn.STDEV.S(IF(Table1[Country]=Table1[[#This Row],[Country]],Table1[FinalElo])))</f>
        <v>144.71595558743479</v>
      </c>
      <c r="AB1224">
        <f>IF(Table1[[#This Row],[CStd]]=0,0, (Table1[[#This Row],[FinalElo]]-Table1[[#This Row],[CAvg]]) / Table1[[#This Row],[CStd]])</f>
        <v>0.93929733541566873</v>
      </c>
      <c r="AC1224" t="str">
        <f>IF(Table1[[#This Row],[CStd]]=0,"Normal", IF(ABS(Table1[[#This Row],[CZscore]])&gt;2,"Outlier","Normal"))</f>
        <v>Normal</v>
      </c>
    </row>
    <row r="1225" spans="1:29" x14ac:dyDescent="0.35">
      <c r="A1225" t="s">
        <v>722</v>
      </c>
      <c r="B1225">
        <v>76.8</v>
      </c>
      <c r="C1225">
        <v>179</v>
      </c>
      <c r="D1225" t="s">
        <v>723</v>
      </c>
      <c r="E1225">
        <v>35</v>
      </c>
      <c r="F1225" t="s">
        <v>724</v>
      </c>
      <c r="G1225" t="s">
        <v>40</v>
      </c>
      <c r="H1225" t="s">
        <v>29</v>
      </c>
      <c r="I1225" t="s">
        <v>30</v>
      </c>
      <c r="J1225">
        <v>0</v>
      </c>
      <c r="K1225">
        <v>1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1</v>
      </c>
      <c r="S1225">
        <v>0</v>
      </c>
      <c r="T1225">
        <v>0</v>
      </c>
      <c r="U1225">
        <v>0</v>
      </c>
      <c r="V1225">
        <v>0</v>
      </c>
      <c r="W1225">
        <v>1</v>
      </c>
      <c r="X1225">
        <v>900</v>
      </c>
      <c r="Y1225">
        <v>1000</v>
      </c>
      <c r="Z1225">
        <f>AVERAGEIFS(Table1[FinalElo], Table1[Country], Table1[[#This Row],[Country]])</f>
        <v>969.45666666666659</v>
      </c>
      <c r="AA1225" cm="1">
        <f t="array" ref="AA1225">IF(COUNTIFS(Table1[Country],Table1[[#This Row],[Country]])=1,0, _xlfn.STDEV.S(IF(Table1[Country]=Table1[[#This Row],[Country]],Table1[FinalElo])))</f>
        <v>71.282681674209385</v>
      </c>
      <c r="AB1225">
        <f>IF(Table1[[#This Row],[CStd]]=0,0, (Table1[[#This Row],[FinalElo]]-Table1[[#This Row],[CAvg]]) / Table1[[#This Row],[CStd]])</f>
        <v>-0.97438346924308461</v>
      </c>
      <c r="AC1225" t="str">
        <f>IF(Table1[[#This Row],[CStd]]=0,"Normal", IF(ABS(Table1[[#This Row],[CZscore]])&gt;2,"Outlier","Normal"))</f>
        <v>Normal</v>
      </c>
    </row>
    <row r="1226" spans="1:29" x14ac:dyDescent="0.35">
      <c r="A1226" t="s">
        <v>721</v>
      </c>
      <c r="B1226">
        <v>52.616672000000001</v>
      </c>
      <c r="C1226">
        <v>163</v>
      </c>
      <c r="D1226" t="s">
        <v>89</v>
      </c>
      <c r="E1226">
        <v>25</v>
      </c>
      <c r="F1226" t="s">
        <v>337</v>
      </c>
      <c r="G1226" t="s">
        <v>34</v>
      </c>
      <c r="H1226" t="s">
        <v>29</v>
      </c>
      <c r="I1226" t="s">
        <v>36</v>
      </c>
      <c r="J1226">
        <v>0</v>
      </c>
      <c r="K1226">
        <v>1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1</v>
      </c>
      <c r="S1226">
        <v>0</v>
      </c>
      <c r="T1226">
        <v>0</v>
      </c>
      <c r="U1226">
        <v>0</v>
      </c>
      <c r="V1226">
        <v>0</v>
      </c>
      <c r="W1226">
        <v>1</v>
      </c>
      <c r="X1226">
        <v>920.43</v>
      </c>
      <c r="Y1226">
        <v>1000</v>
      </c>
      <c r="Z1226">
        <f>AVERAGEIFS(Table1[FinalElo], Table1[Country], Table1[[#This Row],[Country]])</f>
        <v>1012.0629025423733</v>
      </c>
      <c r="AA1226" cm="1">
        <f t="array" ref="AA1226">IF(COUNTIFS(Table1[Country],Table1[[#This Row],[Country]])=1,0, _xlfn.STDEV.S(IF(Table1[Country]=Table1[[#This Row],[Country]],Table1[FinalElo])))</f>
        <v>148.42180446198614</v>
      </c>
      <c r="AB1226">
        <f>IF(Table1[[#This Row],[CStd]]=0,0, (Table1[[#This Row],[FinalElo]]-Table1[[#This Row],[CAvg]]) / Table1[[#This Row],[CStd]])</f>
        <v>-0.61738167700179403</v>
      </c>
      <c r="AC1226" t="str">
        <f>IF(Table1[[#This Row],[CStd]]=0,"Normal", IF(ABS(Table1[[#This Row],[CZscore]])&gt;2,"Outlier","Normal"))</f>
        <v>Normal</v>
      </c>
    </row>
    <row r="1227" spans="1:29" x14ac:dyDescent="0.35">
      <c r="A1227" t="s">
        <v>719</v>
      </c>
      <c r="B1227">
        <v>77.099999999999994</v>
      </c>
      <c r="C1227">
        <v>187</v>
      </c>
      <c r="D1227" t="s">
        <v>116</v>
      </c>
      <c r="E1227">
        <v>30</v>
      </c>
      <c r="F1227" t="s">
        <v>720</v>
      </c>
      <c r="G1227" t="s">
        <v>40</v>
      </c>
      <c r="H1227" t="s">
        <v>29</v>
      </c>
      <c r="I1227" t="s">
        <v>30</v>
      </c>
      <c r="J1227">
        <v>1</v>
      </c>
      <c r="K1227">
        <v>1</v>
      </c>
      <c r="L1227">
        <v>0</v>
      </c>
      <c r="M1227">
        <v>1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2</v>
      </c>
      <c r="X1227">
        <v>1019.97</v>
      </c>
      <c r="Y1227">
        <v>1128.01</v>
      </c>
      <c r="Z1227">
        <f>AVERAGEIFS(Table1[FinalElo], Table1[Country], Table1[[#This Row],[Country]])</f>
        <v>980.88090909090931</v>
      </c>
      <c r="AA1227" cm="1">
        <f t="array" ref="AA1227">IF(COUNTIFS(Table1[Country],Table1[[#This Row],[Country]])=1,0, _xlfn.STDEV.S(IF(Table1[Country]=Table1[[#This Row],[Country]],Table1[FinalElo])))</f>
        <v>133.41794796376408</v>
      </c>
      <c r="AB1227">
        <f>IF(Table1[[#This Row],[CStd]]=0,0, (Table1[[#This Row],[FinalElo]]-Table1[[#This Row],[CAvg]]) / Table1[[#This Row],[CStd]])</f>
        <v>0.29298225243058901</v>
      </c>
      <c r="AC1227" t="str">
        <f>IF(Table1[[#This Row],[CStd]]=0,"Normal", IF(ABS(Table1[[#This Row],[CZscore]])&gt;2,"Outlier","Normal"))</f>
        <v>Normal</v>
      </c>
    </row>
    <row r="1228" spans="1:29" x14ac:dyDescent="0.35">
      <c r="A1228" t="s">
        <v>717</v>
      </c>
      <c r="B1228">
        <v>57.2</v>
      </c>
      <c r="C1228">
        <v>172</v>
      </c>
      <c r="D1228" t="s">
        <v>89</v>
      </c>
      <c r="E1228">
        <v>28</v>
      </c>
      <c r="F1228" t="s">
        <v>718</v>
      </c>
      <c r="G1228" t="s">
        <v>34</v>
      </c>
      <c r="H1228" t="s">
        <v>29</v>
      </c>
      <c r="I1228" t="s">
        <v>58</v>
      </c>
      <c r="J1228">
        <v>0</v>
      </c>
      <c r="K1228">
        <v>2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2</v>
      </c>
      <c r="V1228">
        <v>0</v>
      </c>
      <c r="W1228">
        <v>2</v>
      </c>
      <c r="X1228">
        <v>837.38</v>
      </c>
      <c r="Y1228">
        <v>1000</v>
      </c>
      <c r="Z1228">
        <f>AVERAGEIFS(Table1[FinalElo], Table1[Country], Table1[[#This Row],[Country]])</f>
        <v>1012.0629025423733</v>
      </c>
      <c r="AA1228" cm="1">
        <f t="array" ref="AA1228">IF(COUNTIFS(Table1[Country],Table1[[#This Row],[Country]])=1,0, _xlfn.STDEV.S(IF(Table1[Country]=Table1[[#This Row],[Country]],Table1[FinalElo])))</f>
        <v>148.42180446198614</v>
      </c>
      <c r="AB1228">
        <f>IF(Table1[[#This Row],[CStd]]=0,0, (Table1[[#This Row],[FinalElo]]-Table1[[#This Row],[CAvg]]) / Table1[[#This Row],[CStd]])</f>
        <v>-1.1769355801567092</v>
      </c>
      <c r="AC1228" t="str">
        <f>IF(Table1[[#This Row],[CStd]]=0,"Normal", IF(ABS(Table1[[#This Row],[CZscore]])&gt;2,"Outlier","Normal"))</f>
        <v>Normal</v>
      </c>
    </row>
    <row r="1229" spans="1:29" x14ac:dyDescent="0.35">
      <c r="A1229" t="s">
        <v>714</v>
      </c>
      <c r="B1229">
        <v>56.7</v>
      </c>
      <c r="C1229">
        <v>170</v>
      </c>
      <c r="D1229" t="s">
        <v>715</v>
      </c>
      <c r="E1229">
        <v>31</v>
      </c>
      <c r="F1229" t="s">
        <v>716</v>
      </c>
      <c r="G1229" t="s">
        <v>34</v>
      </c>
      <c r="H1229" t="s">
        <v>29</v>
      </c>
      <c r="I1229" t="s">
        <v>58</v>
      </c>
      <c r="J1229">
        <v>1</v>
      </c>
      <c r="K1229">
        <v>1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1</v>
      </c>
      <c r="R1229">
        <v>0</v>
      </c>
      <c r="S1229">
        <v>0</v>
      </c>
      <c r="T1229">
        <v>0</v>
      </c>
      <c r="U1229">
        <v>0</v>
      </c>
      <c r="V1229">
        <v>1</v>
      </c>
      <c r="W1229">
        <v>2</v>
      </c>
      <c r="X1229">
        <v>1045.96</v>
      </c>
      <c r="Y1229">
        <v>1045.96</v>
      </c>
      <c r="Z1229">
        <f>AVERAGEIFS(Table1[FinalElo], Table1[Country], Table1[[#This Row],[Country]])</f>
        <v>1045.96</v>
      </c>
      <c r="AA1229" cm="1">
        <f t="array" ref="AA1229">IF(COUNTIFS(Table1[Country],Table1[[#This Row],[Country]])=1,0, _xlfn.STDEV.S(IF(Table1[Country]=Table1[[#This Row],[Country]],Table1[FinalElo])))</f>
        <v>0</v>
      </c>
      <c r="AB1229">
        <f>IF(Table1[[#This Row],[CStd]]=0,0, (Table1[[#This Row],[FinalElo]]-Table1[[#This Row],[CAvg]]) / Table1[[#This Row],[CStd]])</f>
        <v>0</v>
      </c>
      <c r="AC1229" t="str">
        <f>IF(Table1[[#This Row],[CStd]]=0,"Normal", IF(ABS(Table1[[#This Row],[CZscore]])&gt;2,"Outlier","Normal"))</f>
        <v>Normal</v>
      </c>
    </row>
    <row r="1230" spans="1:29" x14ac:dyDescent="0.35">
      <c r="A1230" t="s">
        <v>710</v>
      </c>
      <c r="B1230">
        <v>47.63</v>
      </c>
      <c r="C1230">
        <v>160</v>
      </c>
      <c r="D1230" t="s">
        <v>174</v>
      </c>
      <c r="E1230">
        <v>27</v>
      </c>
      <c r="F1230" t="s">
        <v>711</v>
      </c>
      <c r="G1230" t="s">
        <v>34</v>
      </c>
      <c r="H1230" t="s">
        <v>29</v>
      </c>
      <c r="I1230" t="s">
        <v>55</v>
      </c>
      <c r="J1230">
        <v>0</v>
      </c>
      <c r="K1230">
        <v>1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1</v>
      </c>
      <c r="S1230">
        <v>0</v>
      </c>
      <c r="T1230">
        <v>0</v>
      </c>
      <c r="U1230">
        <v>0</v>
      </c>
      <c r="V1230">
        <v>0</v>
      </c>
      <c r="W1230">
        <v>1</v>
      </c>
      <c r="X1230">
        <v>900</v>
      </c>
      <c r="Y1230">
        <v>1000</v>
      </c>
      <c r="Z1230">
        <f>AVERAGEIFS(Table1[FinalElo], Table1[Country], Table1[[#This Row],[Country]])</f>
        <v>980.52444444444427</v>
      </c>
      <c r="AA1230" cm="1">
        <f t="array" ref="AA1230">IF(COUNTIFS(Table1[Country],Table1[[#This Row],[Country]])=1,0, _xlfn.STDEV.S(IF(Table1[Country]=Table1[[#This Row],[Country]],Table1[FinalElo])))</f>
        <v>143.66034832022171</v>
      </c>
      <c r="AB1230">
        <f>IF(Table1[[#This Row],[CStd]]=0,0, (Table1[[#This Row],[FinalElo]]-Table1[[#This Row],[CAvg]]) / Table1[[#This Row],[CStd]])</f>
        <v>-0.56051962414119805</v>
      </c>
      <c r="AC1230" t="str">
        <f>IF(Table1[[#This Row],[CStd]]=0,"Normal", IF(ABS(Table1[[#This Row],[CZscore]])&gt;2,"Outlier","Normal"))</f>
        <v>Normal</v>
      </c>
    </row>
    <row r="1231" spans="1:29" hidden="1" x14ac:dyDescent="0.35">
      <c r="A1231" t="s">
        <v>2178</v>
      </c>
      <c r="B1231">
        <v>65.8</v>
      </c>
      <c r="C1231">
        <v>172</v>
      </c>
      <c r="D1231" t="s">
        <v>89</v>
      </c>
      <c r="E1231">
        <v>28</v>
      </c>
      <c r="F1231" t="s">
        <v>2179</v>
      </c>
      <c r="G1231" t="s">
        <v>40</v>
      </c>
      <c r="I1231" t="s">
        <v>48</v>
      </c>
      <c r="J1231">
        <v>0</v>
      </c>
      <c r="K1231">
        <v>1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1</v>
      </c>
      <c r="S1231">
        <v>0</v>
      </c>
      <c r="T1231">
        <v>0</v>
      </c>
      <c r="U1231">
        <v>0</v>
      </c>
      <c r="V1231">
        <v>0</v>
      </c>
      <c r="W1231">
        <v>1</v>
      </c>
      <c r="X1231">
        <v>900</v>
      </c>
      <c r="Y1231">
        <v>1000</v>
      </c>
      <c r="Z1231">
        <f>AVERAGEIFS(Table1[FinalElo], Table1[Country], Table1[[#This Row],[Country]])</f>
        <v>1012.0629025423733</v>
      </c>
      <c r="AA1231" cm="1">
        <f t="array" ref="AA1231">IF(COUNTIFS(Table1[Country],Table1[[#This Row],[Country]])=1,0, _xlfn.STDEV.S(IF(Table1[Country]=Table1[[#This Row],[Country]],Table1[FinalElo])))</f>
        <v>148.42180446198614</v>
      </c>
      <c r="AB1231">
        <f>IF(Table1[[#This Row],[CStd]]=0,0, (Table1[[#This Row],[FinalElo]]-Table1[[#This Row],[CAvg]]) / Table1[[#This Row],[CStd]])</f>
        <v>-0.75502991591154589</v>
      </c>
      <c r="AC1231" t="str">
        <f>IF(Table1[[#This Row],[CStd]]=0,"Normal", IF(ABS(Table1[[#This Row],[CZscore]])&gt;2,"Outlier","Normal"))</f>
        <v>Normal</v>
      </c>
    </row>
    <row r="1232" spans="1:29" x14ac:dyDescent="0.35">
      <c r="A1232" t="s">
        <v>708</v>
      </c>
      <c r="B1232">
        <v>61.23</v>
      </c>
      <c r="C1232">
        <v>180</v>
      </c>
      <c r="D1232" t="s">
        <v>89</v>
      </c>
      <c r="E1232">
        <v>22</v>
      </c>
      <c r="F1232" t="s">
        <v>709</v>
      </c>
      <c r="G1232" t="s">
        <v>34</v>
      </c>
      <c r="H1232" t="s">
        <v>29</v>
      </c>
      <c r="I1232" t="s">
        <v>73</v>
      </c>
      <c r="J1232">
        <v>0</v>
      </c>
      <c r="K1232">
        <v>1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1</v>
      </c>
      <c r="X1232">
        <v>900</v>
      </c>
      <c r="Y1232">
        <v>1000</v>
      </c>
      <c r="Z1232">
        <f>AVERAGEIFS(Table1[FinalElo], Table1[Country], Table1[[#This Row],[Country]])</f>
        <v>1012.0629025423733</v>
      </c>
      <c r="AA1232" cm="1">
        <f t="array" ref="AA1232">IF(COUNTIFS(Table1[Country],Table1[[#This Row],[Country]])=1,0, _xlfn.STDEV.S(IF(Table1[Country]=Table1[[#This Row],[Country]],Table1[FinalElo])))</f>
        <v>148.42180446198614</v>
      </c>
      <c r="AB1232">
        <f>IF(Table1[[#This Row],[CStd]]=0,0, (Table1[[#This Row],[FinalElo]]-Table1[[#This Row],[CAvg]]) / Table1[[#This Row],[CStd]])</f>
        <v>-0.75502991591154589</v>
      </c>
      <c r="AC1232" t="str">
        <f>IF(Table1[[#This Row],[CStd]]=0,"Normal", IF(ABS(Table1[[#This Row],[CZscore]])&gt;2,"Outlier","Normal"))</f>
        <v>Normal</v>
      </c>
    </row>
    <row r="1233" spans="1:29" x14ac:dyDescent="0.35">
      <c r="A1233" t="s">
        <v>706</v>
      </c>
      <c r="B1233">
        <v>50.802303999999999</v>
      </c>
      <c r="C1233">
        <v>167</v>
      </c>
      <c r="D1233" t="s">
        <v>89</v>
      </c>
      <c r="E1233">
        <v>26</v>
      </c>
      <c r="F1233" t="s">
        <v>707</v>
      </c>
      <c r="G1233" t="s">
        <v>34</v>
      </c>
      <c r="H1233" t="s">
        <v>29</v>
      </c>
      <c r="I1233" t="s">
        <v>55</v>
      </c>
      <c r="J1233">
        <v>0</v>
      </c>
      <c r="K1233">
        <v>1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1</v>
      </c>
      <c r="X1233">
        <v>900</v>
      </c>
      <c r="Y1233">
        <v>1000</v>
      </c>
      <c r="Z1233">
        <f>AVERAGEIFS(Table1[FinalElo], Table1[Country], Table1[[#This Row],[Country]])</f>
        <v>1012.0629025423733</v>
      </c>
      <c r="AA1233" cm="1">
        <f t="array" ref="AA1233">IF(COUNTIFS(Table1[Country],Table1[[#This Row],[Country]])=1,0, _xlfn.STDEV.S(IF(Table1[Country]=Table1[[#This Row],[Country]],Table1[FinalElo])))</f>
        <v>148.42180446198614</v>
      </c>
      <c r="AB1233">
        <f>IF(Table1[[#This Row],[CStd]]=0,0, (Table1[[#This Row],[FinalElo]]-Table1[[#This Row],[CAvg]]) / Table1[[#This Row],[CStd]])</f>
        <v>-0.75502991591154589</v>
      </c>
      <c r="AC1233" t="str">
        <f>IF(Table1[[#This Row],[CStd]]=0,"Normal", IF(ABS(Table1[[#This Row],[CZscore]])&gt;2,"Outlier","Normal"))</f>
        <v>Normal</v>
      </c>
    </row>
    <row r="1234" spans="1:29" x14ac:dyDescent="0.35">
      <c r="A1234" t="s">
        <v>704</v>
      </c>
      <c r="B1234">
        <v>50.9</v>
      </c>
      <c r="C1234">
        <v>158</v>
      </c>
      <c r="D1234" t="s">
        <v>89</v>
      </c>
      <c r="E1234">
        <v>22</v>
      </c>
      <c r="F1234" t="s">
        <v>705</v>
      </c>
      <c r="G1234" t="s">
        <v>34</v>
      </c>
      <c r="H1234" t="s">
        <v>29</v>
      </c>
      <c r="I1234" t="s">
        <v>55</v>
      </c>
      <c r="J1234">
        <v>2</v>
      </c>
      <c r="K1234">
        <v>1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1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3</v>
      </c>
      <c r="X1234">
        <v>1137.3499999999999</v>
      </c>
      <c r="Y1234">
        <v>1137.3499999999999</v>
      </c>
      <c r="Z1234">
        <f>AVERAGEIFS(Table1[FinalElo], Table1[Country], Table1[[#This Row],[Country]])</f>
        <v>1012.0629025423733</v>
      </c>
      <c r="AA1234" cm="1">
        <f t="array" ref="AA1234">IF(COUNTIFS(Table1[Country],Table1[[#This Row],[Country]])=1,0, _xlfn.STDEV.S(IF(Table1[Country]=Table1[[#This Row],[Country]],Table1[FinalElo])))</f>
        <v>148.42180446198614</v>
      </c>
      <c r="AB1234">
        <f>IF(Table1[[#This Row],[CStd]]=0,0, (Table1[[#This Row],[FinalElo]]-Table1[[#This Row],[CAvg]]) / Table1[[#This Row],[CStd]])</f>
        <v>0.84412865017899164</v>
      </c>
      <c r="AC1234" t="str">
        <f>IF(Table1[[#This Row],[CStd]]=0,"Normal", IF(ABS(Table1[[#This Row],[CZscore]])&gt;2,"Outlier","Normal"))</f>
        <v>Normal</v>
      </c>
    </row>
    <row r="1235" spans="1:29" x14ac:dyDescent="0.35">
      <c r="A1235" t="s">
        <v>702</v>
      </c>
      <c r="B1235">
        <v>63.502879999999998</v>
      </c>
      <c r="C1235">
        <v>180</v>
      </c>
      <c r="D1235" t="s">
        <v>89</v>
      </c>
      <c r="E1235">
        <v>17</v>
      </c>
      <c r="F1235" t="s">
        <v>703</v>
      </c>
      <c r="G1235" t="s">
        <v>34</v>
      </c>
      <c r="H1235" t="s">
        <v>29</v>
      </c>
      <c r="I1235" t="s">
        <v>73</v>
      </c>
      <c r="J1235">
        <v>1</v>
      </c>
      <c r="K1235">
        <v>0</v>
      </c>
      <c r="L1235">
        <v>0</v>
      </c>
      <c r="M1235">
        <v>1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1</v>
      </c>
      <c r="X1235">
        <v>1074.81</v>
      </c>
      <c r="Y1235">
        <v>1074.81</v>
      </c>
      <c r="Z1235">
        <f>AVERAGEIFS(Table1[FinalElo], Table1[Country], Table1[[#This Row],[Country]])</f>
        <v>1012.0629025423733</v>
      </c>
      <c r="AA1235" cm="1">
        <f t="array" ref="AA1235">IF(COUNTIFS(Table1[Country],Table1[[#This Row],[Country]])=1,0, _xlfn.STDEV.S(IF(Table1[Country]=Table1[[#This Row],[Country]],Table1[FinalElo])))</f>
        <v>148.42180446198614</v>
      </c>
      <c r="AB1235">
        <f>IF(Table1[[#This Row],[CStd]]=0,0, (Table1[[#This Row],[FinalElo]]-Table1[[#This Row],[CAvg]]) / Table1[[#This Row],[CStd]])</f>
        <v>0.42276199029568767</v>
      </c>
      <c r="AC1235" t="str">
        <f>IF(Table1[[#This Row],[CStd]]=0,"Normal", IF(ABS(Table1[[#This Row],[CZscore]])&gt;2,"Outlier","Normal"))</f>
        <v>Normal</v>
      </c>
    </row>
    <row r="1236" spans="1:29" x14ac:dyDescent="0.35">
      <c r="A1236" t="s">
        <v>700</v>
      </c>
      <c r="B1236">
        <v>47.63</v>
      </c>
      <c r="C1236">
        <v>170</v>
      </c>
      <c r="D1236" t="s">
        <v>89</v>
      </c>
      <c r="E1236">
        <v>18</v>
      </c>
      <c r="F1236" t="s">
        <v>701</v>
      </c>
      <c r="G1236" t="s">
        <v>34</v>
      </c>
      <c r="H1236" t="s">
        <v>29</v>
      </c>
      <c r="I1236" t="s">
        <v>55</v>
      </c>
      <c r="J1236">
        <v>0</v>
      </c>
      <c r="K1236">
        <v>1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1</v>
      </c>
      <c r="X1236">
        <v>928.01</v>
      </c>
      <c r="Y1236">
        <v>1000</v>
      </c>
      <c r="Z1236">
        <f>AVERAGEIFS(Table1[FinalElo], Table1[Country], Table1[[#This Row],[Country]])</f>
        <v>1012.0629025423733</v>
      </c>
      <c r="AA1236" cm="1">
        <f t="array" ref="AA1236">IF(COUNTIFS(Table1[Country],Table1[[#This Row],[Country]])=1,0, _xlfn.STDEV.S(IF(Table1[Country]=Table1[[#This Row],[Country]],Table1[FinalElo])))</f>
        <v>148.42180446198614</v>
      </c>
      <c r="AB1236">
        <f>IF(Table1[[#This Row],[CStd]]=0,0, (Table1[[#This Row],[FinalElo]]-Table1[[#This Row],[CAvg]]) / Table1[[#This Row],[CStd]])</f>
        <v>-0.56631101371564974</v>
      </c>
      <c r="AC1236" t="str">
        <f>IF(Table1[[#This Row],[CStd]]=0,"Normal", IF(ABS(Table1[[#This Row],[CZscore]])&gt;2,"Outlier","Normal"))</f>
        <v>Normal</v>
      </c>
    </row>
    <row r="1237" spans="1:29" x14ac:dyDescent="0.35">
      <c r="A1237" t="s">
        <v>698</v>
      </c>
      <c r="B1237">
        <v>56.7</v>
      </c>
      <c r="C1237">
        <v>169</v>
      </c>
      <c r="D1237" t="s">
        <v>89</v>
      </c>
      <c r="E1237">
        <v>27</v>
      </c>
      <c r="F1237" t="s">
        <v>699</v>
      </c>
      <c r="G1237" t="s">
        <v>34</v>
      </c>
      <c r="H1237" t="s">
        <v>29</v>
      </c>
      <c r="I1237" t="s">
        <v>58</v>
      </c>
      <c r="J1237">
        <v>1</v>
      </c>
      <c r="K1237">
        <v>2</v>
      </c>
      <c r="L1237">
        <v>0</v>
      </c>
      <c r="M1237">
        <v>0</v>
      </c>
      <c r="N1237">
        <v>0</v>
      </c>
      <c r="O1237">
        <v>0</v>
      </c>
      <c r="P1237">
        <v>1</v>
      </c>
      <c r="Q1237">
        <v>0</v>
      </c>
      <c r="R1237">
        <v>1</v>
      </c>
      <c r="S1237">
        <v>0</v>
      </c>
      <c r="T1237">
        <v>0</v>
      </c>
      <c r="U1237">
        <v>0</v>
      </c>
      <c r="V1237">
        <v>0</v>
      </c>
      <c r="W1237">
        <v>3</v>
      </c>
      <c r="X1237">
        <v>974.28</v>
      </c>
      <c r="Y1237">
        <v>1141.6199999999999</v>
      </c>
      <c r="Z1237">
        <f>AVERAGEIFS(Table1[FinalElo], Table1[Country], Table1[[#This Row],[Country]])</f>
        <v>1012.0629025423733</v>
      </c>
      <c r="AA1237" cm="1">
        <f t="array" ref="AA1237">IF(COUNTIFS(Table1[Country],Table1[[#This Row],[Country]])=1,0, _xlfn.STDEV.S(IF(Table1[Country]=Table1[[#This Row],[Country]],Table1[FinalElo])))</f>
        <v>148.42180446198614</v>
      </c>
      <c r="AB1237">
        <f>IF(Table1[[#This Row],[CStd]]=0,0, (Table1[[#This Row],[FinalElo]]-Table1[[#This Row],[CAvg]]) / Table1[[#This Row],[CStd]])</f>
        <v>-0.2545643659254278</v>
      </c>
      <c r="AC1237" t="str">
        <f>IF(Table1[[#This Row],[CStd]]=0,"Normal", IF(ABS(Table1[[#This Row],[CZscore]])&gt;2,"Outlier","Normal"))</f>
        <v>Normal</v>
      </c>
    </row>
    <row r="1238" spans="1:29" x14ac:dyDescent="0.35">
      <c r="A1238" t="s">
        <v>696</v>
      </c>
      <c r="B1238">
        <v>56.7</v>
      </c>
      <c r="C1238">
        <v>176</v>
      </c>
      <c r="D1238" t="s">
        <v>89</v>
      </c>
      <c r="E1238">
        <v>19</v>
      </c>
      <c r="F1238" t="s">
        <v>697</v>
      </c>
      <c r="G1238" t="s">
        <v>34</v>
      </c>
      <c r="H1238" t="s">
        <v>29</v>
      </c>
      <c r="I1238" t="s">
        <v>58</v>
      </c>
      <c r="J1238">
        <v>0</v>
      </c>
      <c r="K1238">
        <v>4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2</v>
      </c>
      <c r="V1238">
        <v>0</v>
      </c>
      <c r="W1238">
        <v>4</v>
      </c>
      <c r="X1238">
        <v>740.97</v>
      </c>
      <c r="Y1238">
        <v>1000</v>
      </c>
      <c r="Z1238">
        <f>AVERAGEIFS(Table1[FinalElo], Table1[Country], Table1[[#This Row],[Country]])</f>
        <v>1012.0629025423733</v>
      </c>
      <c r="AA1238" cm="1">
        <f t="array" ref="AA1238">IF(COUNTIFS(Table1[Country],Table1[[#This Row],[Country]])=1,0, _xlfn.STDEV.S(IF(Table1[Country]=Table1[[#This Row],[Country]],Table1[FinalElo])))</f>
        <v>148.42180446198614</v>
      </c>
      <c r="AB1238">
        <f>IF(Table1[[#This Row],[CStd]]=0,0, (Table1[[#This Row],[FinalElo]]-Table1[[#This Row],[CAvg]]) / Table1[[#This Row],[CStd]])</f>
        <v>-1.8265032117420841</v>
      </c>
      <c r="AC1238" t="str">
        <f>IF(Table1[[#This Row],[CStd]]=0,"Normal", IF(ABS(Table1[[#This Row],[CZscore]])&gt;2,"Outlier","Normal"))</f>
        <v>Normal</v>
      </c>
    </row>
    <row r="1239" spans="1:29" x14ac:dyDescent="0.35">
      <c r="A1239" t="s">
        <v>694</v>
      </c>
      <c r="B1239">
        <v>74.842680000000001</v>
      </c>
      <c r="C1239">
        <v>179</v>
      </c>
      <c r="D1239" t="s">
        <v>89</v>
      </c>
      <c r="E1239">
        <v>29</v>
      </c>
      <c r="F1239" t="s">
        <v>695</v>
      </c>
      <c r="G1239" t="s">
        <v>34</v>
      </c>
      <c r="H1239" t="s">
        <v>29</v>
      </c>
      <c r="I1239" t="s">
        <v>30</v>
      </c>
      <c r="J1239">
        <v>0</v>
      </c>
      <c r="K1239">
        <v>1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1</v>
      </c>
      <c r="X1239">
        <v>900</v>
      </c>
      <c r="Y1239">
        <v>1000</v>
      </c>
      <c r="Z1239">
        <f>AVERAGEIFS(Table1[FinalElo], Table1[Country], Table1[[#This Row],[Country]])</f>
        <v>1012.0629025423733</v>
      </c>
      <c r="AA1239" cm="1">
        <f t="array" ref="AA1239">IF(COUNTIFS(Table1[Country],Table1[[#This Row],[Country]])=1,0, _xlfn.STDEV.S(IF(Table1[Country]=Table1[[#This Row],[Country]],Table1[FinalElo])))</f>
        <v>148.42180446198614</v>
      </c>
      <c r="AB1239">
        <f>IF(Table1[[#This Row],[CStd]]=0,0, (Table1[[#This Row],[FinalElo]]-Table1[[#This Row],[CAvg]]) / Table1[[#This Row],[CStd]])</f>
        <v>-0.75502991591154589</v>
      </c>
      <c r="AC1239" t="str">
        <f>IF(Table1[[#This Row],[CStd]]=0,"Normal", IF(ABS(Table1[[#This Row],[CZscore]])&gt;2,"Outlier","Normal"))</f>
        <v>Normal</v>
      </c>
    </row>
    <row r="1240" spans="1:29" x14ac:dyDescent="0.35">
      <c r="A1240" t="s">
        <v>692</v>
      </c>
      <c r="B1240">
        <v>61.23</v>
      </c>
      <c r="C1240">
        <v>169</v>
      </c>
      <c r="D1240" t="s">
        <v>52</v>
      </c>
      <c r="E1240">
        <v>26</v>
      </c>
      <c r="F1240" t="s">
        <v>693</v>
      </c>
      <c r="G1240" t="s">
        <v>54</v>
      </c>
      <c r="H1240" t="s">
        <v>29</v>
      </c>
      <c r="I1240" t="s">
        <v>73</v>
      </c>
      <c r="J1240">
        <v>1</v>
      </c>
      <c r="K1240">
        <v>1</v>
      </c>
      <c r="L1240">
        <v>0</v>
      </c>
      <c r="M1240">
        <v>0</v>
      </c>
      <c r="N1240">
        <v>1</v>
      </c>
      <c r="O1240">
        <v>0</v>
      </c>
      <c r="P1240">
        <v>0</v>
      </c>
      <c r="Q1240">
        <v>0</v>
      </c>
      <c r="R1240">
        <v>0</v>
      </c>
      <c r="S1240">
        <v>1</v>
      </c>
      <c r="T1240">
        <v>0</v>
      </c>
      <c r="U1240">
        <v>0</v>
      </c>
      <c r="V1240">
        <v>0</v>
      </c>
      <c r="W1240">
        <v>2</v>
      </c>
      <c r="X1240">
        <v>1016.19</v>
      </c>
      <c r="Y1240">
        <v>1128.01</v>
      </c>
      <c r="Z1240">
        <f>AVERAGEIFS(Table1[FinalElo], Table1[Country], Table1[[#This Row],[Country]])</f>
        <v>1039.8985714285714</v>
      </c>
      <c r="AA1240" cm="1">
        <f t="array" ref="AA1240">IF(COUNTIFS(Table1[Country],Table1[[#This Row],[Country]])=1,0, _xlfn.STDEV.S(IF(Table1[Country]=Table1[[#This Row],[Country]],Table1[FinalElo])))</f>
        <v>194.01778111336392</v>
      </c>
      <c r="AB1240">
        <f>IF(Table1[[#This Row],[CStd]]=0,0, (Table1[[#This Row],[FinalElo]]-Table1[[#This Row],[CAvg]]) / Table1[[#This Row],[CStd]])</f>
        <v>-0.12219793099642999</v>
      </c>
      <c r="AC1240" t="str">
        <f>IF(Table1[[#This Row],[CStd]]=0,"Normal", IF(ABS(Table1[[#This Row],[CZscore]])&gt;2,"Outlier","Normal"))</f>
        <v>Normal</v>
      </c>
    </row>
    <row r="1241" spans="1:29" x14ac:dyDescent="0.35">
      <c r="A1241" t="s">
        <v>691</v>
      </c>
      <c r="B1241">
        <v>58.513368</v>
      </c>
      <c r="C1241">
        <v>168</v>
      </c>
      <c r="D1241" t="s">
        <v>89</v>
      </c>
      <c r="E1241">
        <v>26</v>
      </c>
      <c r="F1241" t="s">
        <v>674</v>
      </c>
      <c r="G1241" t="s">
        <v>34</v>
      </c>
      <c r="H1241" t="s">
        <v>29</v>
      </c>
      <c r="I1241" t="s">
        <v>58</v>
      </c>
      <c r="J1241">
        <v>5</v>
      </c>
      <c r="K1241">
        <v>5</v>
      </c>
      <c r="L1241">
        <v>0</v>
      </c>
      <c r="M1241">
        <v>0</v>
      </c>
      <c r="N1241">
        <v>0</v>
      </c>
      <c r="O1241">
        <v>0</v>
      </c>
      <c r="P1241">
        <v>2</v>
      </c>
      <c r="Q1241">
        <v>2</v>
      </c>
      <c r="R1241">
        <v>0</v>
      </c>
      <c r="S1241">
        <v>0</v>
      </c>
      <c r="T1241">
        <v>0</v>
      </c>
      <c r="U1241">
        <v>5</v>
      </c>
      <c r="V1241">
        <v>0</v>
      </c>
      <c r="W1241">
        <v>10</v>
      </c>
      <c r="X1241">
        <v>1064.6099999999999</v>
      </c>
      <c r="Y1241">
        <v>1148.05</v>
      </c>
      <c r="Z1241">
        <f>AVERAGEIFS(Table1[FinalElo], Table1[Country], Table1[[#This Row],[Country]])</f>
        <v>1012.0629025423733</v>
      </c>
      <c r="AA1241" cm="1">
        <f t="array" ref="AA1241">IF(COUNTIFS(Table1[Country],Table1[[#This Row],[Country]])=1,0, _xlfn.STDEV.S(IF(Table1[Country]=Table1[[#This Row],[Country]],Table1[FinalElo])))</f>
        <v>148.42180446198614</v>
      </c>
      <c r="AB1241">
        <f>IF(Table1[[#This Row],[CStd]]=0,0, (Table1[[#This Row],[FinalElo]]-Table1[[#This Row],[CAvg]]) / Table1[[#This Row],[CStd]])</f>
        <v>0.35403893415865978</v>
      </c>
      <c r="AC1241" t="str">
        <f>IF(Table1[[#This Row],[CStd]]=0,"Normal", IF(ABS(Table1[[#This Row],[CZscore]])&gt;2,"Outlier","Normal"))</f>
        <v>Normal</v>
      </c>
    </row>
    <row r="1242" spans="1:29" x14ac:dyDescent="0.35">
      <c r="A1242" t="s">
        <v>688</v>
      </c>
      <c r="B1242">
        <v>62.4</v>
      </c>
      <c r="C1242">
        <v>175</v>
      </c>
      <c r="D1242" t="s">
        <v>689</v>
      </c>
      <c r="E1242">
        <v>25</v>
      </c>
      <c r="F1242" t="s">
        <v>690</v>
      </c>
      <c r="G1242" t="s">
        <v>34</v>
      </c>
      <c r="H1242" t="s">
        <v>29</v>
      </c>
      <c r="I1242" t="s">
        <v>73</v>
      </c>
      <c r="J1242">
        <v>1</v>
      </c>
      <c r="K1242">
        <v>2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3</v>
      </c>
      <c r="X1242">
        <v>826.72</v>
      </c>
      <c r="Y1242">
        <v>1134.72</v>
      </c>
      <c r="Z1242">
        <f>AVERAGEIFS(Table1[FinalElo], Table1[Country], Table1[[#This Row],[Country]])</f>
        <v>826.72</v>
      </c>
      <c r="AA1242" cm="1">
        <f t="array" ref="AA1242">IF(COUNTIFS(Table1[Country],Table1[[#This Row],[Country]])=1,0, _xlfn.STDEV.S(IF(Table1[Country]=Table1[[#This Row],[Country]],Table1[FinalElo])))</f>
        <v>0</v>
      </c>
      <c r="AB1242">
        <f>IF(Table1[[#This Row],[CStd]]=0,0, (Table1[[#This Row],[FinalElo]]-Table1[[#This Row],[CAvg]]) / Table1[[#This Row],[CStd]])</f>
        <v>0</v>
      </c>
      <c r="AC1242" t="str">
        <f>IF(Table1[[#This Row],[CStd]]=0,"Normal", IF(ABS(Table1[[#This Row],[CZscore]])&gt;2,"Outlier","Normal"))</f>
        <v>Normal</v>
      </c>
    </row>
    <row r="1243" spans="1:29" x14ac:dyDescent="0.35">
      <c r="A1243" t="s">
        <v>685</v>
      </c>
      <c r="B1243">
        <v>61.1</v>
      </c>
      <c r="C1243">
        <v>165</v>
      </c>
      <c r="D1243" t="s">
        <v>686</v>
      </c>
      <c r="E1243">
        <v>40</v>
      </c>
      <c r="F1243" t="s">
        <v>687</v>
      </c>
      <c r="G1243" t="s">
        <v>34</v>
      </c>
      <c r="H1243" t="s">
        <v>29</v>
      </c>
      <c r="I1243" t="s">
        <v>58</v>
      </c>
      <c r="J1243">
        <v>3</v>
      </c>
      <c r="K1243">
        <v>4</v>
      </c>
      <c r="L1243">
        <v>1</v>
      </c>
      <c r="M1243">
        <v>0</v>
      </c>
      <c r="N1243">
        <v>0</v>
      </c>
      <c r="O1243">
        <v>0</v>
      </c>
      <c r="P1243">
        <v>2</v>
      </c>
      <c r="Q1243">
        <v>0</v>
      </c>
      <c r="R1243">
        <v>1</v>
      </c>
      <c r="S1243">
        <v>0</v>
      </c>
      <c r="T1243">
        <v>0</v>
      </c>
      <c r="U1243">
        <v>2</v>
      </c>
      <c r="V1243">
        <v>0</v>
      </c>
      <c r="W1243">
        <v>8</v>
      </c>
      <c r="X1243">
        <v>1104.57</v>
      </c>
      <c r="Y1243">
        <v>1187.48</v>
      </c>
      <c r="Z1243">
        <f>AVERAGEIFS(Table1[FinalElo], Table1[Country], Table1[[#This Row],[Country]])</f>
        <v>1104.57</v>
      </c>
      <c r="AA1243" cm="1">
        <f t="array" ref="AA1243">IF(COUNTIFS(Table1[Country],Table1[[#This Row],[Country]])=1,0, _xlfn.STDEV.S(IF(Table1[Country]=Table1[[#This Row],[Country]],Table1[FinalElo])))</f>
        <v>0</v>
      </c>
      <c r="AB1243">
        <f>IF(Table1[[#This Row],[CStd]]=0,0, (Table1[[#This Row],[FinalElo]]-Table1[[#This Row],[CAvg]]) / Table1[[#This Row],[CStd]])</f>
        <v>0</v>
      </c>
      <c r="AC1243" t="str">
        <f>IF(Table1[[#This Row],[CStd]]=0,"Normal", IF(ABS(Table1[[#This Row],[CZscore]])&gt;2,"Outlier","Normal"))</f>
        <v>Normal</v>
      </c>
    </row>
    <row r="1244" spans="1:29" x14ac:dyDescent="0.35">
      <c r="A1244" t="s">
        <v>683</v>
      </c>
      <c r="B1244">
        <v>75.749864000000002</v>
      </c>
      <c r="C1244">
        <v>178</v>
      </c>
      <c r="D1244" t="s">
        <v>38</v>
      </c>
      <c r="E1244">
        <v>28</v>
      </c>
      <c r="F1244" t="s">
        <v>684</v>
      </c>
      <c r="G1244" t="s">
        <v>34</v>
      </c>
      <c r="H1244" t="s">
        <v>29</v>
      </c>
      <c r="I1244" t="s">
        <v>30</v>
      </c>
      <c r="J1244">
        <v>2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2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2</v>
      </c>
      <c r="X1244">
        <v>1183.0999999999999</v>
      </c>
      <c r="Y1244">
        <v>1183.0999999999999</v>
      </c>
      <c r="Z1244">
        <f>AVERAGEIFS(Table1[FinalElo], Table1[Country], Table1[[#This Row],[Country]])</f>
        <v>1057.4495402298851</v>
      </c>
      <c r="AA1244" cm="1">
        <f t="array" ref="AA1244">IF(COUNTIFS(Table1[Country],Table1[[#This Row],[Country]])=1,0, _xlfn.STDEV.S(IF(Table1[Country]=Table1[[#This Row],[Country]],Table1[FinalElo])))</f>
        <v>156.98667602259493</v>
      </c>
      <c r="AB1244">
        <f>IF(Table1[[#This Row],[CStd]]=0,0, (Table1[[#This Row],[FinalElo]]-Table1[[#This Row],[CAvg]]) / Table1[[#This Row],[CStd]])</f>
        <v>0.80038932572870114</v>
      </c>
      <c r="AC1244" t="str">
        <f>IF(Table1[[#This Row],[CStd]]=0,"Normal", IF(ABS(Table1[[#This Row],[CZscore]])&gt;2,"Outlier","Normal"))</f>
        <v>Normal</v>
      </c>
    </row>
    <row r="1245" spans="1:29" x14ac:dyDescent="0.35">
      <c r="A1245" t="s">
        <v>681</v>
      </c>
      <c r="B1245">
        <v>65.599999999999994</v>
      </c>
      <c r="C1245">
        <v>175</v>
      </c>
      <c r="D1245" t="s">
        <v>38</v>
      </c>
      <c r="E1245">
        <v>30</v>
      </c>
      <c r="F1245" t="s">
        <v>682</v>
      </c>
      <c r="G1245" t="s">
        <v>40</v>
      </c>
      <c r="H1245" t="s">
        <v>29</v>
      </c>
      <c r="I1245" t="s">
        <v>73</v>
      </c>
      <c r="J1245">
        <v>0</v>
      </c>
      <c r="K1245">
        <v>1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1</v>
      </c>
      <c r="W1245">
        <v>1</v>
      </c>
      <c r="X1245">
        <v>928.01</v>
      </c>
      <c r="Y1245">
        <v>1000</v>
      </c>
      <c r="Z1245">
        <f>AVERAGEIFS(Table1[FinalElo], Table1[Country], Table1[[#This Row],[Country]])</f>
        <v>1057.4495402298851</v>
      </c>
      <c r="AA1245" cm="1">
        <f t="array" ref="AA1245">IF(COUNTIFS(Table1[Country],Table1[[#This Row],[Country]])=1,0, _xlfn.STDEV.S(IF(Table1[Country]=Table1[[#This Row],[Country]],Table1[FinalElo])))</f>
        <v>156.98667602259493</v>
      </c>
      <c r="AB1245">
        <f>IF(Table1[[#This Row],[CStd]]=0,0, (Table1[[#This Row],[FinalElo]]-Table1[[#This Row],[CAvg]]) / Table1[[#This Row],[CStd]])</f>
        <v>-0.82452564452829735</v>
      </c>
      <c r="AC1245" t="str">
        <f>IF(Table1[[#This Row],[CStd]]=0,"Normal", IF(ABS(Table1[[#This Row],[CZscore]])&gt;2,"Outlier","Normal"))</f>
        <v>Normal</v>
      </c>
    </row>
    <row r="1246" spans="1:29" x14ac:dyDescent="0.35">
      <c r="A1246" t="s">
        <v>679</v>
      </c>
      <c r="B1246">
        <v>55.338223999999997</v>
      </c>
      <c r="C1246">
        <v>163</v>
      </c>
      <c r="D1246" t="s">
        <v>89</v>
      </c>
      <c r="E1246">
        <v>28</v>
      </c>
      <c r="F1246" t="s">
        <v>680</v>
      </c>
      <c r="G1246" t="s">
        <v>34</v>
      </c>
      <c r="H1246" t="s">
        <v>29</v>
      </c>
      <c r="I1246" t="s">
        <v>36</v>
      </c>
      <c r="J1246">
        <v>0</v>
      </c>
      <c r="K1246">
        <v>1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1</v>
      </c>
      <c r="W1246">
        <v>1</v>
      </c>
      <c r="X1246">
        <v>900</v>
      </c>
      <c r="Y1246">
        <v>1000</v>
      </c>
      <c r="Z1246">
        <f>AVERAGEIFS(Table1[FinalElo], Table1[Country], Table1[[#This Row],[Country]])</f>
        <v>1012.0629025423733</v>
      </c>
      <c r="AA1246" cm="1">
        <f t="array" ref="AA1246">IF(COUNTIFS(Table1[Country],Table1[[#This Row],[Country]])=1,0, _xlfn.STDEV.S(IF(Table1[Country]=Table1[[#This Row],[Country]],Table1[FinalElo])))</f>
        <v>148.42180446198614</v>
      </c>
      <c r="AB1246">
        <f>IF(Table1[[#This Row],[CStd]]=0,0, (Table1[[#This Row],[FinalElo]]-Table1[[#This Row],[CAvg]]) / Table1[[#This Row],[CStd]])</f>
        <v>-0.75502991591154589</v>
      </c>
      <c r="AC1246" t="str">
        <f>IF(Table1[[#This Row],[CStd]]=0,"Normal", IF(ABS(Table1[[#This Row],[CZscore]])&gt;2,"Outlier","Normal"))</f>
        <v>Normal</v>
      </c>
    </row>
    <row r="1247" spans="1:29" x14ac:dyDescent="0.35">
      <c r="A1247" t="s">
        <v>56</v>
      </c>
      <c r="B1247">
        <v>60.7</v>
      </c>
      <c r="C1247">
        <v>160</v>
      </c>
      <c r="D1247" t="s">
        <v>52</v>
      </c>
      <c r="E1247">
        <v>39</v>
      </c>
      <c r="F1247" t="s">
        <v>57</v>
      </c>
      <c r="G1247" t="s">
        <v>40</v>
      </c>
      <c r="H1247" t="s">
        <v>29</v>
      </c>
      <c r="I1247" t="s">
        <v>58</v>
      </c>
      <c r="J1247">
        <v>6</v>
      </c>
      <c r="K1247">
        <v>1</v>
      </c>
      <c r="L1247">
        <v>0</v>
      </c>
      <c r="M1247">
        <v>0</v>
      </c>
      <c r="N1247">
        <v>2</v>
      </c>
      <c r="O1247">
        <v>0</v>
      </c>
      <c r="P1247">
        <v>3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7</v>
      </c>
      <c r="X1247">
        <v>1603.55</v>
      </c>
      <c r="Y1247">
        <v>1603.55</v>
      </c>
      <c r="Z1247">
        <f>AVERAGEIFS(Table1[FinalElo], Table1[Country], Table1[[#This Row],[Country]])</f>
        <v>1039.8985714285714</v>
      </c>
      <c r="AA1247" cm="1">
        <f t="array" ref="AA1247">IF(COUNTIFS(Table1[Country],Table1[[#This Row],[Country]])=1,0, _xlfn.STDEV.S(IF(Table1[Country]=Table1[[#This Row],[Country]],Table1[FinalElo])))</f>
        <v>194.01778111336392</v>
      </c>
      <c r="AB1247">
        <f>IF(Table1[[#This Row],[CStd]]=0,0, (Table1[[#This Row],[FinalElo]]-Table1[[#This Row],[CAvg]]) / Table1[[#This Row],[CStd]])</f>
        <v>2.9051534624142978</v>
      </c>
      <c r="AC1247" t="str">
        <f>IF(Table1[[#This Row],[CStd]]=0,"Normal", IF(ABS(Table1[[#This Row],[CZscore]])&gt;2,"Outlier","Normal"))</f>
        <v>Outlier</v>
      </c>
    </row>
    <row r="1248" spans="1:29" x14ac:dyDescent="0.35">
      <c r="A1248" t="s">
        <v>677</v>
      </c>
      <c r="B1248">
        <v>56.7</v>
      </c>
      <c r="C1248">
        <v>166</v>
      </c>
      <c r="D1248" t="s">
        <v>368</v>
      </c>
      <c r="E1248">
        <v>24</v>
      </c>
      <c r="F1248" t="s">
        <v>678</v>
      </c>
      <c r="G1248" t="s">
        <v>40</v>
      </c>
      <c r="H1248" t="s">
        <v>29</v>
      </c>
      <c r="I1248" t="s">
        <v>58</v>
      </c>
      <c r="J1248">
        <v>0</v>
      </c>
      <c r="K1248">
        <v>1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1</v>
      </c>
      <c r="S1248">
        <v>0</v>
      </c>
      <c r="T1248">
        <v>0</v>
      </c>
      <c r="U1248">
        <v>0</v>
      </c>
      <c r="V1248">
        <v>0</v>
      </c>
      <c r="W1248">
        <v>1</v>
      </c>
      <c r="X1248">
        <v>928.01</v>
      </c>
      <c r="Y1248">
        <v>1000</v>
      </c>
      <c r="Z1248">
        <f>AVERAGEIFS(Table1[FinalElo], Table1[Country], Table1[[#This Row],[Country]])</f>
        <v>980.53583333333336</v>
      </c>
      <c r="AA1248" cm="1">
        <f t="array" ref="AA1248">IF(COUNTIFS(Table1[Country],Table1[[#This Row],[Country]])=1,0, _xlfn.STDEV.S(IF(Table1[Country]=Table1[[#This Row],[Country]],Table1[FinalElo])))</f>
        <v>85.643213227725752</v>
      </c>
      <c r="AB1248">
        <f>IF(Table1[[#This Row],[CStd]]=0,0, (Table1[[#This Row],[FinalElo]]-Table1[[#This Row],[CAvg]]) / Table1[[#This Row],[CStd]])</f>
        <v>-0.6133099326115532</v>
      </c>
      <c r="AC1248" t="str">
        <f>IF(Table1[[#This Row],[CStd]]=0,"Normal", IF(ABS(Table1[[#This Row],[CZscore]])&gt;2,"Outlier","Normal"))</f>
        <v>Normal</v>
      </c>
    </row>
    <row r="1249" spans="1:29" x14ac:dyDescent="0.35">
      <c r="A1249" t="s">
        <v>675</v>
      </c>
      <c r="B1249">
        <v>56.7</v>
      </c>
      <c r="C1249">
        <v>175</v>
      </c>
      <c r="D1249" t="s">
        <v>89</v>
      </c>
      <c r="E1249">
        <v>22</v>
      </c>
      <c r="F1249" t="s">
        <v>676</v>
      </c>
      <c r="G1249" t="s">
        <v>34</v>
      </c>
      <c r="H1249" t="s">
        <v>29</v>
      </c>
      <c r="I1249" t="s">
        <v>58</v>
      </c>
      <c r="J1249">
        <v>5</v>
      </c>
      <c r="K1249">
        <v>4</v>
      </c>
      <c r="L1249">
        <v>0</v>
      </c>
      <c r="M1249">
        <v>0</v>
      </c>
      <c r="N1249">
        <v>0</v>
      </c>
      <c r="O1249">
        <v>0</v>
      </c>
      <c r="P1249">
        <v>5</v>
      </c>
      <c r="Q1249">
        <v>0</v>
      </c>
      <c r="R1249">
        <v>1</v>
      </c>
      <c r="S1249">
        <v>0</v>
      </c>
      <c r="T1249">
        <v>0</v>
      </c>
      <c r="U1249">
        <v>2</v>
      </c>
      <c r="V1249">
        <v>0</v>
      </c>
      <c r="W1249">
        <v>9</v>
      </c>
      <c r="X1249">
        <v>1078.58</v>
      </c>
      <c r="Y1249">
        <v>1346.49</v>
      </c>
      <c r="Z1249">
        <f>AVERAGEIFS(Table1[FinalElo], Table1[Country], Table1[[#This Row],[Country]])</f>
        <v>1012.0629025423733</v>
      </c>
      <c r="AA1249" cm="1">
        <f t="array" ref="AA1249">IF(COUNTIFS(Table1[Country],Table1[[#This Row],[Country]])=1,0, _xlfn.STDEV.S(IF(Table1[Country]=Table1[[#This Row],[Country]],Table1[FinalElo])))</f>
        <v>148.42180446198614</v>
      </c>
      <c r="AB1249">
        <f>IF(Table1[[#This Row],[CStd]]=0,0, (Table1[[#This Row],[FinalElo]]-Table1[[#This Row],[CAvg]]) / Table1[[#This Row],[CStd]])</f>
        <v>0.44816257084829481</v>
      </c>
      <c r="AC1249" t="str">
        <f>IF(Table1[[#This Row],[CStd]]=0,"Normal", IF(ABS(Table1[[#This Row],[CZscore]])&gt;2,"Outlier","Normal"))</f>
        <v>Normal</v>
      </c>
    </row>
    <row r="1250" spans="1:29" x14ac:dyDescent="0.35">
      <c r="A1250" t="s">
        <v>673</v>
      </c>
      <c r="B1250">
        <v>58.96696</v>
      </c>
      <c r="C1250">
        <v>175</v>
      </c>
      <c r="D1250" t="s">
        <v>89</v>
      </c>
      <c r="E1250">
        <v>22</v>
      </c>
      <c r="F1250" t="s">
        <v>674</v>
      </c>
      <c r="G1250" t="s">
        <v>34</v>
      </c>
      <c r="H1250" t="s">
        <v>29</v>
      </c>
      <c r="I1250" t="s">
        <v>58</v>
      </c>
      <c r="J1250">
        <v>2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1</v>
      </c>
      <c r="Q1250">
        <v>1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2</v>
      </c>
      <c r="X1250">
        <v>1185.9000000000001</v>
      </c>
      <c r="Y1250">
        <v>1185.9000000000001</v>
      </c>
      <c r="Z1250">
        <f>AVERAGEIFS(Table1[FinalElo], Table1[Country], Table1[[#This Row],[Country]])</f>
        <v>1012.0629025423733</v>
      </c>
      <c r="AA1250" cm="1">
        <f t="array" ref="AA1250">IF(COUNTIFS(Table1[Country],Table1[[#This Row],[Country]])=1,0, _xlfn.STDEV.S(IF(Table1[Country]=Table1[[#This Row],[Country]],Table1[FinalElo])))</f>
        <v>148.42180446198614</v>
      </c>
      <c r="AB1250">
        <f>IF(Table1[[#This Row],[CStd]]=0,0, (Table1[[#This Row],[FinalElo]]-Table1[[#This Row],[CAvg]]) / Table1[[#This Row],[CStd]])</f>
        <v>1.1712369222821974</v>
      </c>
      <c r="AC1250" t="str">
        <f>IF(Table1[[#This Row],[CStd]]=0,"Normal", IF(ABS(Table1[[#This Row],[CZscore]])&gt;2,"Outlier","Normal"))</f>
        <v>Normal</v>
      </c>
    </row>
    <row r="1251" spans="1:29" x14ac:dyDescent="0.35">
      <c r="A1251" t="s">
        <v>666</v>
      </c>
      <c r="B1251">
        <v>70.3</v>
      </c>
      <c r="C1251">
        <v>170</v>
      </c>
      <c r="D1251" t="s">
        <v>667</v>
      </c>
      <c r="E1251">
        <v>36</v>
      </c>
      <c r="F1251" t="s">
        <v>668</v>
      </c>
      <c r="G1251" t="s">
        <v>28</v>
      </c>
      <c r="H1251" t="s">
        <v>29</v>
      </c>
      <c r="I1251" t="s">
        <v>48</v>
      </c>
      <c r="J1251">
        <v>1</v>
      </c>
      <c r="K1251">
        <v>4</v>
      </c>
      <c r="L1251">
        <v>0</v>
      </c>
      <c r="M1251">
        <v>1</v>
      </c>
      <c r="N1251">
        <v>0</v>
      </c>
      <c r="O1251">
        <v>0</v>
      </c>
      <c r="P1251">
        <v>0</v>
      </c>
      <c r="Q1251">
        <v>0</v>
      </c>
      <c r="R1251">
        <v>1</v>
      </c>
      <c r="S1251">
        <v>0</v>
      </c>
      <c r="T1251">
        <v>0</v>
      </c>
      <c r="U1251">
        <v>3</v>
      </c>
      <c r="V1251">
        <v>0</v>
      </c>
      <c r="W1251">
        <v>5</v>
      </c>
      <c r="X1251">
        <v>905.81</v>
      </c>
      <c r="Y1251">
        <v>1124.0999999999999</v>
      </c>
      <c r="Z1251">
        <f>AVERAGEIFS(Table1[FinalElo], Table1[Country], Table1[[#This Row],[Country]])</f>
        <v>905.81</v>
      </c>
      <c r="AA1251" cm="1">
        <f t="array" ref="AA1251">IF(COUNTIFS(Table1[Country],Table1[[#This Row],[Country]])=1,0, _xlfn.STDEV.S(IF(Table1[Country]=Table1[[#This Row],[Country]],Table1[FinalElo])))</f>
        <v>0</v>
      </c>
      <c r="AB1251">
        <f>IF(Table1[[#This Row],[CStd]]=0,0, (Table1[[#This Row],[FinalElo]]-Table1[[#This Row],[CAvg]]) / Table1[[#This Row],[CStd]])</f>
        <v>0</v>
      </c>
      <c r="AC1251" t="str">
        <f>IF(Table1[[#This Row],[CStd]]=0,"Normal", IF(ABS(Table1[[#This Row],[CZscore]])&gt;2,"Outlier","Normal"))</f>
        <v>Normal</v>
      </c>
    </row>
    <row r="1252" spans="1:29" x14ac:dyDescent="0.35">
      <c r="A1252" t="s">
        <v>665</v>
      </c>
      <c r="B1252">
        <v>70.3</v>
      </c>
      <c r="C1252">
        <v>182</v>
      </c>
      <c r="D1252" t="s">
        <v>71</v>
      </c>
      <c r="E1252">
        <v>22</v>
      </c>
      <c r="F1252" t="s">
        <v>72</v>
      </c>
      <c r="G1252" t="s">
        <v>40</v>
      </c>
      <c r="H1252" t="s">
        <v>29</v>
      </c>
      <c r="I1252" t="s">
        <v>48</v>
      </c>
      <c r="J1252">
        <v>1</v>
      </c>
      <c r="K1252">
        <v>1</v>
      </c>
      <c r="L1252">
        <v>0</v>
      </c>
      <c r="M1252">
        <v>1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1</v>
      </c>
      <c r="W1252">
        <v>2</v>
      </c>
      <c r="X1252">
        <v>971.99</v>
      </c>
      <c r="Y1252">
        <v>1100</v>
      </c>
      <c r="Z1252">
        <f>AVERAGEIFS(Table1[FinalElo], Table1[Country], Table1[[#This Row],[Country]])</f>
        <v>991.47826086956536</v>
      </c>
      <c r="AA1252" cm="1">
        <f t="array" ref="AA1252">IF(COUNTIFS(Table1[Country],Table1[[#This Row],[Country]])=1,0, _xlfn.STDEV.S(IF(Table1[Country]=Table1[[#This Row],[Country]],Table1[FinalElo])))</f>
        <v>164.61500422203164</v>
      </c>
      <c r="AB1252">
        <f>IF(Table1[[#This Row],[CStd]]=0,0, (Table1[[#This Row],[FinalElo]]-Table1[[#This Row],[CAvg]]) / Table1[[#This Row],[CStd]])</f>
        <v>-0.11838690501917865</v>
      </c>
      <c r="AC1252" t="str">
        <f>IF(Table1[[#This Row],[CStd]]=0,"Normal", IF(ABS(Table1[[#This Row],[CZscore]])&gt;2,"Outlier","Normal"))</f>
        <v>Normal</v>
      </c>
    </row>
    <row r="1253" spans="1:29" x14ac:dyDescent="0.35">
      <c r="A1253" t="s">
        <v>663</v>
      </c>
      <c r="B1253">
        <v>56.7</v>
      </c>
      <c r="C1253">
        <v>163</v>
      </c>
      <c r="D1253" t="s">
        <v>60</v>
      </c>
      <c r="E1253">
        <v>29</v>
      </c>
      <c r="F1253" t="s">
        <v>664</v>
      </c>
      <c r="G1253" t="s">
        <v>40</v>
      </c>
      <c r="H1253" t="s">
        <v>29</v>
      </c>
      <c r="I1253" t="s">
        <v>58</v>
      </c>
      <c r="J1253">
        <v>3</v>
      </c>
      <c r="K1253">
        <v>2</v>
      </c>
      <c r="L1253">
        <v>0</v>
      </c>
      <c r="M1253">
        <v>0</v>
      </c>
      <c r="N1253">
        <v>1</v>
      </c>
      <c r="O1253">
        <v>0</v>
      </c>
      <c r="P1253">
        <v>1</v>
      </c>
      <c r="Q1253">
        <v>0</v>
      </c>
      <c r="R1253">
        <v>1</v>
      </c>
      <c r="S1253">
        <v>0</v>
      </c>
      <c r="T1253">
        <v>0</v>
      </c>
      <c r="U1253">
        <v>1</v>
      </c>
      <c r="V1253">
        <v>0</v>
      </c>
      <c r="W1253">
        <v>5</v>
      </c>
      <c r="X1253">
        <v>938.77</v>
      </c>
      <c r="Y1253">
        <v>1207.8399999999999</v>
      </c>
      <c r="Z1253">
        <f>AVERAGEIFS(Table1[FinalElo], Table1[Country], Table1[[#This Row],[Country]])</f>
        <v>1034.681315789474</v>
      </c>
      <c r="AA1253" cm="1">
        <f t="array" ref="AA1253">IF(COUNTIFS(Table1[Country],Table1[[#This Row],[Country]])=1,0, _xlfn.STDEV.S(IF(Table1[Country]=Table1[[#This Row],[Country]],Table1[FinalElo])))</f>
        <v>152.902810204692</v>
      </c>
      <c r="AB1253">
        <f>IF(Table1[[#This Row],[CStd]]=0,0, (Table1[[#This Row],[FinalElo]]-Table1[[#This Row],[CAvg]]) / Table1[[#This Row],[CStd]])</f>
        <v>-0.62726980400868282</v>
      </c>
      <c r="AC1253" t="str">
        <f>IF(Table1[[#This Row],[CStd]]=0,"Normal", IF(ABS(Table1[[#This Row],[CZscore]])&gt;2,"Outlier","Normal"))</f>
        <v>Normal</v>
      </c>
    </row>
    <row r="1254" spans="1:29" x14ac:dyDescent="0.35">
      <c r="A1254" t="s">
        <v>661</v>
      </c>
      <c r="B1254">
        <v>62.595695999999997</v>
      </c>
      <c r="C1254">
        <v>173</v>
      </c>
      <c r="D1254" t="s">
        <v>89</v>
      </c>
      <c r="E1254">
        <v>27</v>
      </c>
      <c r="F1254" t="s">
        <v>662</v>
      </c>
      <c r="G1254" t="s">
        <v>34</v>
      </c>
      <c r="H1254" t="s">
        <v>29</v>
      </c>
      <c r="I1254" t="s">
        <v>73</v>
      </c>
      <c r="J1254">
        <v>0</v>
      </c>
      <c r="K1254">
        <v>1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1</v>
      </c>
      <c r="X1254">
        <v>891.96</v>
      </c>
      <c r="Y1254">
        <v>1000</v>
      </c>
      <c r="Z1254">
        <f>AVERAGEIFS(Table1[FinalElo], Table1[Country], Table1[[#This Row],[Country]])</f>
        <v>1012.0629025423733</v>
      </c>
      <c r="AA1254" cm="1">
        <f t="array" ref="AA1254">IF(COUNTIFS(Table1[Country],Table1[[#This Row],[Country]])=1,0, _xlfn.STDEV.S(IF(Table1[Country]=Table1[[#This Row],[Country]],Table1[FinalElo])))</f>
        <v>148.42180446198614</v>
      </c>
      <c r="AB1254">
        <f>IF(Table1[[#This Row],[CStd]]=0,0, (Table1[[#This Row],[FinalElo]]-Table1[[#This Row],[CAvg]]) / Table1[[#This Row],[CStd]])</f>
        <v>-0.80919985427837915</v>
      </c>
      <c r="AC1254" t="str">
        <f>IF(Table1[[#This Row],[CStd]]=0,"Normal", IF(ABS(Table1[[#This Row],[CZscore]])&gt;2,"Outlier","Normal"))</f>
        <v>Normal</v>
      </c>
    </row>
    <row r="1255" spans="1:29" x14ac:dyDescent="0.35">
      <c r="A1255" t="s">
        <v>659</v>
      </c>
      <c r="B1255">
        <v>77.11</v>
      </c>
      <c r="C1255">
        <v>-1</v>
      </c>
      <c r="D1255" t="s">
        <v>452</v>
      </c>
      <c r="E1255">
        <v>30</v>
      </c>
      <c r="F1255" t="s">
        <v>660</v>
      </c>
      <c r="G1255" t="s">
        <v>54</v>
      </c>
      <c r="H1255" t="s">
        <v>29</v>
      </c>
      <c r="I1255" t="s">
        <v>50</v>
      </c>
      <c r="J1255">
        <v>2</v>
      </c>
      <c r="K1255">
        <v>1</v>
      </c>
      <c r="L1255">
        <v>0</v>
      </c>
      <c r="M1255">
        <v>0</v>
      </c>
      <c r="N1255">
        <v>1</v>
      </c>
      <c r="O1255">
        <v>0</v>
      </c>
      <c r="P1255">
        <v>1</v>
      </c>
      <c r="Q1255">
        <v>0</v>
      </c>
      <c r="R1255">
        <v>0</v>
      </c>
      <c r="S1255">
        <v>0</v>
      </c>
      <c r="T1255">
        <v>0</v>
      </c>
      <c r="U1255">
        <v>1</v>
      </c>
      <c r="V1255">
        <v>0</v>
      </c>
      <c r="W1255">
        <v>3</v>
      </c>
      <c r="X1255">
        <v>1122.45</v>
      </c>
      <c r="Y1255">
        <v>1143.24</v>
      </c>
      <c r="Z1255">
        <f>AVERAGEIFS(Table1[FinalElo], Table1[Country], Table1[[#This Row],[Country]])</f>
        <v>1035.0040000000001</v>
      </c>
      <c r="AA1255" cm="1">
        <f t="array" ref="AA1255">IF(COUNTIFS(Table1[Country],Table1[[#This Row],[Country]])=1,0, _xlfn.STDEV.S(IF(Table1[Country]=Table1[[#This Row],[Country]],Table1[FinalElo])))</f>
        <v>97.988999790792832</v>
      </c>
      <c r="AB1255">
        <f>IF(Table1[[#This Row],[CStd]]=0,0, (Table1[[#This Row],[FinalElo]]-Table1[[#This Row],[CAvg]]) / Table1[[#This Row],[CStd]])</f>
        <v>0.89240629240728764</v>
      </c>
      <c r="AC1255" t="str">
        <f>IF(Table1[[#This Row],[CStd]]=0,"Normal", IF(ABS(Table1[[#This Row],[CZscore]])&gt;2,"Outlier","Normal"))</f>
        <v>Normal</v>
      </c>
    </row>
    <row r="1256" spans="1:29" x14ac:dyDescent="0.35">
      <c r="A1256" t="s">
        <v>658</v>
      </c>
      <c r="B1256">
        <v>61.1</v>
      </c>
      <c r="C1256">
        <v>165</v>
      </c>
      <c r="D1256" t="s">
        <v>60</v>
      </c>
      <c r="E1256">
        <v>29</v>
      </c>
      <c r="F1256" t="s">
        <v>78</v>
      </c>
      <c r="G1256" t="s">
        <v>40</v>
      </c>
      <c r="H1256" t="s">
        <v>29</v>
      </c>
      <c r="I1256" t="s">
        <v>58</v>
      </c>
      <c r="J1256">
        <v>11</v>
      </c>
      <c r="K1256">
        <v>5</v>
      </c>
      <c r="L1256">
        <v>0</v>
      </c>
      <c r="M1256">
        <v>1</v>
      </c>
      <c r="N1256">
        <v>1</v>
      </c>
      <c r="O1256">
        <v>0</v>
      </c>
      <c r="P1256">
        <v>8</v>
      </c>
      <c r="Q1256">
        <v>1</v>
      </c>
      <c r="R1256">
        <v>0</v>
      </c>
      <c r="S1256">
        <v>2</v>
      </c>
      <c r="T1256">
        <v>0</v>
      </c>
      <c r="U1256">
        <v>3</v>
      </c>
      <c r="V1256">
        <v>0</v>
      </c>
      <c r="W1256">
        <v>16</v>
      </c>
      <c r="X1256">
        <v>1166.77</v>
      </c>
      <c r="Y1256">
        <v>1423.61</v>
      </c>
      <c r="Z1256">
        <f>AVERAGEIFS(Table1[FinalElo], Table1[Country], Table1[[#This Row],[Country]])</f>
        <v>1034.681315789474</v>
      </c>
      <c r="AA1256" cm="1">
        <f t="array" ref="AA1256">IF(COUNTIFS(Table1[Country],Table1[[#This Row],[Country]])=1,0, _xlfn.STDEV.S(IF(Table1[Country]=Table1[[#This Row],[Country]],Table1[FinalElo])))</f>
        <v>152.902810204692</v>
      </c>
      <c r="AB1256">
        <f>IF(Table1[[#This Row],[CStd]]=0,0, (Table1[[#This Row],[FinalElo]]-Table1[[#This Row],[CAvg]]) / Table1[[#This Row],[CStd]])</f>
        <v>0.86387348953036269</v>
      </c>
      <c r="AC1256" t="str">
        <f>IF(Table1[[#This Row],[CStd]]=0,"Normal", IF(ABS(Table1[[#This Row],[CZscore]])&gt;2,"Outlier","Normal"))</f>
        <v>Normal</v>
      </c>
    </row>
    <row r="1257" spans="1:29" x14ac:dyDescent="0.35">
      <c r="A1257" t="s">
        <v>657</v>
      </c>
      <c r="B1257">
        <v>52.16</v>
      </c>
      <c r="C1257">
        <v>170</v>
      </c>
      <c r="D1257" t="s">
        <v>89</v>
      </c>
      <c r="E1257">
        <v>19</v>
      </c>
      <c r="F1257" t="s">
        <v>154</v>
      </c>
      <c r="G1257" t="s">
        <v>34</v>
      </c>
      <c r="H1257" t="s">
        <v>29</v>
      </c>
      <c r="I1257" t="s">
        <v>36</v>
      </c>
      <c r="J1257">
        <v>0</v>
      </c>
      <c r="K1257">
        <v>1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1</v>
      </c>
      <c r="X1257">
        <v>900</v>
      </c>
      <c r="Y1257">
        <v>1000</v>
      </c>
      <c r="Z1257">
        <f>AVERAGEIFS(Table1[FinalElo], Table1[Country], Table1[[#This Row],[Country]])</f>
        <v>1012.0629025423733</v>
      </c>
      <c r="AA1257" cm="1">
        <f t="array" ref="AA1257">IF(COUNTIFS(Table1[Country],Table1[[#This Row],[Country]])=1,0, _xlfn.STDEV.S(IF(Table1[Country]=Table1[[#This Row],[Country]],Table1[FinalElo])))</f>
        <v>148.42180446198614</v>
      </c>
      <c r="AB1257">
        <f>IF(Table1[[#This Row],[CStd]]=0,0, (Table1[[#This Row],[FinalElo]]-Table1[[#This Row],[CAvg]]) / Table1[[#This Row],[CStd]])</f>
        <v>-0.75502991591154589</v>
      </c>
      <c r="AC1257" t="str">
        <f>IF(Table1[[#This Row],[CStd]]=0,"Normal", IF(ABS(Table1[[#This Row],[CZscore]])&gt;2,"Outlier","Normal"))</f>
        <v>Normal</v>
      </c>
    </row>
    <row r="1258" spans="1:29" x14ac:dyDescent="0.35">
      <c r="A1258" t="s">
        <v>655</v>
      </c>
      <c r="B1258">
        <v>92.6</v>
      </c>
      <c r="C1258">
        <v>183</v>
      </c>
      <c r="D1258" t="s">
        <v>38</v>
      </c>
      <c r="E1258">
        <v>39</v>
      </c>
      <c r="F1258" t="s">
        <v>656</v>
      </c>
      <c r="G1258" t="s">
        <v>40</v>
      </c>
      <c r="H1258" t="s">
        <v>29</v>
      </c>
      <c r="I1258" t="s">
        <v>41</v>
      </c>
      <c r="J1258">
        <v>1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1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1</v>
      </c>
      <c r="X1258">
        <v>1100</v>
      </c>
      <c r="Y1258">
        <v>1100</v>
      </c>
      <c r="Z1258">
        <f>AVERAGEIFS(Table1[FinalElo], Table1[Country], Table1[[#This Row],[Country]])</f>
        <v>1057.4495402298851</v>
      </c>
      <c r="AA1258" cm="1">
        <f t="array" ref="AA1258">IF(COUNTIFS(Table1[Country],Table1[[#This Row],[Country]])=1,0, _xlfn.STDEV.S(IF(Table1[Country]=Table1[[#This Row],[Country]],Table1[FinalElo])))</f>
        <v>156.98667602259493</v>
      </c>
      <c r="AB1258">
        <f>IF(Table1[[#This Row],[CStd]]=0,0, (Table1[[#This Row],[FinalElo]]-Table1[[#This Row],[CAvg]]) / Table1[[#This Row],[CStd]])</f>
        <v>0.27104503928722373</v>
      </c>
      <c r="AC1258" t="str">
        <f>IF(Table1[[#This Row],[CStd]]=0,"Normal", IF(ABS(Table1[[#This Row],[CZscore]])&gt;2,"Outlier","Normal"))</f>
        <v>Normal</v>
      </c>
    </row>
    <row r="1259" spans="1:29" x14ac:dyDescent="0.35">
      <c r="A1259" t="s">
        <v>654</v>
      </c>
      <c r="B1259">
        <v>55.338223999999997</v>
      </c>
      <c r="C1259">
        <v>169</v>
      </c>
      <c r="D1259" t="s">
        <v>38</v>
      </c>
      <c r="E1259">
        <v>22</v>
      </c>
      <c r="F1259" t="s">
        <v>87</v>
      </c>
      <c r="G1259" t="s">
        <v>34</v>
      </c>
      <c r="H1259" t="s">
        <v>29</v>
      </c>
      <c r="I1259" t="s">
        <v>36</v>
      </c>
      <c r="J1259">
        <v>0</v>
      </c>
      <c r="K1259">
        <v>2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1</v>
      </c>
      <c r="S1259">
        <v>0</v>
      </c>
      <c r="T1259">
        <v>0</v>
      </c>
      <c r="U1259">
        <v>0</v>
      </c>
      <c r="V1259">
        <v>0</v>
      </c>
      <c r="W1259">
        <v>2</v>
      </c>
      <c r="X1259">
        <v>885.77</v>
      </c>
      <c r="Y1259">
        <v>1000</v>
      </c>
      <c r="Z1259">
        <f>AVERAGEIFS(Table1[FinalElo], Table1[Country], Table1[[#This Row],[Country]])</f>
        <v>1057.4495402298851</v>
      </c>
      <c r="AA1259" cm="1">
        <f t="array" ref="AA1259">IF(COUNTIFS(Table1[Country],Table1[[#This Row],[Country]])=1,0, _xlfn.STDEV.S(IF(Table1[Country]=Table1[[#This Row],[Country]],Table1[FinalElo])))</f>
        <v>156.98667602259493</v>
      </c>
      <c r="AB1259">
        <f>IF(Table1[[#This Row],[CStd]]=0,0, (Table1[[#This Row],[FinalElo]]-Table1[[#This Row],[CAvg]]) / Table1[[#This Row],[CStd]])</f>
        <v>-1.0935930652176842</v>
      </c>
      <c r="AC1259" t="str">
        <f>IF(Table1[[#This Row],[CStd]]=0,"Normal", IF(ABS(Table1[[#This Row],[CZscore]])&gt;2,"Outlier","Normal"))</f>
        <v>Normal</v>
      </c>
    </row>
    <row r="1260" spans="1:29" x14ac:dyDescent="0.35">
      <c r="A1260" t="s">
        <v>51</v>
      </c>
      <c r="B1260">
        <v>52</v>
      </c>
      <c r="C1260">
        <v>165</v>
      </c>
      <c r="D1260" t="s">
        <v>52</v>
      </c>
      <c r="E1260">
        <v>29</v>
      </c>
      <c r="F1260" t="s">
        <v>53</v>
      </c>
      <c r="G1260" t="s">
        <v>54</v>
      </c>
      <c r="H1260" t="s">
        <v>29</v>
      </c>
      <c r="I1260" t="s">
        <v>55</v>
      </c>
      <c r="J1260">
        <v>3</v>
      </c>
      <c r="K1260">
        <v>2</v>
      </c>
      <c r="L1260">
        <v>1</v>
      </c>
      <c r="M1260">
        <v>0</v>
      </c>
      <c r="N1260">
        <v>1</v>
      </c>
      <c r="O1260">
        <v>0</v>
      </c>
      <c r="P1260">
        <v>2</v>
      </c>
      <c r="Q1260">
        <v>0</v>
      </c>
      <c r="R1260">
        <v>0</v>
      </c>
      <c r="S1260">
        <v>0</v>
      </c>
      <c r="T1260">
        <v>0</v>
      </c>
      <c r="U1260">
        <v>2</v>
      </c>
      <c r="V1260">
        <v>0</v>
      </c>
      <c r="W1260">
        <v>6</v>
      </c>
      <c r="X1260">
        <v>1034.82</v>
      </c>
      <c r="Y1260">
        <v>1233.1300000000001</v>
      </c>
      <c r="Z1260">
        <f>AVERAGEIFS(Table1[FinalElo], Table1[Country], Table1[[#This Row],[Country]])</f>
        <v>1039.8985714285714</v>
      </c>
      <c r="AA1260" cm="1">
        <f t="array" ref="AA1260">IF(COUNTIFS(Table1[Country],Table1[[#This Row],[Country]])=1,0, _xlfn.STDEV.S(IF(Table1[Country]=Table1[[#This Row],[Country]],Table1[FinalElo])))</f>
        <v>194.01778111336392</v>
      </c>
      <c r="AB1260">
        <f>IF(Table1[[#This Row],[CStd]]=0,0, (Table1[[#This Row],[FinalElo]]-Table1[[#This Row],[CAvg]]) / Table1[[#This Row],[CStd]])</f>
        <v>-2.6175804090883971E-2</v>
      </c>
      <c r="AC1260" t="str">
        <f>IF(Table1[[#This Row],[CStd]]=0,"Normal", IF(ABS(Table1[[#This Row],[CZscore]])&gt;2,"Outlier","Normal"))</f>
        <v>Normal</v>
      </c>
    </row>
    <row r="1261" spans="1:29" x14ac:dyDescent="0.35">
      <c r="A1261" t="s">
        <v>652</v>
      </c>
      <c r="B1261">
        <v>56.2</v>
      </c>
      <c r="C1261">
        <v>163</v>
      </c>
      <c r="D1261" t="s">
        <v>218</v>
      </c>
      <c r="E1261">
        <v>-1</v>
      </c>
      <c r="F1261" t="s">
        <v>653</v>
      </c>
      <c r="G1261" t="s">
        <v>34</v>
      </c>
      <c r="H1261" t="s">
        <v>29</v>
      </c>
      <c r="I1261" t="s">
        <v>36</v>
      </c>
      <c r="J1261">
        <v>0</v>
      </c>
      <c r="K1261">
        <v>2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1</v>
      </c>
      <c r="S1261">
        <v>0</v>
      </c>
      <c r="T1261">
        <v>0</v>
      </c>
      <c r="U1261">
        <v>1</v>
      </c>
      <c r="V1261">
        <v>0</v>
      </c>
      <c r="W1261">
        <v>2</v>
      </c>
      <c r="X1261">
        <v>862.8</v>
      </c>
      <c r="Y1261">
        <v>1000</v>
      </c>
      <c r="Z1261">
        <f>AVERAGEIFS(Table1[FinalElo], Table1[Country], Table1[[#This Row],[Country]])</f>
        <v>953.02272727272725</v>
      </c>
      <c r="AA1261" cm="1">
        <f t="array" ref="AA1261">IF(COUNTIFS(Table1[Country],Table1[[#This Row],[Country]])=1,0, _xlfn.STDEV.S(IF(Table1[Country]=Table1[[#This Row],[Country]],Table1[FinalElo])))</f>
        <v>75.051454894746612</v>
      </c>
      <c r="AB1261">
        <f>IF(Table1[[#This Row],[CStd]]=0,0, (Table1[[#This Row],[FinalElo]]-Table1[[#This Row],[CAvg]]) / Table1[[#This Row],[CStd]])</f>
        <v>-1.2021449470800682</v>
      </c>
      <c r="AC1261" t="str">
        <f>IF(Table1[[#This Row],[CStd]]=0,"Normal", IF(ABS(Table1[[#This Row],[CZscore]])&gt;2,"Outlier","Normal"))</f>
        <v>Normal</v>
      </c>
    </row>
    <row r="1262" spans="1:29" x14ac:dyDescent="0.35">
      <c r="A1262" t="s">
        <v>650</v>
      </c>
      <c r="B1262">
        <v>61.2</v>
      </c>
      <c r="C1262">
        <v>172</v>
      </c>
      <c r="D1262" t="s">
        <v>332</v>
      </c>
      <c r="E1262">
        <v>32</v>
      </c>
      <c r="F1262" t="s">
        <v>651</v>
      </c>
      <c r="G1262" t="s">
        <v>28</v>
      </c>
      <c r="H1262" t="s">
        <v>29</v>
      </c>
      <c r="I1262" t="s">
        <v>58</v>
      </c>
      <c r="J1262">
        <v>1</v>
      </c>
      <c r="K1262">
        <v>2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1</v>
      </c>
      <c r="R1262">
        <v>0</v>
      </c>
      <c r="S1262">
        <v>0</v>
      </c>
      <c r="T1262">
        <v>0</v>
      </c>
      <c r="U1262">
        <v>2</v>
      </c>
      <c r="V1262">
        <v>0</v>
      </c>
      <c r="W1262">
        <v>3</v>
      </c>
      <c r="X1262">
        <v>1014.17</v>
      </c>
      <c r="Y1262">
        <v>1037.49</v>
      </c>
      <c r="Z1262">
        <f>AVERAGEIFS(Table1[FinalElo], Table1[Country], Table1[[#This Row],[Country]])</f>
        <v>975.5858333333332</v>
      </c>
      <c r="AA1262" cm="1">
        <f t="array" ref="AA1262">IF(COUNTIFS(Table1[Country],Table1[[#This Row],[Country]])=1,0, _xlfn.STDEV.S(IF(Table1[Country]=Table1[[#This Row],[Country]],Table1[FinalElo])))</f>
        <v>72.69168633948992</v>
      </c>
      <c r="AB1262">
        <f>IF(Table1[[#This Row],[CStd]]=0,0, (Table1[[#This Row],[FinalElo]]-Table1[[#This Row],[CAvg]]) / Table1[[#This Row],[CStd]])</f>
        <v>0.53079201501074302</v>
      </c>
      <c r="AC1262" t="str">
        <f>IF(Table1[[#This Row],[CStd]]=0,"Normal", IF(ABS(Table1[[#This Row],[CZscore]])&gt;2,"Outlier","Normal"))</f>
        <v>Normal</v>
      </c>
    </row>
    <row r="1263" spans="1:29" x14ac:dyDescent="0.35">
      <c r="A1263" t="s">
        <v>649</v>
      </c>
      <c r="B1263">
        <v>70.31</v>
      </c>
      <c r="C1263">
        <v>182</v>
      </c>
      <c r="D1263" t="s">
        <v>106</v>
      </c>
      <c r="E1263">
        <v>24</v>
      </c>
      <c r="F1263" t="s">
        <v>133</v>
      </c>
      <c r="G1263" t="s">
        <v>40</v>
      </c>
      <c r="H1263" t="s">
        <v>29</v>
      </c>
      <c r="I1263" t="s">
        <v>30</v>
      </c>
      <c r="J1263">
        <v>1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1</v>
      </c>
      <c r="X1263">
        <v>1100</v>
      </c>
      <c r="Y1263">
        <v>1100</v>
      </c>
      <c r="Z1263">
        <f>AVERAGEIFS(Table1[FinalElo], Table1[Country], Table1[[#This Row],[Country]])</f>
        <v>1073.1599999999999</v>
      </c>
      <c r="AA1263" cm="1">
        <f t="array" ref="AA1263">IF(COUNTIFS(Table1[Country],Table1[[#This Row],[Country]])=1,0, _xlfn.STDEV.S(IF(Table1[Country]=Table1[[#This Row],[Country]],Table1[FinalElo])))</f>
        <v>207.614862425599</v>
      </c>
      <c r="AB1263">
        <f>IF(Table1[[#This Row],[CStd]]=0,0, (Table1[[#This Row],[FinalElo]]-Table1[[#This Row],[CAvg]]) / Table1[[#This Row],[CStd]])</f>
        <v>0.12927783534581272</v>
      </c>
      <c r="AC1263" t="str">
        <f>IF(Table1[[#This Row],[CStd]]=0,"Normal", IF(ABS(Table1[[#This Row],[CZscore]])&gt;2,"Outlier","Normal"))</f>
        <v>Normal</v>
      </c>
    </row>
    <row r="1264" spans="1:29" x14ac:dyDescent="0.35">
      <c r="A1264" t="s">
        <v>646</v>
      </c>
      <c r="B1264">
        <v>56.5</v>
      </c>
      <c r="C1264">
        <v>168</v>
      </c>
      <c r="D1264" t="s">
        <v>647</v>
      </c>
      <c r="E1264">
        <v>32</v>
      </c>
      <c r="F1264" t="s">
        <v>648</v>
      </c>
      <c r="G1264" t="s">
        <v>34</v>
      </c>
      <c r="H1264" t="s">
        <v>29</v>
      </c>
      <c r="I1264" t="s">
        <v>36</v>
      </c>
      <c r="J1264">
        <v>4</v>
      </c>
      <c r="K1264">
        <v>6</v>
      </c>
      <c r="L1264">
        <v>0</v>
      </c>
      <c r="M1264">
        <v>0</v>
      </c>
      <c r="N1264">
        <v>0</v>
      </c>
      <c r="O1264">
        <v>0</v>
      </c>
      <c r="P1264">
        <v>2</v>
      </c>
      <c r="Q1264">
        <v>0</v>
      </c>
      <c r="R1264">
        <v>2</v>
      </c>
      <c r="S1264">
        <v>0</v>
      </c>
      <c r="T1264">
        <v>0</v>
      </c>
      <c r="U1264">
        <v>3</v>
      </c>
      <c r="V1264">
        <v>0</v>
      </c>
      <c r="W1264">
        <v>10</v>
      </c>
      <c r="X1264">
        <v>942.35</v>
      </c>
      <c r="Y1264">
        <v>1214.5999999999999</v>
      </c>
      <c r="Z1264">
        <f>AVERAGEIFS(Table1[FinalElo], Table1[Country], Table1[[#This Row],[Country]])</f>
        <v>942.35</v>
      </c>
      <c r="AA1264" cm="1">
        <f t="array" ref="AA1264">IF(COUNTIFS(Table1[Country],Table1[[#This Row],[Country]])=1,0, _xlfn.STDEV.S(IF(Table1[Country]=Table1[[#This Row],[Country]],Table1[FinalElo])))</f>
        <v>0</v>
      </c>
      <c r="AB1264">
        <f>IF(Table1[[#This Row],[CStd]]=0,0, (Table1[[#This Row],[FinalElo]]-Table1[[#This Row],[CAvg]]) / Table1[[#This Row],[CStd]])</f>
        <v>0</v>
      </c>
      <c r="AC1264" t="str">
        <f>IF(Table1[[#This Row],[CStd]]=0,"Normal", IF(ABS(Table1[[#This Row],[CZscore]])&gt;2,"Outlier","Normal"))</f>
        <v>Normal</v>
      </c>
    </row>
    <row r="1265" spans="1:29" x14ac:dyDescent="0.35">
      <c r="A1265" t="s">
        <v>644</v>
      </c>
      <c r="B1265">
        <v>102.06</v>
      </c>
      <c r="C1265">
        <v>187</v>
      </c>
      <c r="D1265" t="s">
        <v>146</v>
      </c>
      <c r="E1265">
        <v>33</v>
      </c>
      <c r="F1265" t="s">
        <v>645</v>
      </c>
      <c r="G1265" t="s">
        <v>40</v>
      </c>
      <c r="H1265" t="s">
        <v>29</v>
      </c>
      <c r="I1265" t="s">
        <v>94</v>
      </c>
      <c r="J1265">
        <v>0</v>
      </c>
      <c r="K1265">
        <v>1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1</v>
      </c>
      <c r="S1265">
        <v>0</v>
      </c>
      <c r="T1265">
        <v>0</v>
      </c>
      <c r="U1265">
        <v>0</v>
      </c>
      <c r="V1265">
        <v>0</v>
      </c>
      <c r="W1265">
        <v>1</v>
      </c>
      <c r="X1265">
        <v>928.01</v>
      </c>
      <c r="Y1265">
        <v>1000</v>
      </c>
      <c r="Z1265">
        <f>AVERAGEIFS(Table1[FinalElo], Table1[Country], Table1[[#This Row],[Country]])</f>
        <v>971.46103448275846</v>
      </c>
      <c r="AA1265" cm="1">
        <f t="array" ref="AA1265">IF(COUNTIFS(Table1[Country],Table1[[#This Row],[Country]])=1,0, _xlfn.STDEV.S(IF(Table1[Country]=Table1[[#This Row],[Country]],Table1[FinalElo])))</f>
        <v>107.62263899334665</v>
      </c>
      <c r="AB1265">
        <f>IF(Table1[[#This Row],[CStd]]=0,0, (Table1[[#This Row],[FinalElo]]-Table1[[#This Row],[CAvg]]) / Table1[[#This Row],[CStd]])</f>
        <v>-0.40373507738873288</v>
      </c>
      <c r="AC1265" t="str">
        <f>IF(Table1[[#This Row],[CStd]]=0,"Normal", IF(ABS(Table1[[#This Row],[CZscore]])&gt;2,"Outlier","Normal"))</f>
        <v>Normal</v>
      </c>
    </row>
    <row r="1266" spans="1:29" x14ac:dyDescent="0.35">
      <c r="A1266" t="s">
        <v>643</v>
      </c>
      <c r="B1266">
        <v>61.2</v>
      </c>
      <c r="C1266">
        <v>175</v>
      </c>
      <c r="D1266" t="s">
        <v>116</v>
      </c>
      <c r="E1266">
        <v>29</v>
      </c>
      <c r="F1266" t="s">
        <v>580</v>
      </c>
      <c r="G1266" t="s">
        <v>28</v>
      </c>
      <c r="H1266" t="s">
        <v>29</v>
      </c>
      <c r="I1266" t="s">
        <v>58</v>
      </c>
      <c r="J1266">
        <v>0</v>
      </c>
      <c r="K1266">
        <v>1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1</v>
      </c>
      <c r="S1266">
        <v>0</v>
      </c>
      <c r="T1266">
        <v>0</v>
      </c>
      <c r="U1266">
        <v>0</v>
      </c>
      <c r="V1266">
        <v>0</v>
      </c>
      <c r="W1266">
        <v>1</v>
      </c>
      <c r="X1266">
        <v>900</v>
      </c>
      <c r="Y1266">
        <v>1000</v>
      </c>
      <c r="Z1266">
        <f>AVERAGEIFS(Table1[FinalElo], Table1[Country], Table1[[#This Row],[Country]])</f>
        <v>980.88090909090931</v>
      </c>
      <c r="AA1266" cm="1">
        <f t="array" ref="AA1266">IF(COUNTIFS(Table1[Country],Table1[[#This Row],[Country]])=1,0, _xlfn.STDEV.S(IF(Table1[Country]=Table1[[#This Row],[Country]],Table1[FinalElo])))</f>
        <v>133.41794796376408</v>
      </c>
      <c r="AB1266">
        <f>IF(Table1[[#This Row],[CStd]]=0,0, (Table1[[#This Row],[FinalElo]]-Table1[[#This Row],[CAvg]]) / Table1[[#This Row],[CStd]])</f>
        <v>-0.60622210373731977</v>
      </c>
      <c r="AC1266" t="str">
        <f>IF(Table1[[#This Row],[CStd]]=0,"Normal", IF(ABS(Table1[[#This Row],[CZscore]])&gt;2,"Outlier","Normal"))</f>
        <v>Normal</v>
      </c>
    </row>
    <row r="1267" spans="1:29" x14ac:dyDescent="0.35">
      <c r="A1267" t="s">
        <v>642</v>
      </c>
      <c r="B1267">
        <v>80.599999999999994</v>
      </c>
      <c r="C1267">
        <v>178</v>
      </c>
      <c r="D1267" t="s">
        <v>247</v>
      </c>
      <c r="E1267">
        <v>30</v>
      </c>
      <c r="F1267">
        <v>2</v>
      </c>
      <c r="G1267" t="s">
        <v>40</v>
      </c>
      <c r="H1267" t="s">
        <v>29</v>
      </c>
      <c r="I1267" t="s">
        <v>50</v>
      </c>
      <c r="J1267">
        <v>8</v>
      </c>
      <c r="K1267">
        <v>4</v>
      </c>
      <c r="L1267">
        <v>0</v>
      </c>
      <c r="M1267">
        <v>4</v>
      </c>
      <c r="N1267">
        <v>2</v>
      </c>
      <c r="O1267">
        <v>0</v>
      </c>
      <c r="P1267">
        <v>0</v>
      </c>
      <c r="Q1267">
        <v>0</v>
      </c>
      <c r="R1267">
        <v>0</v>
      </c>
      <c r="S1267">
        <v>1</v>
      </c>
      <c r="T1267">
        <v>1</v>
      </c>
      <c r="U1267">
        <v>1</v>
      </c>
      <c r="V1267">
        <v>0</v>
      </c>
      <c r="W1267">
        <v>12</v>
      </c>
      <c r="X1267">
        <v>1113.78</v>
      </c>
      <c r="Y1267">
        <v>1393.75</v>
      </c>
      <c r="Z1267">
        <f>AVERAGEIFS(Table1[FinalElo], Table1[Country], Table1[[#This Row],[Country]])</f>
        <v>1050.0176190476191</v>
      </c>
      <c r="AA1267" cm="1">
        <f t="array" ref="AA1267">IF(COUNTIFS(Table1[Country],Table1[[#This Row],[Country]])=1,0, _xlfn.STDEV.S(IF(Table1[Country]=Table1[[#This Row],[Country]],Table1[FinalElo])))</f>
        <v>127.00578096703971</v>
      </c>
      <c r="AB1267">
        <f>IF(Table1[[#This Row],[CStd]]=0,0, (Table1[[#This Row],[FinalElo]]-Table1[[#This Row],[CAvg]]) / Table1[[#This Row],[CStd]])</f>
        <v>0.50204313903576081</v>
      </c>
      <c r="AC1267" t="str">
        <f>IF(Table1[[#This Row],[CStd]]=0,"Normal", IF(ABS(Table1[[#This Row],[CZscore]])&gt;2,"Outlier","Normal"))</f>
        <v>Normal</v>
      </c>
    </row>
    <row r="1268" spans="1:29" hidden="1" x14ac:dyDescent="0.35">
      <c r="A1268" t="s">
        <v>2235</v>
      </c>
      <c r="B1268">
        <v>51.9</v>
      </c>
      <c r="C1268">
        <v>157</v>
      </c>
      <c r="D1268" t="s">
        <v>513</v>
      </c>
      <c r="E1268">
        <v>38</v>
      </c>
      <c r="F1268" t="s">
        <v>1323</v>
      </c>
      <c r="G1268" t="s">
        <v>40</v>
      </c>
      <c r="H1268" t="s">
        <v>35</v>
      </c>
      <c r="I1268" t="s">
        <v>55</v>
      </c>
      <c r="J1268">
        <v>3</v>
      </c>
      <c r="K1268">
        <v>1</v>
      </c>
      <c r="L1268">
        <v>0</v>
      </c>
      <c r="M1268">
        <v>0</v>
      </c>
      <c r="N1268">
        <v>0</v>
      </c>
      <c r="O1268">
        <v>0</v>
      </c>
      <c r="P1268">
        <v>2</v>
      </c>
      <c r="Q1268">
        <v>1</v>
      </c>
      <c r="R1268">
        <v>1</v>
      </c>
      <c r="S1268">
        <v>0</v>
      </c>
      <c r="T1268">
        <v>0</v>
      </c>
      <c r="U1268">
        <v>0</v>
      </c>
      <c r="V1268">
        <v>0</v>
      </c>
      <c r="W1268">
        <v>4</v>
      </c>
      <c r="X1268">
        <v>1269.1500000000001</v>
      </c>
      <c r="Y1268">
        <v>1349.53</v>
      </c>
      <c r="Z1268">
        <f>AVERAGEIFS(Table1[FinalElo], Table1[Country], Table1[[#This Row],[Country]])</f>
        <v>991.92857142857144</v>
      </c>
      <c r="AA1268" cm="1">
        <f t="array" ref="AA1268">IF(COUNTIFS(Table1[Country],Table1[[#This Row],[Country]])=1,0, _xlfn.STDEV.S(IF(Table1[Country]=Table1[[#This Row],[Country]],Table1[FinalElo])))</f>
        <v>154.84924955929111</v>
      </c>
      <c r="AB1268">
        <f>IF(Table1[[#This Row],[CStd]]=0,0, (Table1[[#This Row],[FinalElo]]-Table1[[#This Row],[CAvg]]) / Table1[[#This Row],[CStd]])</f>
        <v>1.790266529288421</v>
      </c>
      <c r="AC1268" t="str">
        <f>IF(Table1[[#This Row],[CStd]]=0,"Normal", IF(ABS(Table1[[#This Row],[CZscore]])&gt;2,"Outlier","Normal"))</f>
        <v>Normal</v>
      </c>
    </row>
    <row r="1269" spans="1:29" hidden="1" x14ac:dyDescent="0.35">
      <c r="A1269" t="s">
        <v>2236</v>
      </c>
      <c r="B1269">
        <v>61.2</v>
      </c>
      <c r="C1269">
        <v>175</v>
      </c>
      <c r="D1269" t="s">
        <v>513</v>
      </c>
      <c r="E1269">
        <v>-1</v>
      </c>
      <c r="F1269" t="s">
        <v>2237</v>
      </c>
      <c r="G1269" t="s">
        <v>40</v>
      </c>
      <c r="I1269" t="s">
        <v>58</v>
      </c>
      <c r="J1269">
        <v>0</v>
      </c>
      <c r="K1269">
        <v>1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1</v>
      </c>
      <c r="T1269">
        <v>0</v>
      </c>
      <c r="U1269">
        <v>0</v>
      </c>
      <c r="V1269">
        <v>0</v>
      </c>
      <c r="W1269">
        <v>1</v>
      </c>
      <c r="X1269">
        <v>900</v>
      </c>
      <c r="Y1269">
        <v>1000</v>
      </c>
      <c r="Z1269">
        <f>AVERAGEIFS(Table1[FinalElo], Table1[Country], Table1[[#This Row],[Country]])</f>
        <v>991.92857142857144</v>
      </c>
      <c r="AA1269" cm="1">
        <f t="array" ref="AA1269">IF(COUNTIFS(Table1[Country],Table1[[#This Row],[Country]])=1,0, _xlfn.STDEV.S(IF(Table1[Country]=Table1[[#This Row],[Country]],Table1[FinalElo])))</f>
        <v>154.84924955929111</v>
      </c>
      <c r="AB1269">
        <f>IF(Table1[[#This Row],[CStd]]=0,0, (Table1[[#This Row],[FinalElo]]-Table1[[#This Row],[CAvg]]) / Table1[[#This Row],[CStd]])</f>
        <v>-0.59366494632815381</v>
      </c>
      <c r="AC1269" t="str">
        <f>IF(Table1[[#This Row],[CStd]]=0,"Normal", IF(ABS(Table1[[#This Row],[CZscore]])&gt;2,"Outlier","Normal"))</f>
        <v>Normal</v>
      </c>
    </row>
    <row r="1270" spans="1:29" x14ac:dyDescent="0.35">
      <c r="A1270" t="s">
        <v>640</v>
      </c>
      <c r="B1270">
        <v>77</v>
      </c>
      <c r="C1270">
        <v>178</v>
      </c>
      <c r="D1270" t="s">
        <v>513</v>
      </c>
      <c r="E1270">
        <v>32</v>
      </c>
      <c r="F1270" t="s">
        <v>641</v>
      </c>
      <c r="G1270" t="s">
        <v>40</v>
      </c>
      <c r="H1270" t="s">
        <v>29</v>
      </c>
      <c r="I1270" t="s">
        <v>30</v>
      </c>
      <c r="J1270">
        <v>4</v>
      </c>
      <c r="K1270">
        <v>2</v>
      </c>
      <c r="L1270">
        <v>0</v>
      </c>
      <c r="M1270">
        <v>1</v>
      </c>
      <c r="N1270">
        <v>0</v>
      </c>
      <c r="O1270">
        <v>0</v>
      </c>
      <c r="P1270">
        <v>2</v>
      </c>
      <c r="Q1270">
        <v>1</v>
      </c>
      <c r="R1270">
        <v>1</v>
      </c>
      <c r="S1270">
        <v>0</v>
      </c>
      <c r="T1270">
        <v>0</v>
      </c>
      <c r="U1270">
        <v>0</v>
      </c>
      <c r="V1270">
        <v>1</v>
      </c>
      <c r="W1270">
        <v>6</v>
      </c>
      <c r="X1270">
        <v>1063.4100000000001</v>
      </c>
      <c r="Y1270">
        <v>1321.81</v>
      </c>
      <c r="Z1270">
        <f>AVERAGEIFS(Table1[FinalElo], Table1[Country], Table1[[#This Row],[Country]])</f>
        <v>991.92857142857144</v>
      </c>
      <c r="AA1270" cm="1">
        <f t="array" ref="AA1270">IF(COUNTIFS(Table1[Country],Table1[[#This Row],[Country]])=1,0, _xlfn.STDEV.S(IF(Table1[Country]=Table1[[#This Row],[Country]],Table1[FinalElo])))</f>
        <v>154.84924955929111</v>
      </c>
      <c r="AB1270">
        <f>IF(Table1[[#This Row],[CStd]]=0,0, (Table1[[#This Row],[FinalElo]]-Table1[[#This Row],[CAvg]]) / Table1[[#This Row],[CStd]])</f>
        <v>0.46161947038728596</v>
      </c>
      <c r="AC1270" t="str">
        <f>IF(Table1[[#This Row],[CStd]]=0,"Normal", IF(ABS(Table1[[#This Row],[CZscore]])&gt;2,"Outlier","Normal"))</f>
        <v>Normal</v>
      </c>
    </row>
    <row r="1271" spans="1:29" x14ac:dyDescent="0.35">
      <c r="A1271" t="s">
        <v>638</v>
      </c>
      <c r="B1271">
        <v>61.2</v>
      </c>
      <c r="C1271">
        <v>165</v>
      </c>
      <c r="D1271" t="s">
        <v>513</v>
      </c>
      <c r="E1271">
        <v>38</v>
      </c>
      <c r="F1271" t="s">
        <v>639</v>
      </c>
      <c r="G1271" t="s">
        <v>40</v>
      </c>
      <c r="H1271" t="s">
        <v>29</v>
      </c>
      <c r="I1271" t="s">
        <v>58</v>
      </c>
      <c r="J1271">
        <v>6</v>
      </c>
      <c r="K1271">
        <v>8</v>
      </c>
      <c r="L1271">
        <v>0</v>
      </c>
      <c r="M1271">
        <v>1</v>
      </c>
      <c r="N1271">
        <v>3</v>
      </c>
      <c r="O1271">
        <v>0</v>
      </c>
      <c r="P1271">
        <v>2</v>
      </c>
      <c r="Q1271">
        <v>0</v>
      </c>
      <c r="R1271">
        <v>1</v>
      </c>
      <c r="S1271">
        <v>0</v>
      </c>
      <c r="T1271">
        <v>1</v>
      </c>
      <c r="U1271">
        <v>6</v>
      </c>
      <c r="V1271">
        <v>0</v>
      </c>
      <c r="W1271">
        <v>14</v>
      </c>
      <c r="X1271">
        <v>878.95</v>
      </c>
      <c r="Y1271">
        <v>1190.21</v>
      </c>
      <c r="Z1271">
        <f>AVERAGEIFS(Table1[FinalElo], Table1[Country], Table1[[#This Row],[Country]])</f>
        <v>991.92857142857144</v>
      </c>
      <c r="AA1271" cm="1">
        <f t="array" ref="AA1271">IF(COUNTIFS(Table1[Country],Table1[[#This Row],[Country]])=1,0, _xlfn.STDEV.S(IF(Table1[Country]=Table1[[#This Row],[Country]],Table1[FinalElo])))</f>
        <v>154.84924955929111</v>
      </c>
      <c r="AB1271">
        <f>IF(Table1[[#This Row],[CStd]]=0,0, (Table1[[#This Row],[FinalElo]]-Table1[[#This Row],[CAvg]]) / Table1[[#This Row],[CStd]])</f>
        <v>-0.72960360964043547</v>
      </c>
      <c r="AC1271" t="str">
        <f>IF(Table1[[#This Row],[CStd]]=0,"Normal", IF(ABS(Table1[[#This Row],[CZscore]])&gt;2,"Outlier","Normal"))</f>
        <v>Normal</v>
      </c>
    </row>
    <row r="1272" spans="1:29" x14ac:dyDescent="0.35">
      <c r="A1272" t="s">
        <v>636</v>
      </c>
      <c r="B1272">
        <v>52.16</v>
      </c>
      <c r="C1272">
        <v>165</v>
      </c>
      <c r="D1272" t="s">
        <v>89</v>
      </c>
      <c r="E1272">
        <v>25</v>
      </c>
      <c r="F1272" t="s">
        <v>637</v>
      </c>
      <c r="G1272" t="s">
        <v>34</v>
      </c>
      <c r="H1272" t="s">
        <v>29</v>
      </c>
      <c r="I1272" t="s">
        <v>36</v>
      </c>
      <c r="J1272">
        <v>1</v>
      </c>
      <c r="K1272">
        <v>4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1</v>
      </c>
      <c r="R1272">
        <v>0</v>
      </c>
      <c r="S1272">
        <v>0</v>
      </c>
      <c r="T1272">
        <v>0</v>
      </c>
      <c r="U1272">
        <v>3</v>
      </c>
      <c r="V1272">
        <v>0</v>
      </c>
      <c r="W1272">
        <v>5</v>
      </c>
      <c r="X1272">
        <v>728.84</v>
      </c>
      <c r="Y1272">
        <v>1086.26</v>
      </c>
      <c r="Z1272">
        <f>AVERAGEIFS(Table1[FinalElo], Table1[Country], Table1[[#This Row],[Country]])</f>
        <v>1012.0629025423733</v>
      </c>
      <c r="AA1272" cm="1">
        <f t="array" ref="AA1272">IF(COUNTIFS(Table1[Country],Table1[[#This Row],[Country]])=1,0, _xlfn.STDEV.S(IF(Table1[Country]=Table1[[#This Row],[Country]],Table1[FinalElo])))</f>
        <v>148.42180446198614</v>
      </c>
      <c r="AB1272">
        <f>IF(Table1[[#This Row],[CStd]]=0,0, (Table1[[#This Row],[FinalElo]]-Table1[[#This Row],[CAvg]]) / Table1[[#This Row],[CStd]])</f>
        <v>-1.908229748108961</v>
      </c>
      <c r="AC1272" t="str">
        <f>IF(Table1[[#This Row],[CStd]]=0,"Normal", IF(ABS(Table1[[#This Row],[CZscore]])&gt;2,"Outlier","Normal"))</f>
        <v>Normal</v>
      </c>
    </row>
    <row r="1273" spans="1:29" x14ac:dyDescent="0.35">
      <c r="A1273" t="s">
        <v>669</v>
      </c>
      <c r="B1273">
        <v>61.2</v>
      </c>
      <c r="C1273">
        <v>168</v>
      </c>
      <c r="D1273" t="s">
        <v>513</v>
      </c>
      <c r="E1273">
        <v>33</v>
      </c>
      <c r="F1273" t="s">
        <v>670</v>
      </c>
      <c r="G1273" t="s">
        <v>40</v>
      </c>
      <c r="H1273" t="s">
        <v>29</v>
      </c>
      <c r="I1273" t="s">
        <v>58</v>
      </c>
      <c r="J1273">
        <v>1</v>
      </c>
      <c r="K1273">
        <v>0</v>
      </c>
      <c r="L1273">
        <v>0</v>
      </c>
      <c r="M1273">
        <v>1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1</v>
      </c>
      <c r="X1273">
        <v>1100</v>
      </c>
      <c r="Y1273">
        <v>1100</v>
      </c>
      <c r="Z1273">
        <f>AVERAGEIFS(Table1[FinalElo], Table1[Country], Table1[[#This Row],[Country]])</f>
        <v>991.92857142857144</v>
      </c>
      <c r="AA1273" cm="1">
        <f t="array" ref="AA1273">IF(COUNTIFS(Table1[Country],Table1[[#This Row],[Country]])=1,0, _xlfn.STDEV.S(IF(Table1[Country]=Table1[[#This Row],[Country]],Table1[FinalElo])))</f>
        <v>154.84924955929111</v>
      </c>
      <c r="AB1273">
        <f>IF(Table1[[#This Row],[CStd]]=0,0, (Table1[[#This Row],[FinalElo]]-Table1[[#This Row],[CAvg]]) / Table1[[#This Row],[CStd]])</f>
        <v>0.6979138024821262</v>
      </c>
      <c r="AC1273" t="str">
        <f>IF(Table1[[#This Row],[CStd]]=0,"Normal", IF(ABS(Table1[[#This Row],[CZscore]])&gt;2,"Outlier","Normal"))</f>
        <v>Normal</v>
      </c>
    </row>
    <row r="1274" spans="1:29" x14ac:dyDescent="0.35">
      <c r="A1274" t="s">
        <v>633</v>
      </c>
      <c r="B1274">
        <v>47.63</v>
      </c>
      <c r="C1274">
        <v>157</v>
      </c>
      <c r="D1274" t="s">
        <v>634</v>
      </c>
      <c r="E1274">
        <v>30</v>
      </c>
      <c r="F1274" t="s">
        <v>635</v>
      </c>
      <c r="G1274" t="s">
        <v>34</v>
      </c>
      <c r="H1274" t="s">
        <v>29</v>
      </c>
      <c r="I1274" t="s">
        <v>55</v>
      </c>
      <c r="J1274">
        <v>0</v>
      </c>
      <c r="K1274">
        <v>1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1</v>
      </c>
      <c r="V1274">
        <v>0</v>
      </c>
      <c r="W1274">
        <v>1</v>
      </c>
      <c r="X1274">
        <v>918.77</v>
      </c>
      <c r="Y1274">
        <v>1000</v>
      </c>
      <c r="Z1274">
        <f>AVERAGEIFS(Table1[FinalElo], Table1[Country], Table1[[#This Row],[Country]])</f>
        <v>846.505</v>
      </c>
      <c r="AA1274" cm="1">
        <f t="array" ref="AA1274">IF(COUNTIFS(Table1[Country],Table1[[#This Row],[Country]])=1,0, _xlfn.STDEV.S(IF(Table1[Country]=Table1[[#This Row],[Country]],Table1[FinalElo])))</f>
        <v>102.1981430848917</v>
      </c>
      <c r="AB1274">
        <f>IF(Table1[[#This Row],[CStd]]=0,0, (Table1[[#This Row],[FinalElo]]-Table1[[#This Row],[CAvg]]) / Table1[[#This Row],[CStd]])</f>
        <v>0.70710678118654746</v>
      </c>
      <c r="AC1274" t="str">
        <f>IF(Table1[[#This Row],[CStd]]=0,"Normal", IF(ABS(Table1[[#This Row],[CZscore]])&gt;2,"Outlier","Normal"))</f>
        <v>Normal</v>
      </c>
    </row>
    <row r="1275" spans="1:29" x14ac:dyDescent="0.35">
      <c r="A1275" t="s">
        <v>628</v>
      </c>
      <c r="B1275">
        <v>75.7</v>
      </c>
      <c r="C1275">
        <v>183</v>
      </c>
      <c r="D1275" t="s">
        <v>629</v>
      </c>
      <c r="E1275">
        <v>27</v>
      </c>
      <c r="F1275" t="s">
        <v>630</v>
      </c>
      <c r="G1275" t="s">
        <v>54</v>
      </c>
      <c r="H1275" t="s">
        <v>29</v>
      </c>
      <c r="I1275" t="s">
        <v>30</v>
      </c>
      <c r="J1275">
        <v>1</v>
      </c>
      <c r="K1275">
        <v>1</v>
      </c>
      <c r="L1275">
        <v>0</v>
      </c>
      <c r="M1275">
        <v>0</v>
      </c>
      <c r="N1275">
        <v>1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1</v>
      </c>
      <c r="V1275">
        <v>0</v>
      </c>
      <c r="W1275">
        <v>2</v>
      </c>
      <c r="X1275">
        <v>971.99</v>
      </c>
      <c r="Y1275">
        <v>1100</v>
      </c>
      <c r="Z1275">
        <f>AVERAGEIFS(Table1[FinalElo], Table1[Country], Table1[[#This Row],[Country]])</f>
        <v>971.99</v>
      </c>
      <c r="AA1275" cm="1">
        <f t="array" ref="AA1275">IF(COUNTIFS(Table1[Country],Table1[[#This Row],[Country]])=1,0, _xlfn.STDEV.S(IF(Table1[Country]=Table1[[#This Row],[Country]],Table1[FinalElo])))</f>
        <v>0</v>
      </c>
      <c r="AB1275">
        <f>IF(Table1[[#This Row],[CStd]]=0,0, (Table1[[#This Row],[FinalElo]]-Table1[[#This Row],[CAvg]]) / Table1[[#This Row],[CStd]])</f>
        <v>0</v>
      </c>
      <c r="AC1275" t="str">
        <f>IF(Table1[[#This Row],[CStd]]=0,"Normal", IF(ABS(Table1[[#This Row],[CZscore]])&gt;2,"Outlier","Normal"))</f>
        <v>Normal</v>
      </c>
    </row>
    <row r="1276" spans="1:29" x14ac:dyDescent="0.35">
      <c r="A1276" t="s">
        <v>625</v>
      </c>
      <c r="B1276">
        <v>68.492391999999995</v>
      </c>
      <c r="C1276">
        <v>182</v>
      </c>
      <c r="D1276" t="s">
        <v>626</v>
      </c>
      <c r="E1276">
        <v>32</v>
      </c>
      <c r="F1276" t="s">
        <v>627</v>
      </c>
      <c r="G1276" t="s">
        <v>34</v>
      </c>
      <c r="H1276" t="s">
        <v>29</v>
      </c>
      <c r="I1276" t="s">
        <v>48</v>
      </c>
      <c r="J1276">
        <v>0</v>
      </c>
      <c r="K1276">
        <v>2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1</v>
      </c>
      <c r="V1276">
        <v>0</v>
      </c>
      <c r="W1276">
        <v>2</v>
      </c>
      <c r="X1276">
        <v>894.18</v>
      </c>
      <c r="Y1276">
        <v>1000</v>
      </c>
      <c r="Z1276">
        <f>AVERAGEIFS(Table1[FinalElo], Table1[Country], Table1[[#This Row],[Country]])</f>
        <v>932.03999999999985</v>
      </c>
      <c r="AA1276" cm="1">
        <f t="array" ref="AA1276">IF(COUNTIFS(Table1[Country],Table1[[#This Row],[Country]])=1,0, _xlfn.STDEV.S(IF(Table1[Country]=Table1[[#This Row],[Country]],Table1[FinalElo])))</f>
        <v>135.23570706979393</v>
      </c>
      <c r="AB1276">
        <f>IF(Table1[[#This Row],[CStd]]=0,0, (Table1[[#This Row],[FinalElo]]-Table1[[#This Row],[CAvg]]) / Table1[[#This Row],[CStd]])</f>
        <v>-0.27995564795960798</v>
      </c>
      <c r="AC1276" t="str">
        <f>IF(Table1[[#This Row],[CStd]]=0,"Normal", IF(ABS(Table1[[#This Row],[CZscore]])&gt;2,"Outlier","Normal"))</f>
        <v>Normal</v>
      </c>
    </row>
    <row r="1277" spans="1:29" x14ac:dyDescent="0.35">
      <c r="A1277" t="s">
        <v>623</v>
      </c>
      <c r="B1277">
        <v>60.6</v>
      </c>
      <c r="C1277">
        <v>168</v>
      </c>
      <c r="D1277" t="s">
        <v>174</v>
      </c>
      <c r="E1277">
        <v>32</v>
      </c>
      <c r="F1277" t="s">
        <v>624</v>
      </c>
      <c r="G1277" t="s">
        <v>40</v>
      </c>
      <c r="H1277" t="s">
        <v>29</v>
      </c>
      <c r="I1277" t="s">
        <v>58</v>
      </c>
      <c r="J1277">
        <v>0</v>
      </c>
      <c r="K1277">
        <v>1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1</v>
      </c>
      <c r="T1277">
        <v>0</v>
      </c>
      <c r="U1277">
        <v>0</v>
      </c>
      <c r="V1277">
        <v>0</v>
      </c>
      <c r="W1277">
        <v>1</v>
      </c>
      <c r="X1277">
        <v>928.01</v>
      </c>
      <c r="Y1277">
        <v>1000</v>
      </c>
      <c r="Z1277">
        <f>AVERAGEIFS(Table1[FinalElo], Table1[Country], Table1[[#This Row],[Country]])</f>
        <v>980.52444444444427</v>
      </c>
      <c r="AA1277" cm="1">
        <f t="array" ref="AA1277">IF(COUNTIFS(Table1[Country],Table1[[#This Row],[Country]])=1,0, _xlfn.STDEV.S(IF(Table1[Country]=Table1[[#This Row],[Country]],Table1[FinalElo])))</f>
        <v>143.66034832022171</v>
      </c>
      <c r="AB1277">
        <f>IF(Table1[[#This Row],[CStd]]=0,0, (Table1[[#This Row],[FinalElo]]-Table1[[#This Row],[CAvg]]) / Table1[[#This Row],[CStd]])</f>
        <v>-0.36554585213303648</v>
      </c>
      <c r="AC1277" t="str">
        <f>IF(Table1[[#This Row],[CStd]]=0,"Normal", IF(ABS(Table1[[#This Row],[CZscore]])&gt;2,"Outlier","Normal"))</f>
        <v>Normal</v>
      </c>
    </row>
    <row r="1278" spans="1:29" x14ac:dyDescent="0.35">
      <c r="A1278" t="s">
        <v>621</v>
      </c>
      <c r="B1278">
        <v>77.099999999999994</v>
      </c>
      <c r="C1278">
        <v>187</v>
      </c>
      <c r="D1278" t="s">
        <v>32</v>
      </c>
      <c r="E1278">
        <v>43</v>
      </c>
      <c r="F1278" t="s">
        <v>622</v>
      </c>
      <c r="G1278" t="s">
        <v>34</v>
      </c>
      <c r="H1278" t="s">
        <v>29</v>
      </c>
      <c r="I1278" t="s">
        <v>30</v>
      </c>
      <c r="J1278">
        <v>3</v>
      </c>
      <c r="K1278">
        <v>1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4</v>
      </c>
      <c r="X1278">
        <v>1157.3900000000001</v>
      </c>
      <c r="Y1278">
        <v>1157.3900000000001</v>
      </c>
      <c r="Z1278">
        <f>AVERAGEIFS(Table1[FinalElo], Table1[Country], Table1[[#This Row],[Country]])</f>
        <v>1025.3786885245902</v>
      </c>
      <c r="AA1278" cm="1">
        <f t="array" ref="AA1278">IF(COUNTIFS(Table1[Country],Table1[[#This Row],[Country]])=1,0, _xlfn.STDEV.S(IF(Table1[Country]=Table1[[#This Row],[Country]],Table1[FinalElo])))</f>
        <v>144.71595558743479</v>
      </c>
      <c r="AB1278">
        <f>IF(Table1[[#This Row],[CStd]]=0,0, (Table1[[#This Row],[FinalElo]]-Table1[[#This Row],[CAvg]]) / Table1[[#This Row],[CStd]])</f>
        <v>0.9122097901336873</v>
      </c>
      <c r="AC1278" t="str">
        <f>IF(Table1[[#This Row],[CStd]]=0,"Normal", IF(ABS(Table1[[#This Row],[CZscore]])&gt;2,"Outlier","Normal"))</f>
        <v>Normal</v>
      </c>
    </row>
    <row r="1279" spans="1:29" x14ac:dyDescent="0.35">
      <c r="A1279" t="s">
        <v>620</v>
      </c>
      <c r="B1279">
        <v>57</v>
      </c>
      <c r="C1279">
        <v>172</v>
      </c>
      <c r="D1279" t="s">
        <v>89</v>
      </c>
      <c r="E1279">
        <v>24</v>
      </c>
      <c r="F1279" t="s">
        <v>535</v>
      </c>
      <c r="G1279" t="s">
        <v>34</v>
      </c>
      <c r="H1279" t="s">
        <v>29</v>
      </c>
      <c r="I1279" t="s">
        <v>58</v>
      </c>
      <c r="J1279">
        <v>1</v>
      </c>
      <c r="K1279">
        <v>2</v>
      </c>
      <c r="L1279">
        <v>0</v>
      </c>
      <c r="M1279">
        <v>0</v>
      </c>
      <c r="N1279">
        <v>0</v>
      </c>
      <c r="O1279">
        <v>0</v>
      </c>
      <c r="P1279">
        <v>1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3</v>
      </c>
      <c r="X1279">
        <v>933.96</v>
      </c>
      <c r="Y1279">
        <v>1047.56</v>
      </c>
      <c r="Z1279">
        <f>AVERAGEIFS(Table1[FinalElo], Table1[Country], Table1[[#This Row],[Country]])</f>
        <v>1012.0629025423733</v>
      </c>
      <c r="AA1279" cm="1">
        <f t="array" ref="AA1279">IF(COUNTIFS(Table1[Country],Table1[[#This Row],[Country]])=1,0, _xlfn.STDEV.S(IF(Table1[Country]=Table1[[#This Row],[Country]],Table1[FinalElo])))</f>
        <v>148.42180446198614</v>
      </c>
      <c r="AB1279">
        <f>IF(Table1[[#This Row],[CStd]]=0,0, (Table1[[#This Row],[FinalElo]]-Table1[[#This Row],[CAvg]]) / Table1[[#This Row],[CStd]])</f>
        <v>-0.52622256430238334</v>
      </c>
      <c r="AC1279" t="str">
        <f>IF(Table1[[#This Row],[CStd]]=0,"Normal", IF(ABS(Table1[[#This Row],[CZscore]])&gt;2,"Outlier","Normal"))</f>
        <v>Normal</v>
      </c>
    </row>
    <row r="1280" spans="1:29" hidden="1" x14ac:dyDescent="0.35">
      <c r="A1280" t="s">
        <v>2256</v>
      </c>
      <c r="B1280">
        <v>65.8</v>
      </c>
      <c r="C1280">
        <v>176</v>
      </c>
      <c r="D1280" t="s">
        <v>358</v>
      </c>
      <c r="E1280">
        <v>36</v>
      </c>
      <c r="F1280" t="s">
        <v>2257</v>
      </c>
      <c r="G1280" t="s">
        <v>40</v>
      </c>
      <c r="I1280" t="s">
        <v>48</v>
      </c>
      <c r="J1280">
        <v>1</v>
      </c>
      <c r="K1280">
        <v>0</v>
      </c>
      <c r="L1280">
        <v>0</v>
      </c>
      <c r="M1280">
        <v>1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1</v>
      </c>
      <c r="X1280">
        <v>1100</v>
      </c>
      <c r="Y1280">
        <v>1100</v>
      </c>
      <c r="Z1280">
        <f>AVERAGEIFS(Table1[FinalElo], Table1[Country], Table1[[#This Row],[Country]])</f>
        <v>974.61500000000012</v>
      </c>
      <c r="AA1280" cm="1">
        <f t="array" ref="AA1280">IF(COUNTIFS(Table1[Country],Table1[[#This Row],[Country]])=1,0, _xlfn.STDEV.S(IF(Table1[Country]=Table1[[#This Row],[Country]],Table1[FinalElo])))</f>
        <v>146.82246313768914</v>
      </c>
      <c r="AB1280">
        <f>IF(Table1[[#This Row],[CStd]]=0,0, (Table1[[#This Row],[FinalElo]]-Table1[[#This Row],[CAvg]]) / Table1[[#This Row],[CStd]])</f>
        <v>0.85399057692156166</v>
      </c>
      <c r="AC1280" t="str">
        <f>IF(Table1[[#This Row],[CStd]]=0,"Normal", IF(ABS(Table1[[#This Row],[CZscore]])&gt;2,"Outlier","Normal"))</f>
        <v>Normal</v>
      </c>
    </row>
    <row r="1281" spans="1:29" x14ac:dyDescent="0.35">
      <c r="A1281" t="s">
        <v>618</v>
      </c>
      <c r="B1281">
        <v>61.1</v>
      </c>
      <c r="C1281">
        <v>169</v>
      </c>
      <c r="D1281" t="s">
        <v>174</v>
      </c>
      <c r="E1281">
        <v>25</v>
      </c>
      <c r="F1281" t="s">
        <v>619</v>
      </c>
      <c r="G1281" t="s">
        <v>40</v>
      </c>
      <c r="H1281" t="s">
        <v>29</v>
      </c>
      <c r="I1281" t="s">
        <v>58</v>
      </c>
      <c r="J1281">
        <v>2</v>
      </c>
      <c r="K1281">
        <v>1</v>
      </c>
      <c r="L1281">
        <v>0</v>
      </c>
      <c r="M1281">
        <v>0</v>
      </c>
      <c r="N1281">
        <v>2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1</v>
      </c>
      <c r="V1281">
        <v>0</v>
      </c>
      <c r="W1281">
        <v>3</v>
      </c>
      <c r="X1281">
        <v>1048.05</v>
      </c>
      <c r="Y1281">
        <v>1200</v>
      </c>
      <c r="Z1281">
        <f>AVERAGEIFS(Table1[FinalElo], Table1[Country], Table1[[#This Row],[Country]])</f>
        <v>980.52444444444427</v>
      </c>
      <c r="AA1281" cm="1">
        <f t="array" ref="AA1281">IF(COUNTIFS(Table1[Country],Table1[[#This Row],[Country]])=1,0, _xlfn.STDEV.S(IF(Table1[Country]=Table1[[#This Row],[Country]],Table1[FinalElo])))</f>
        <v>143.66034832022171</v>
      </c>
      <c r="AB1281">
        <f>IF(Table1[[#This Row],[CStd]]=0,0, (Table1[[#This Row],[FinalElo]]-Table1[[#This Row],[CAvg]]) / Table1[[#This Row],[CStd]])</f>
        <v>0.47003613972200531</v>
      </c>
      <c r="AC1281" t="str">
        <f>IF(Table1[[#This Row],[CStd]]=0,"Normal", IF(ABS(Table1[[#This Row],[CZscore]])&gt;2,"Outlier","Normal"))</f>
        <v>Normal</v>
      </c>
    </row>
    <row r="1282" spans="1:29" x14ac:dyDescent="0.35">
      <c r="A1282" t="s">
        <v>615</v>
      </c>
      <c r="B1282">
        <v>76.5</v>
      </c>
      <c r="C1282">
        <v>180</v>
      </c>
      <c r="D1282" t="s">
        <v>616</v>
      </c>
      <c r="E1282">
        <v>31</v>
      </c>
      <c r="F1282" t="s">
        <v>617</v>
      </c>
      <c r="G1282" t="s">
        <v>28</v>
      </c>
      <c r="H1282" t="s">
        <v>29</v>
      </c>
      <c r="I1282" t="s">
        <v>30</v>
      </c>
      <c r="J1282">
        <v>2</v>
      </c>
      <c r="K1282">
        <v>1</v>
      </c>
      <c r="L1282">
        <v>0</v>
      </c>
      <c r="M1282">
        <v>0</v>
      </c>
      <c r="N1282">
        <v>0</v>
      </c>
      <c r="O1282">
        <v>0</v>
      </c>
      <c r="P1282">
        <v>2</v>
      </c>
      <c r="Q1282">
        <v>0</v>
      </c>
      <c r="R1282">
        <v>1</v>
      </c>
      <c r="S1282">
        <v>0</v>
      </c>
      <c r="T1282">
        <v>0</v>
      </c>
      <c r="U1282">
        <v>0</v>
      </c>
      <c r="V1282">
        <v>0</v>
      </c>
      <c r="W1282">
        <v>3</v>
      </c>
      <c r="X1282">
        <v>1047.44</v>
      </c>
      <c r="Y1282">
        <v>1166.29</v>
      </c>
      <c r="Z1282">
        <f>AVERAGEIFS(Table1[FinalElo], Table1[Country], Table1[[#This Row],[Country]])</f>
        <v>1047.44</v>
      </c>
      <c r="AA1282" cm="1">
        <f t="array" ref="AA1282">IF(COUNTIFS(Table1[Country],Table1[[#This Row],[Country]])=1,0, _xlfn.STDEV.S(IF(Table1[Country]=Table1[[#This Row],[Country]],Table1[FinalElo])))</f>
        <v>0</v>
      </c>
      <c r="AB1282">
        <f>IF(Table1[[#This Row],[CStd]]=0,0, (Table1[[#This Row],[FinalElo]]-Table1[[#This Row],[CAvg]]) / Table1[[#This Row],[CStd]])</f>
        <v>0</v>
      </c>
      <c r="AC1282" t="str">
        <f>IF(Table1[[#This Row],[CStd]]=0,"Normal", IF(ABS(Table1[[#This Row],[CZscore]])&gt;2,"Outlier","Normal"))</f>
        <v>Normal</v>
      </c>
    </row>
    <row r="1283" spans="1:29" x14ac:dyDescent="0.35">
      <c r="A1283" t="s">
        <v>613</v>
      </c>
      <c r="B1283">
        <v>70.31</v>
      </c>
      <c r="C1283">
        <v>182</v>
      </c>
      <c r="D1283" t="s">
        <v>71</v>
      </c>
      <c r="E1283">
        <v>28</v>
      </c>
      <c r="F1283" t="s">
        <v>614</v>
      </c>
      <c r="G1283" t="s">
        <v>40</v>
      </c>
      <c r="H1283" t="s">
        <v>29</v>
      </c>
      <c r="I1283" t="s">
        <v>30</v>
      </c>
      <c r="J1283">
        <v>1</v>
      </c>
      <c r="K1283">
        <v>0</v>
      </c>
      <c r="L1283">
        <v>0</v>
      </c>
      <c r="M1283">
        <v>1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1</v>
      </c>
      <c r="X1283">
        <v>1108.04</v>
      </c>
      <c r="Y1283">
        <v>1108.04</v>
      </c>
      <c r="Z1283">
        <f>AVERAGEIFS(Table1[FinalElo], Table1[Country], Table1[[#This Row],[Country]])</f>
        <v>991.47826086956536</v>
      </c>
      <c r="AA1283" cm="1">
        <f t="array" ref="AA1283">IF(COUNTIFS(Table1[Country],Table1[[#This Row],[Country]])=1,0, _xlfn.STDEV.S(IF(Table1[Country]=Table1[[#This Row],[Country]],Table1[FinalElo])))</f>
        <v>164.61500422203164</v>
      </c>
      <c r="AB1283">
        <f>IF(Table1[[#This Row],[CStd]]=0,0, (Table1[[#This Row],[FinalElo]]-Table1[[#This Row],[CAvg]]) / Table1[[#This Row],[CStd]])</f>
        <v>0.7080869674140815</v>
      </c>
      <c r="AC1283" t="str">
        <f>IF(Table1[[#This Row],[CStd]]=0,"Normal", IF(ABS(Table1[[#This Row],[CZscore]])&gt;2,"Outlier","Normal"))</f>
        <v>Normal</v>
      </c>
    </row>
    <row r="1284" spans="1:29" x14ac:dyDescent="0.35">
      <c r="A1284" t="s">
        <v>611</v>
      </c>
      <c r="B1284">
        <v>58.96696</v>
      </c>
      <c r="C1284">
        <v>175</v>
      </c>
      <c r="D1284" t="s">
        <v>89</v>
      </c>
      <c r="E1284">
        <v>22</v>
      </c>
      <c r="F1284" t="s">
        <v>612</v>
      </c>
      <c r="G1284" t="s">
        <v>34</v>
      </c>
      <c r="H1284" t="s">
        <v>29</v>
      </c>
      <c r="I1284" t="s">
        <v>58</v>
      </c>
      <c r="J1284">
        <v>0</v>
      </c>
      <c r="K1284">
        <v>1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1</v>
      </c>
      <c r="X1284">
        <v>900</v>
      </c>
      <c r="Y1284">
        <v>1000</v>
      </c>
      <c r="Z1284">
        <f>AVERAGEIFS(Table1[FinalElo], Table1[Country], Table1[[#This Row],[Country]])</f>
        <v>1012.0629025423733</v>
      </c>
      <c r="AA1284" cm="1">
        <f t="array" ref="AA1284">IF(COUNTIFS(Table1[Country],Table1[[#This Row],[Country]])=1,0, _xlfn.STDEV.S(IF(Table1[Country]=Table1[[#This Row],[Country]],Table1[FinalElo])))</f>
        <v>148.42180446198614</v>
      </c>
      <c r="AB1284">
        <f>IF(Table1[[#This Row],[CStd]]=0,0, (Table1[[#This Row],[FinalElo]]-Table1[[#This Row],[CAvg]]) / Table1[[#This Row],[CStd]])</f>
        <v>-0.75502991591154589</v>
      </c>
      <c r="AC1284" t="str">
        <f>IF(Table1[[#This Row],[CStd]]=0,"Normal", IF(ABS(Table1[[#This Row],[CZscore]])&gt;2,"Outlier","Normal"))</f>
        <v>Normal</v>
      </c>
    </row>
    <row r="1285" spans="1:29" x14ac:dyDescent="0.35">
      <c r="A1285" t="s">
        <v>609</v>
      </c>
      <c r="B1285">
        <v>56.7</v>
      </c>
      <c r="C1285">
        <v>163</v>
      </c>
      <c r="D1285" t="s">
        <v>52</v>
      </c>
      <c r="E1285">
        <v>-1</v>
      </c>
      <c r="F1285" t="s">
        <v>610</v>
      </c>
      <c r="G1285" t="s">
        <v>40</v>
      </c>
      <c r="H1285" t="s">
        <v>29</v>
      </c>
      <c r="I1285" t="s">
        <v>58</v>
      </c>
      <c r="J1285">
        <v>1</v>
      </c>
      <c r="K1285">
        <v>0</v>
      </c>
      <c r="L1285">
        <v>0</v>
      </c>
      <c r="M1285">
        <v>0</v>
      </c>
      <c r="N1285">
        <v>1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1</v>
      </c>
      <c r="X1285">
        <v>1089.31</v>
      </c>
      <c r="Y1285">
        <v>1089.31</v>
      </c>
      <c r="Z1285">
        <f>AVERAGEIFS(Table1[FinalElo], Table1[Country], Table1[[#This Row],[Country]])</f>
        <v>1039.8985714285714</v>
      </c>
      <c r="AA1285" cm="1">
        <f t="array" ref="AA1285">IF(COUNTIFS(Table1[Country],Table1[[#This Row],[Country]])=1,0, _xlfn.STDEV.S(IF(Table1[Country]=Table1[[#This Row],[Country]],Table1[FinalElo])))</f>
        <v>194.01778111336392</v>
      </c>
      <c r="AB1285">
        <f>IF(Table1[[#This Row],[CStd]]=0,0, (Table1[[#This Row],[FinalElo]]-Table1[[#This Row],[CAvg]]) / Table1[[#This Row],[CStd]])</f>
        <v>0.25467474314922539</v>
      </c>
      <c r="AC1285" t="str">
        <f>IF(Table1[[#This Row],[CStd]]=0,"Normal", IF(ABS(Table1[[#This Row],[CZscore]])&gt;2,"Outlier","Normal"))</f>
        <v>Normal</v>
      </c>
    </row>
    <row r="1286" spans="1:29" x14ac:dyDescent="0.35">
      <c r="A1286" t="s">
        <v>608</v>
      </c>
      <c r="B1286">
        <v>70.31</v>
      </c>
      <c r="C1286">
        <v>-1</v>
      </c>
      <c r="D1286" t="s">
        <v>52</v>
      </c>
      <c r="E1286">
        <v>20</v>
      </c>
      <c r="F1286" t="s">
        <v>84</v>
      </c>
      <c r="G1286" t="s">
        <v>54</v>
      </c>
      <c r="H1286" t="s">
        <v>29</v>
      </c>
      <c r="I1286" t="s">
        <v>30</v>
      </c>
      <c r="J1286">
        <v>1</v>
      </c>
      <c r="K1286">
        <v>0</v>
      </c>
      <c r="L1286">
        <v>0</v>
      </c>
      <c r="M1286">
        <v>0</v>
      </c>
      <c r="N1286">
        <v>1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1</v>
      </c>
      <c r="X1286">
        <v>1144.73</v>
      </c>
      <c r="Y1286">
        <v>1144.73</v>
      </c>
      <c r="Z1286">
        <f>AVERAGEIFS(Table1[FinalElo], Table1[Country], Table1[[#This Row],[Country]])</f>
        <v>1039.8985714285714</v>
      </c>
      <c r="AA1286" cm="1">
        <f t="array" ref="AA1286">IF(COUNTIFS(Table1[Country],Table1[[#This Row],[Country]])=1,0, _xlfn.STDEV.S(IF(Table1[Country]=Table1[[#This Row],[Country]],Table1[FinalElo])))</f>
        <v>194.01778111336392</v>
      </c>
      <c r="AB1286">
        <f>IF(Table1[[#This Row],[CStd]]=0,0, (Table1[[#This Row],[FinalElo]]-Table1[[#This Row],[CAvg]]) / Table1[[#This Row],[CStd]])</f>
        <v>0.54031866548445895</v>
      </c>
      <c r="AC1286" t="str">
        <f>IF(Table1[[#This Row],[CStd]]=0,"Normal", IF(ABS(Table1[[#This Row],[CZscore]])&gt;2,"Outlier","Normal"))</f>
        <v>Normal</v>
      </c>
    </row>
    <row r="1287" spans="1:29" x14ac:dyDescent="0.35">
      <c r="A1287" t="s">
        <v>605</v>
      </c>
      <c r="B1287">
        <v>72.574719999999999</v>
      </c>
      <c r="C1287">
        <v>-1</v>
      </c>
      <c r="D1287" t="s">
        <v>452</v>
      </c>
      <c r="E1287">
        <v>0</v>
      </c>
      <c r="F1287">
        <v>1</v>
      </c>
      <c r="G1287" t="s">
        <v>34</v>
      </c>
      <c r="H1287" t="s">
        <v>29</v>
      </c>
      <c r="I1287" t="s">
        <v>30</v>
      </c>
      <c r="J1287">
        <v>0</v>
      </c>
      <c r="K1287">
        <v>1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1</v>
      </c>
      <c r="S1287">
        <v>0</v>
      </c>
      <c r="T1287">
        <v>0</v>
      </c>
      <c r="U1287">
        <v>0</v>
      </c>
      <c r="V1287">
        <v>0</v>
      </c>
      <c r="W1287">
        <v>1</v>
      </c>
      <c r="X1287">
        <v>866.2</v>
      </c>
      <c r="Y1287">
        <v>1000</v>
      </c>
      <c r="Z1287">
        <f>AVERAGEIFS(Table1[FinalElo], Table1[Country], Table1[[#This Row],[Country]])</f>
        <v>1035.0040000000001</v>
      </c>
      <c r="AA1287" cm="1">
        <f t="array" ref="AA1287">IF(COUNTIFS(Table1[Country],Table1[[#This Row],[Country]])=1,0, _xlfn.STDEV.S(IF(Table1[Country]=Table1[[#This Row],[Country]],Table1[FinalElo])))</f>
        <v>97.988999790792832</v>
      </c>
      <c r="AB1287">
        <f>IF(Table1[[#This Row],[CStd]]=0,0, (Table1[[#This Row],[FinalElo]]-Table1[[#This Row],[CAvg]]) / Table1[[#This Row],[CStd]])</f>
        <v>-1.7226831619916292</v>
      </c>
      <c r="AC1287" t="str">
        <f>IF(Table1[[#This Row],[CStd]]=0,"Normal", IF(ABS(Table1[[#This Row],[CZscore]])&gt;2,"Outlier","Normal"))</f>
        <v>Normal</v>
      </c>
    </row>
    <row r="1288" spans="1:29" x14ac:dyDescent="0.35">
      <c r="A1288" t="s">
        <v>604</v>
      </c>
      <c r="B1288">
        <v>61.1</v>
      </c>
      <c r="C1288">
        <v>165</v>
      </c>
      <c r="D1288" t="s">
        <v>32</v>
      </c>
      <c r="E1288">
        <v>30</v>
      </c>
      <c r="F1288" t="s">
        <v>466</v>
      </c>
      <c r="G1288" t="s">
        <v>54</v>
      </c>
      <c r="H1288" t="s">
        <v>29</v>
      </c>
      <c r="I1288" t="s">
        <v>58</v>
      </c>
      <c r="J1288">
        <v>1</v>
      </c>
      <c r="K1288">
        <v>1</v>
      </c>
      <c r="L1288">
        <v>0</v>
      </c>
      <c r="M1288">
        <v>0</v>
      </c>
      <c r="N1288">
        <v>1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1</v>
      </c>
      <c r="V1288">
        <v>0</v>
      </c>
      <c r="W1288">
        <v>2</v>
      </c>
      <c r="X1288">
        <v>1042.04</v>
      </c>
      <c r="Y1288">
        <v>1042.04</v>
      </c>
      <c r="Z1288">
        <f>AVERAGEIFS(Table1[FinalElo], Table1[Country], Table1[[#This Row],[Country]])</f>
        <v>1025.3786885245902</v>
      </c>
      <c r="AA1288" cm="1">
        <f t="array" ref="AA1288">IF(COUNTIFS(Table1[Country],Table1[[#This Row],[Country]])=1,0, _xlfn.STDEV.S(IF(Table1[Country]=Table1[[#This Row],[Country]],Table1[FinalElo])))</f>
        <v>144.71595558743479</v>
      </c>
      <c r="AB1288">
        <f>IF(Table1[[#This Row],[CStd]]=0,0, (Table1[[#This Row],[FinalElo]]-Table1[[#This Row],[CAvg]]) / Table1[[#This Row],[CStd]])</f>
        <v>0.11513112985902449</v>
      </c>
      <c r="AC1288" t="str">
        <f>IF(Table1[[#This Row],[CStd]]=0,"Normal", IF(ABS(Table1[[#This Row],[CZscore]])&gt;2,"Outlier","Normal"))</f>
        <v>Normal</v>
      </c>
    </row>
    <row r="1289" spans="1:29" x14ac:dyDescent="0.35">
      <c r="A1289" t="s">
        <v>603</v>
      </c>
      <c r="B1289">
        <v>52.16</v>
      </c>
      <c r="C1289">
        <v>162</v>
      </c>
      <c r="D1289" t="s">
        <v>332</v>
      </c>
      <c r="E1289">
        <v>30</v>
      </c>
      <c r="F1289" t="s">
        <v>133</v>
      </c>
      <c r="G1289" t="s">
        <v>40</v>
      </c>
      <c r="H1289" t="s">
        <v>29</v>
      </c>
      <c r="I1289" t="s">
        <v>36</v>
      </c>
      <c r="J1289">
        <v>0</v>
      </c>
      <c r="K1289">
        <v>1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1</v>
      </c>
      <c r="S1289">
        <v>0</v>
      </c>
      <c r="T1289">
        <v>0</v>
      </c>
      <c r="U1289">
        <v>0</v>
      </c>
      <c r="V1289">
        <v>0</v>
      </c>
      <c r="W1289">
        <v>1</v>
      </c>
      <c r="X1289">
        <v>900</v>
      </c>
      <c r="Y1289">
        <v>1000</v>
      </c>
      <c r="Z1289">
        <f>AVERAGEIFS(Table1[FinalElo], Table1[Country], Table1[[#This Row],[Country]])</f>
        <v>975.5858333333332</v>
      </c>
      <c r="AA1289" cm="1">
        <f t="array" ref="AA1289">IF(COUNTIFS(Table1[Country],Table1[[#This Row],[Country]])=1,0, _xlfn.STDEV.S(IF(Table1[Country]=Table1[[#This Row],[Country]],Table1[FinalElo])))</f>
        <v>72.69168633948992</v>
      </c>
      <c r="AB1289">
        <f>IF(Table1[[#This Row],[CStd]]=0,0, (Table1[[#This Row],[FinalElo]]-Table1[[#This Row],[CAvg]]) / Table1[[#This Row],[CStd]])</f>
        <v>-1.0398140026677443</v>
      </c>
      <c r="AC1289" t="str">
        <f>IF(Table1[[#This Row],[CStd]]=0,"Normal", IF(ABS(Table1[[#This Row],[CZscore]])&gt;2,"Outlier","Normal"))</f>
        <v>Normal</v>
      </c>
    </row>
    <row r="1290" spans="1:29" x14ac:dyDescent="0.35">
      <c r="A1290" t="s">
        <v>601</v>
      </c>
      <c r="B1290">
        <v>58.513368</v>
      </c>
      <c r="C1290">
        <v>167</v>
      </c>
      <c r="D1290" t="s">
        <v>286</v>
      </c>
      <c r="E1290">
        <v>30</v>
      </c>
      <c r="F1290" t="s">
        <v>602</v>
      </c>
      <c r="G1290" t="s">
        <v>34</v>
      </c>
      <c r="H1290" t="s">
        <v>29</v>
      </c>
      <c r="I1290" t="s">
        <v>58</v>
      </c>
      <c r="J1290">
        <v>0</v>
      </c>
      <c r="K1290">
        <v>1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1</v>
      </c>
      <c r="X1290">
        <v>900</v>
      </c>
      <c r="Y1290">
        <v>1000</v>
      </c>
      <c r="Z1290">
        <f>AVERAGEIFS(Table1[FinalElo], Table1[Country], Table1[[#This Row],[Country]])</f>
        <v>1087.97</v>
      </c>
      <c r="AA1290" cm="1">
        <f t="array" ref="AA1290">IF(COUNTIFS(Table1[Country],Table1[[#This Row],[Country]])=1,0, _xlfn.STDEV.S(IF(Table1[Country]=Table1[[#This Row],[Country]],Table1[FinalElo])))</f>
        <v>209.70246125675953</v>
      </c>
      <c r="AB1290">
        <f>IF(Table1[[#This Row],[CStd]]=0,0, (Table1[[#This Row],[FinalElo]]-Table1[[#This Row],[CAvg]]) / Table1[[#This Row],[CStd]])</f>
        <v>-0.89636525424396285</v>
      </c>
      <c r="AC1290" t="str">
        <f>IF(Table1[[#This Row],[CStd]]=0,"Normal", IF(ABS(Table1[[#This Row],[CZscore]])&gt;2,"Outlier","Normal"))</f>
        <v>Normal</v>
      </c>
    </row>
    <row r="1291" spans="1:29" x14ac:dyDescent="0.35">
      <c r="A1291" t="s">
        <v>600</v>
      </c>
      <c r="B1291">
        <v>62.595695999999997</v>
      </c>
      <c r="C1291">
        <v>182</v>
      </c>
      <c r="D1291" t="s">
        <v>89</v>
      </c>
      <c r="E1291">
        <v>21</v>
      </c>
      <c r="F1291" t="s">
        <v>535</v>
      </c>
      <c r="G1291" t="s">
        <v>34</v>
      </c>
      <c r="H1291" t="s">
        <v>29</v>
      </c>
      <c r="I1291" t="s">
        <v>73</v>
      </c>
      <c r="J1291">
        <v>0</v>
      </c>
      <c r="K1291">
        <v>1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1</v>
      </c>
      <c r="V1291">
        <v>0</v>
      </c>
      <c r="W1291">
        <v>1</v>
      </c>
      <c r="X1291">
        <v>900</v>
      </c>
      <c r="Y1291">
        <v>1000</v>
      </c>
      <c r="Z1291">
        <f>AVERAGEIFS(Table1[FinalElo], Table1[Country], Table1[[#This Row],[Country]])</f>
        <v>1012.0629025423733</v>
      </c>
      <c r="AA1291" cm="1">
        <f t="array" ref="AA1291">IF(COUNTIFS(Table1[Country],Table1[[#This Row],[Country]])=1,0, _xlfn.STDEV.S(IF(Table1[Country]=Table1[[#This Row],[Country]],Table1[FinalElo])))</f>
        <v>148.42180446198614</v>
      </c>
      <c r="AB1291">
        <f>IF(Table1[[#This Row],[CStd]]=0,0, (Table1[[#This Row],[FinalElo]]-Table1[[#This Row],[CAvg]]) / Table1[[#This Row],[CStd]])</f>
        <v>-0.75502991591154589</v>
      </c>
      <c r="AC1291" t="str">
        <f>IF(Table1[[#This Row],[CStd]]=0,"Normal", IF(ABS(Table1[[#This Row],[CZscore]])&gt;2,"Outlier","Normal"))</f>
        <v>Normal</v>
      </c>
    </row>
    <row r="1292" spans="1:29" x14ac:dyDescent="0.35">
      <c r="A1292" t="s">
        <v>599</v>
      </c>
      <c r="B1292">
        <v>53.523856000000002</v>
      </c>
      <c r="C1292">
        <v>165</v>
      </c>
      <c r="D1292" t="s">
        <v>89</v>
      </c>
      <c r="E1292">
        <v>25</v>
      </c>
      <c r="F1292" t="s">
        <v>457</v>
      </c>
      <c r="G1292" t="s">
        <v>34</v>
      </c>
      <c r="H1292" t="s">
        <v>29</v>
      </c>
      <c r="I1292" t="s">
        <v>36</v>
      </c>
      <c r="J1292">
        <v>0</v>
      </c>
      <c r="K1292">
        <v>2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2</v>
      </c>
      <c r="S1292">
        <v>0</v>
      </c>
      <c r="T1292">
        <v>0</v>
      </c>
      <c r="U1292">
        <v>0</v>
      </c>
      <c r="V1292">
        <v>0</v>
      </c>
      <c r="W1292">
        <v>2</v>
      </c>
      <c r="X1292">
        <v>851.95</v>
      </c>
      <c r="Y1292">
        <v>1000</v>
      </c>
      <c r="Z1292">
        <f>AVERAGEIFS(Table1[FinalElo], Table1[Country], Table1[[#This Row],[Country]])</f>
        <v>1012.0629025423733</v>
      </c>
      <c r="AA1292" cm="1">
        <f t="array" ref="AA1292">IF(COUNTIFS(Table1[Country],Table1[[#This Row],[Country]])=1,0, _xlfn.STDEV.S(IF(Table1[Country]=Table1[[#This Row],[Country]],Table1[FinalElo])))</f>
        <v>148.42180446198614</v>
      </c>
      <c r="AB1292">
        <f>IF(Table1[[#This Row],[CStd]]=0,0, (Table1[[#This Row],[FinalElo]]-Table1[[#This Row],[CAvg]]) / Table1[[#This Row],[CStd]])</f>
        <v>-1.0787694107531314</v>
      </c>
      <c r="AC1292" t="str">
        <f>IF(Table1[[#This Row],[CStd]]=0,"Normal", IF(ABS(Table1[[#This Row],[CZscore]])&gt;2,"Outlier","Normal"))</f>
        <v>Normal</v>
      </c>
    </row>
    <row r="1293" spans="1:29" x14ac:dyDescent="0.35">
      <c r="A1293" t="s">
        <v>596</v>
      </c>
      <c r="B1293">
        <v>49.895119999999999</v>
      </c>
      <c r="C1293">
        <v>163</v>
      </c>
      <c r="D1293" t="s">
        <v>597</v>
      </c>
      <c r="E1293">
        <v>25</v>
      </c>
      <c r="F1293" t="s">
        <v>598</v>
      </c>
      <c r="G1293" t="s">
        <v>34</v>
      </c>
      <c r="H1293" t="s">
        <v>29</v>
      </c>
      <c r="I1293" t="s">
        <v>55</v>
      </c>
      <c r="J1293">
        <v>0</v>
      </c>
      <c r="K1293">
        <v>1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1</v>
      </c>
      <c r="X1293">
        <v>900</v>
      </c>
      <c r="Y1293">
        <v>1000</v>
      </c>
      <c r="Z1293">
        <f>AVERAGEIFS(Table1[FinalElo], Table1[Country], Table1[[#This Row],[Country]])</f>
        <v>998.47333333333336</v>
      </c>
      <c r="AA1293" cm="1">
        <f t="array" ref="AA1293">IF(COUNTIFS(Table1[Country],Table1[[#This Row],[Country]])=1,0, _xlfn.STDEV.S(IF(Table1[Country]=Table1[[#This Row],[Country]],Table1[FinalElo])))</f>
        <v>91.595002229015435</v>
      </c>
      <c r="AB1293">
        <f>IF(Table1[[#This Row],[CStd]]=0,0, (Table1[[#This Row],[FinalElo]]-Table1[[#This Row],[CAvg]]) / Table1[[#This Row],[CStd]])</f>
        <v>-1.0750950481678028</v>
      </c>
      <c r="AC1293" t="str">
        <f>IF(Table1[[#This Row],[CStd]]=0,"Normal", IF(ABS(Table1[[#This Row],[CZscore]])&gt;2,"Outlier","Normal"))</f>
        <v>Normal</v>
      </c>
    </row>
    <row r="1294" spans="1:29" x14ac:dyDescent="0.35">
      <c r="A1294" t="s">
        <v>49</v>
      </c>
      <c r="B1294">
        <v>77.3</v>
      </c>
      <c r="C1294">
        <v>180</v>
      </c>
      <c r="D1294" t="s">
        <v>43</v>
      </c>
      <c r="E1294">
        <v>27</v>
      </c>
      <c r="F1294" t="s">
        <v>44</v>
      </c>
      <c r="G1294" t="s">
        <v>40</v>
      </c>
      <c r="H1294" t="s">
        <v>29</v>
      </c>
      <c r="I1294" t="s">
        <v>50</v>
      </c>
      <c r="J1294">
        <v>17</v>
      </c>
      <c r="K1294">
        <v>4</v>
      </c>
      <c r="L1294">
        <v>1</v>
      </c>
      <c r="M1294">
        <v>12</v>
      </c>
      <c r="N1294">
        <v>4</v>
      </c>
      <c r="O1294">
        <v>0</v>
      </c>
      <c r="P1294">
        <v>1</v>
      </c>
      <c r="Q1294">
        <v>0</v>
      </c>
      <c r="R1294">
        <v>0</v>
      </c>
      <c r="S1294">
        <v>1</v>
      </c>
      <c r="T1294">
        <v>1</v>
      </c>
      <c r="U1294">
        <v>1</v>
      </c>
      <c r="V1294">
        <v>1</v>
      </c>
      <c r="W1294">
        <v>22</v>
      </c>
      <c r="X1294">
        <v>1536.69</v>
      </c>
      <c r="Y1294">
        <v>1587.17</v>
      </c>
      <c r="Z1294">
        <f>AVERAGEIFS(Table1[FinalElo], Table1[Country], Table1[[#This Row],[Country]])</f>
        <v>1334.6424999999999</v>
      </c>
      <c r="AA1294" cm="1">
        <f t="array" ref="AA1294">IF(COUNTIFS(Table1[Country],Table1[[#This Row],[Country]])=1,0, _xlfn.STDEV.S(IF(Table1[Country]=Table1[[#This Row],[Country]],Table1[FinalElo])))</f>
        <v>145.00121410411251</v>
      </c>
      <c r="AB1294">
        <f>IF(Table1[[#This Row],[CStd]]=0,0, (Table1[[#This Row],[FinalElo]]-Table1[[#This Row],[CAvg]]) / Table1[[#This Row],[CStd]])</f>
        <v>1.3934193671987307</v>
      </c>
      <c r="AC1294" t="str">
        <f>IF(Table1[[#This Row],[CStd]]=0,"Normal", IF(ABS(Table1[[#This Row],[CZscore]])&gt;2,"Outlier","Normal"))</f>
        <v>Normal</v>
      </c>
    </row>
    <row r="1295" spans="1:29" x14ac:dyDescent="0.35">
      <c r="A1295" t="s">
        <v>594</v>
      </c>
      <c r="B1295">
        <v>65.5</v>
      </c>
      <c r="C1295">
        <v>180</v>
      </c>
      <c r="D1295" t="s">
        <v>286</v>
      </c>
      <c r="E1295">
        <v>35</v>
      </c>
      <c r="F1295" t="s">
        <v>595</v>
      </c>
      <c r="G1295" t="s">
        <v>34</v>
      </c>
      <c r="H1295" t="s">
        <v>29</v>
      </c>
      <c r="I1295" t="s">
        <v>73</v>
      </c>
      <c r="J1295">
        <v>0</v>
      </c>
      <c r="K1295">
        <v>2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2</v>
      </c>
      <c r="V1295">
        <v>0</v>
      </c>
      <c r="W1295">
        <v>2</v>
      </c>
      <c r="X1295">
        <v>854.35</v>
      </c>
      <c r="Y1295">
        <v>1000</v>
      </c>
      <c r="Z1295">
        <f>AVERAGEIFS(Table1[FinalElo], Table1[Country], Table1[[#This Row],[Country]])</f>
        <v>1087.97</v>
      </c>
      <c r="AA1295" cm="1">
        <f t="array" ref="AA1295">IF(COUNTIFS(Table1[Country],Table1[[#This Row],[Country]])=1,0, _xlfn.STDEV.S(IF(Table1[Country]=Table1[[#This Row],[Country]],Table1[FinalElo])))</f>
        <v>209.70246125675953</v>
      </c>
      <c r="AB1295">
        <f>IF(Table1[[#This Row],[CStd]]=0,0, (Table1[[#This Row],[FinalElo]]-Table1[[#This Row],[CAvg]]) / Table1[[#This Row],[CStd]])</f>
        <v>-1.1140546400833886</v>
      </c>
      <c r="AC1295" t="str">
        <f>IF(Table1[[#This Row],[CStd]]=0,"Normal", IF(ABS(Table1[[#This Row],[CZscore]])&gt;2,"Outlier","Normal"))</f>
        <v>Normal</v>
      </c>
    </row>
    <row r="1296" spans="1:29" x14ac:dyDescent="0.35">
      <c r="A1296" t="s">
        <v>592</v>
      </c>
      <c r="B1296">
        <v>59.7</v>
      </c>
      <c r="C1296">
        <v>170</v>
      </c>
      <c r="D1296" t="s">
        <v>89</v>
      </c>
      <c r="E1296">
        <v>31</v>
      </c>
      <c r="F1296" t="s">
        <v>593</v>
      </c>
      <c r="G1296" t="s">
        <v>34</v>
      </c>
      <c r="H1296" t="s">
        <v>29</v>
      </c>
      <c r="I1296" t="s">
        <v>58</v>
      </c>
      <c r="J1296">
        <v>4</v>
      </c>
      <c r="K1296">
        <v>3</v>
      </c>
      <c r="L1296">
        <v>0</v>
      </c>
      <c r="M1296">
        <v>0</v>
      </c>
      <c r="N1296">
        <v>0</v>
      </c>
      <c r="O1296">
        <v>0</v>
      </c>
      <c r="P1296">
        <v>1</v>
      </c>
      <c r="Q1296">
        <v>1</v>
      </c>
      <c r="R1296">
        <v>1</v>
      </c>
      <c r="S1296">
        <v>0</v>
      </c>
      <c r="T1296">
        <v>0</v>
      </c>
      <c r="U1296">
        <v>1</v>
      </c>
      <c r="V1296">
        <v>0</v>
      </c>
      <c r="W1296">
        <v>7</v>
      </c>
      <c r="X1296">
        <v>1227.9100000000001</v>
      </c>
      <c r="Y1296">
        <v>1227.9100000000001</v>
      </c>
      <c r="Z1296">
        <f>AVERAGEIFS(Table1[FinalElo], Table1[Country], Table1[[#This Row],[Country]])</f>
        <v>1012.0629025423733</v>
      </c>
      <c r="AA1296" cm="1">
        <f t="array" ref="AA1296">IF(COUNTIFS(Table1[Country],Table1[[#This Row],[Country]])=1,0, _xlfn.STDEV.S(IF(Table1[Country]=Table1[[#This Row],[Country]],Table1[FinalElo])))</f>
        <v>148.42180446198614</v>
      </c>
      <c r="AB1296">
        <f>IF(Table1[[#This Row],[CStd]]=0,0, (Table1[[#This Row],[FinalElo]]-Table1[[#This Row],[CAvg]]) / Table1[[#This Row],[CStd]])</f>
        <v>1.4542815878034256</v>
      </c>
      <c r="AC1296" t="str">
        <f>IF(Table1[[#This Row],[CStd]]=0,"Normal", IF(ABS(Table1[[#This Row],[CZscore]])&gt;2,"Outlier","Normal"))</f>
        <v>Normal</v>
      </c>
    </row>
    <row r="1297" spans="1:29" x14ac:dyDescent="0.35">
      <c r="A1297" t="s">
        <v>591</v>
      </c>
      <c r="B1297">
        <v>56.2</v>
      </c>
      <c r="C1297">
        <v>161</v>
      </c>
      <c r="D1297" t="s">
        <v>89</v>
      </c>
      <c r="E1297">
        <v>33</v>
      </c>
      <c r="F1297" t="s">
        <v>99</v>
      </c>
      <c r="G1297" t="s">
        <v>34</v>
      </c>
      <c r="H1297" t="s">
        <v>29</v>
      </c>
      <c r="I1297" t="s">
        <v>36</v>
      </c>
      <c r="J1297">
        <v>4</v>
      </c>
      <c r="K1297">
        <v>2</v>
      </c>
      <c r="L1297">
        <v>0</v>
      </c>
      <c r="M1297">
        <v>0</v>
      </c>
      <c r="N1297">
        <v>0</v>
      </c>
      <c r="O1297">
        <v>0</v>
      </c>
      <c r="P1297">
        <v>1</v>
      </c>
      <c r="Q1297">
        <v>0</v>
      </c>
      <c r="R1297">
        <v>0</v>
      </c>
      <c r="S1297">
        <v>0</v>
      </c>
      <c r="T1297">
        <v>0</v>
      </c>
      <c r="U1297">
        <v>1</v>
      </c>
      <c r="V1297">
        <v>0</v>
      </c>
      <c r="W1297">
        <v>6</v>
      </c>
      <c r="X1297">
        <v>1116.48</v>
      </c>
      <c r="Y1297">
        <v>1275.95</v>
      </c>
      <c r="Z1297">
        <f>AVERAGEIFS(Table1[FinalElo], Table1[Country], Table1[[#This Row],[Country]])</f>
        <v>1012.0629025423733</v>
      </c>
      <c r="AA1297" cm="1">
        <f t="array" ref="AA1297">IF(COUNTIFS(Table1[Country],Table1[[#This Row],[Country]])=1,0, _xlfn.STDEV.S(IF(Table1[Country]=Table1[[#This Row],[Country]],Table1[FinalElo])))</f>
        <v>148.42180446198614</v>
      </c>
      <c r="AB1297">
        <f>IF(Table1[[#This Row],[CStd]]=0,0, (Table1[[#This Row],[FinalElo]]-Table1[[#This Row],[CAvg]]) / Table1[[#This Row],[CStd]])</f>
        <v>0.70351588727901537</v>
      </c>
      <c r="AC1297" t="str">
        <f>IF(Table1[[#This Row],[CStd]]=0,"Normal", IF(ABS(Table1[[#This Row],[CZscore]])&gt;2,"Outlier","Normal"))</f>
        <v>Normal</v>
      </c>
    </row>
    <row r="1298" spans="1:29" x14ac:dyDescent="0.35">
      <c r="A1298" t="s">
        <v>590</v>
      </c>
      <c r="B1298">
        <v>47.63</v>
      </c>
      <c r="C1298">
        <v>160</v>
      </c>
      <c r="D1298" t="s">
        <v>89</v>
      </c>
      <c r="E1298">
        <v>27</v>
      </c>
      <c r="F1298" t="s">
        <v>535</v>
      </c>
      <c r="G1298" t="s">
        <v>34</v>
      </c>
      <c r="H1298" t="s">
        <v>29</v>
      </c>
      <c r="I1298" t="s">
        <v>55</v>
      </c>
      <c r="J1298">
        <v>3</v>
      </c>
      <c r="K1298">
        <v>4</v>
      </c>
      <c r="L1298">
        <v>0</v>
      </c>
      <c r="M1298">
        <v>1</v>
      </c>
      <c r="N1298">
        <v>0</v>
      </c>
      <c r="O1298">
        <v>0</v>
      </c>
      <c r="P1298">
        <v>1</v>
      </c>
      <c r="Q1298">
        <v>0</v>
      </c>
      <c r="R1298">
        <v>0</v>
      </c>
      <c r="S1298">
        <v>0</v>
      </c>
      <c r="T1298">
        <v>0</v>
      </c>
      <c r="U1298">
        <v>1</v>
      </c>
      <c r="V1298">
        <v>0</v>
      </c>
      <c r="W1298">
        <v>7</v>
      </c>
      <c r="X1298">
        <v>895.67</v>
      </c>
      <c r="Y1298">
        <v>1151.56</v>
      </c>
      <c r="Z1298">
        <f>AVERAGEIFS(Table1[FinalElo], Table1[Country], Table1[[#This Row],[Country]])</f>
        <v>1012.0629025423733</v>
      </c>
      <c r="AA1298" cm="1">
        <f t="array" ref="AA1298">IF(COUNTIFS(Table1[Country],Table1[[#This Row],[Country]])=1,0, _xlfn.STDEV.S(IF(Table1[Country]=Table1[[#This Row],[Country]],Table1[FinalElo])))</f>
        <v>148.42180446198614</v>
      </c>
      <c r="AB1298">
        <f>IF(Table1[[#This Row],[CStd]]=0,0, (Table1[[#This Row],[FinalElo]]-Table1[[#This Row],[CAvg]]) / Table1[[#This Row],[CStd]])</f>
        <v>-0.78420352699716667</v>
      </c>
      <c r="AC1298" t="str">
        <f>IF(Table1[[#This Row],[CStd]]=0,"Normal", IF(ABS(Table1[[#This Row],[CZscore]])&gt;2,"Outlier","Normal"))</f>
        <v>Normal</v>
      </c>
    </row>
    <row r="1299" spans="1:29" x14ac:dyDescent="0.35">
      <c r="A1299" t="s">
        <v>588</v>
      </c>
      <c r="B1299">
        <v>59</v>
      </c>
      <c r="C1299">
        <v>174</v>
      </c>
      <c r="D1299" t="s">
        <v>513</v>
      </c>
      <c r="E1299">
        <v>27</v>
      </c>
      <c r="F1299" t="s">
        <v>589</v>
      </c>
      <c r="G1299" t="s">
        <v>40</v>
      </c>
      <c r="H1299" t="s">
        <v>29</v>
      </c>
      <c r="I1299" t="s">
        <v>58</v>
      </c>
      <c r="J1299">
        <v>0</v>
      </c>
      <c r="K1299">
        <v>2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2</v>
      </c>
      <c r="S1299">
        <v>0</v>
      </c>
      <c r="T1299">
        <v>0</v>
      </c>
      <c r="U1299">
        <v>0</v>
      </c>
      <c r="V1299">
        <v>0</v>
      </c>
      <c r="W1299">
        <v>2</v>
      </c>
      <c r="X1299">
        <v>805.11</v>
      </c>
      <c r="Y1299">
        <v>1000</v>
      </c>
      <c r="Z1299">
        <f>AVERAGEIFS(Table1[FinalElo], Table1[Country], Table1[[#This Row],[Country]])</f>
        <v>991.92857142857144</v>
      </c>
      <c r="AA1299" cm="1">
        <f t="array" ref="AA1299">IF(COUNTIFS(Table1[Country],Table1[[#This Row],[Country]])=1,0, _xlfn.STDEV.S(IF(Table1[Country]=Table1[[#This Row],[Country]],Table1[FinalElo])))</f>
        <v>154.84924955929111</v>
      </c>
      <c r="AB1299">
        <f>IF(Table1[[#This Row],[CStd]]=0,0, (Table1[[#This Row],[FinalElo]]-Table1[[#This Row],[CAvg]]) / Table1[[#This Row],[CStd]])</f>
        <v>-1.206454483701191</v>
      </c>
      <c r="AC1299" t="str">
        <f>IF(Table1[[#This Row],[CStd]]=0,"Normal", IF(ABS(Table1[[#This Row],[CZscore]])&gt;2,"Outlier","Normal"))</f>
        <v>Normal</v>
      </c>
    </row>
    <row r="1300" spans="1:29" hidden="1" x14ac:dyDescent="0.35">
      <c r="A1300" t="s">
        <v>2291</v>
      </c>
      <c r="B1300">
        <v>55</v>
      </c>
      <c r="C1300">
        <v>168</v>
      </c>
      <c r="D1300" t="s">
        <v>82</v>
      </c>
      <c r="E1300">
        <v>24</v>
      </c>
      <c r="F1300" t="s">
        <v>2292</v>
      </c>
      <c r="G1300" t="s">
        <v>40</v>
      </c>
      <c r="I1300" t="s">
        <v>36</v>
      </c>
      <c r="J1300">
        <v>1</v>
      </c>
      <c r="K1300">
        <v>0</v>
      </c>
      <c r="L1300">
        <v>0</v>
      </c>
      <c r="M1300">
        <v>1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1</v>
      </c>
      <c r="X1300">
        <v>1128.01</v>
      </c>
      <c r="Y1300">
        <v>1128.01</v>
      </c>
      <c r="Z1300">
        <f>AVERAGEIFS(Table1[FinalElo], Table1[Country], Table1[[#This Row],[Country]])</f>
        <v>1012.5275373134326</v>
      </c>
      <c r="AA1300" cm="1">
        <f t="array" ref="AA1300">IF(COUNTIFS(Table1[Country],Table1[[#This Row],[Country]])=1,0, _xlfn.STDEV.S(IF(Table1[Country]=Table1[[#This Row],[Country]],Table1[FinalElo])))</f>
        <v>135.61062237674741</v>
      </c>
      <c r="AB1300">
        <f>IF(Table1[[#This Row],[CStd]]=0,0, (Table1[[#This Row],[FinalElo]]-Table1[[#This Row],[CAvg]]) / Table1[[#This Row],[CStd]])</f>
        <v>0.8515738712985117</v>
      </c>
      <c r="AC1300" t="str">
        <f>IF(Table1[[#This Row],[CStd]]=0,"Normal", IF(ABS(Table1[[#This Row],[CZscore]])&gt;2,"Outlier","Normal"))</f>
        <v>Normal</v>
      </c>
    </row>
    <row r="1301" spans="1:29" x14ac:dyDescent="0.35">
      <c r="A1301" t="s">
        <v>586</v>
      </c>
      <c r="B1301">
        <v>52.16</v>
      </c>
      <c r="C1301">
        <v>160</v>
      </c>
      <c r="D1301" t="s">
        <v>513</v>
      </c>
      <c r="E1301">
        <v>19</v>
      </c>
      <c r="F1301" t="s">
        <v>587</v>
      </c>
      <c r="G1301" t="s">
        <v>40</v>
      </c>
      <c r="H1301" t="s">
        <v>29</v>
      </c>
      <c r="I1301" t="s">
        <v>36</v>
      </c>
      <c r="J1301">
        <v>0</v>
      </c>
      <c r="K1301">
        <v>2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1</v>
      </c>
      <c r="S1301">
        <v>1</v>
      </c>
      <c r="T1301">
        <v>0</v>
      </c>
      <c r="U1301">
        <v>0</v>
      </c>
      <c r="V1301">
        <v>0</v>
      </c>
      <c r="W1301">
        <v>2</v>
      </c>
      <c r="X1301">
        <v>828.01</v>
      </c>
      <c r="Y1301">
        <v>1000</v>
      </c>
      <c r="Z1301">
        <f>AVERAGEIFS(Table1[FinalElo], Table1[Country], Table1[[#This Row],[Country]])</f>
        <v>991.92857142857144</v>
      </c>
      <c r="AA1301" cm="1">
        <f t="array" ref="AA1301">IF(COUNTIFS(Table1[Country],Table1[[#This Row],[Country]])=1,0, _xlfn.STDEV.S(IF(Table1[Country]=Table1[[#This Row],[Country]],Table1[FinalElo])))</f>
        <v>154.84924955929111</v>
      </c>
      <c r="AB1301">
        <f>IF(Table1[[#This Row],[CStd]]=0,0, (Table1[[#This Row],[FinalElo]]-Table1[[#This Row],[CAvg]]) / Table1[[#This Row],[CStd]])</f>
        <v>-1.0585687169624141</v>
      </c>
      <c r="AC1301" t="str">
        <f>IF(Table1[[#This Row],[CStd]]=0,"Normal", IF(ABS(Table1[[#This Row],[CZscore]])&gt;2,"Outlier","Normal"))</f>
        <v>Normal</v>
      </c>
    </row>
    <row r="1302" spans="1:29" x14ac:dyDescent="0.35">
      <c r="A1302" t="s">
        <v>584</v>
      </c>
      <c r="B1302">
        <v>65.77</v>
      </c>
      <c r="C1302">
        <v>75</v>
      </c>
      <c r="D1302" t="s">
        <v>513</v>
      </c>
      <c r="E1302">
        <v>20</v>
      </c>
      <c r="F1302" t="s">
        <v>585</v>
      </c>
      <c r="G1302" t="s">
        <v>40</v>
      </c>
      <c r="H1302" t="s">
        <v>29</v>
      </c>
      <c r="I1302" t="s">
        <v>48</v>
      </c>
      <c r="J1302">
        <v>0</v>
      </c>
      <c r="K1302">
        <v>1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1</v>
      </c>
      <c r="T1302">
        <v>0</v>
      </c>
      <c r="U1302">
        <v>0</v>
      </c>
      <c r="V1302">
        <v>0</v>
      </c>
      <c r="W1302">
        <v>1</v>
      </c>
      <c r="X1302">
        <v>900</v>
      </c>
      <c r="Y1302">
        <v>1000</v>
      </c>
      <c r="Z1302">
        <f>AVERAGEIFS(Table1[FinalElo], Table1[Country], Table1[[#This Row],[Country]])</f>
        <v>991.92857142857144</v>
      </c>
      <c r="AA1302" cm="1">
        <f t="array" ref="AA1302">IF(COUNTIFS(Table1[Country],Table1[[#This Row],[Country]])=1,0, _xlfn.STDEV.S(IF(Table1[Country]=Table1[[#This Row],[Country]],Table1[FinalElo])))</f>
        <v>154.84924955929111</v>
      </c>
      <c r="AB1302">
        <f>IF(Table1[[#This Row],[CStd]]=0,0, (Table1[[#This Row],[FinalElo]]-Table1[[#This Row],[CAvg]]) / Table1[[#This Row],[CStd]])</f>
        <v>-0.59366494632815381</v>
      </c>
      <c r="AC1302" t="str">
        <f>IF(Table1[[#This Row],[CStd]]=0,"Normal", IF(ABS(Table1[[#This Row],[CZscore]])&gt;2,"Outlier","Normal"))</f>
        <v>Normal</v>
      </c>
    </row>
    <row r="1303" spans="1:29" x14ac:dyDescent="0.35">
      <c r="A1303" t="s">
        <v>582</v>
      </c>
      <c r="B1303">
        <v>51.4</v>
      </c>
      <c r="C1303">
        <v>158</v>
      </c>
      <c r="D1303" t="s">
        <v>71</v>
      </c>
      <c r="E1303">
        <v>25</v>
      </c>
      <c r="F1303" t="s">
        <v>583</v>
      </c>
      <c r="G1303" t="s">
        <v>40</v>
      </c>
      <c r="H1303" t="s">
        <v>29</v>
      </c>
      <c r="I1303" t="s">
        <v>55</v>
      </c>
      <c r="J1303">
        <v>0</v>
      </c>
      <c r="K1303">
        <v>1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1</v>
      </c>
      <c r="V1303">
        <v>0</v>
      </c>
      <c r="W1303">
        <v>1</v>
      </c>
      <c r="X1303">
        <v>900</v>
      </c>
      <c r="Y1303">
        <v>1000</v>
      </c>
      <c r="Z1303">
        <f>AVERAGEIFS(Table1[FinalElo], Table1[Country], Table1[[#This Row],[Country]])</f>
        <v>991.47826086956536</v>
      </c>
      <c r="AA1303" cm="1">
        <f t="array" ref="AA1303">IF(COUNTIFS(Table1[Country],Table1[[#This Row],[Country]])=1,0, _xlfn.STDEV.S(IF(Table1[Country]=Table1[[#This Row],[Country]],Table1[FinalElo])))</f>
        <v>164.61500422203164</v>
      </c>
      <c r="AB1303">
        <f>IF(Table1[[#This Row],[CStd]]=0,0, (Table1[[#This Row],[FinalElo]]-Table1[[#This Row],[CAvg]]) / Table1[[#This Row],[CStd]])</f>
        <v>-0.55571034549305165</v>
      </c>
      <c r="AC1303" t="str">
        <f>IF(Table1[[#This Row],[CStd]]=0,"Normal", IF(ABS(Table1[[#This Row],[CZscore]])&gt;2,"Outlier","Normal"))</f>
        <v>Normal</v>
      </c>
    </row>
    <row r="1304" spans="1:29" x14ac:dyDescent="0.35">
      <c r="A1304" t="s">
        <v>45</v>
      </c>
      <c r="B1304">
        <v>70.099999999999994</v>
      </c>
      <c r="C1304">
        <v>181</v>
      </c>
      <c r="D1304" t="s">
        <v>46</v>
      </c>
      <c r="E1304">
        <v>31</v>
      </c>
      <c r="F1304" t="s">
        <v>47</v>
      </c>
      <c r="G1304" t="s">
        <v>28</v>
      </c>
      <c r="H1304" t="s">
        <v>29</v>
      </c>
      <c r="I1304" t="s">
        <v>48</v>
      </c>
      <c r="J1304">
        <v>5</v>
      </c>
      <c r="K1304">
        <v>1</v>
      </c>
      <c r="L1304">
        <v>0</v>
      </c>
      <c r="M1304">
        <v>0</v>
      </c>
      <c r="N1304">
        <v>0</v>
      </c>
      <c r="O1304">
        <v>0</v>
      </c>
      <c r="P1304">
        <v>2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1</v>
      </c>
      <c r="W1304">
        <v>6</v>
      </c>
      <c r="X1304">
        <v>1454.7</v>
      </c>
      <c r="Y1304">
        <v>1454.7</v>
      </c>
      <c r="Z1304">
        <f>AVERAGEIFS(Table1[FinalElo], Table1[Country], Table1[[#This Row],[Country]])</f>
        <v>1454.7</v>
      </c>
      <c r="AA1304" cm="1">
        <f t="array" ref="AA1304">IF(COUNTIFS(Table1[Country],Table1[[#This Row],[Country]])=1,0, _xlfn.STDEV.S(IF(Table1[Country]=Table1[[#This Row],[Country]],Table1[FinalElo])))</f>
        <v>0</v>
      </c>
      <c r="AB1304">
        <f>IF(Table1[[#This Row],[CStd]]=0,0, (Table1[[#This Row],[FinalElo]]-Table1[[#This Row],[CAvg]]) / Table1[[#This Row],[CStd]])</f>
        <v>0</v>
      </c>
      <c r="AC1304" t="str">
        <f>IF(Table1[[#This Row],[CStd]]=0,"Normal", IF(ABS(Table1[[#This Row],[CZscore]])&gt;2,"Outlier","Normal"))</f>
        <v>Normal</v>
      </c>
    </row>
    <row r="1305" spans="1:29" x14ac:dyDescent="0.35">
      <c r="A1305" t="s">
        <v>581</v>
      </c>
      <c r="B1305">
        <v>51.4</v>
      </c>
      <c r="C1305">
        <v>150</v>
      </c>
      <c r="D1305" t="s">
        <v>82</v>
      </c>
      <c r="E1305">
        <v>27</v>
      </c>
      <c r="F1305" t="s">
        <v>198</v>
      </c>
      <c r="G1305" t="s">
        <v>40</v>
      </c>
      <c r="H1305" t="s">
        <v>29</v>
      </c>
      <c r="I1305" t="s">
        <v>55</v>
      </c>
      <c r="J1305">
        <v>4</v>
      </c>
      <c r="K1305">
        <v>1</v>
      </c>
      <c r="L1305">
        <v>0</v>
      </c>
      <c r="M1305">
        <v>0</v>
      </c>
      <c r="N1305">
        <v>2</v>
      </c>
      <c r="O1305">
        <v>0</v>
      </c>
      <c r="P1305">
        <v>2</v>
      </c>
      <c r="Q1305">
        <v>0</v>
      </c>
      <c r="R1305">
        <v>0</v>
      </c>
      <c r="S1305">
        <v>0</v>
      </c>
      <c r="T1305">
        <v>0</v>
      </c>
      <c r="U1305">
        <v>1</v>
      </c>
      <c r="V1305">
        <v>0</v>
      </c>
      <c r="W1305">
        <v>5</v>
      </c>
      <c r="X1305">
        <v>1238.69</v>
      </c>
      <c r="Y1305">
        <v>1310.6600000000001</v>
      </c>
      <c r="Z1305">
        <f>AVERAGEIFS(Table1[FinalElo], Table1[Country], Table1[[#This Row],[Country]])</f>
        <v>1012.5275373134326</v>
      </c>
      <c r="AA1305" cm="1">
        <f t="array" ref="AA1305">IF(COUNTIFS(Table1[Country],Table1[[#This Row],[Country]])=1,0, _xlfn.STDEV.S(IF(Table1[Country]=Table1[[#This Row],[Country]],Table1[FinalElo])))</f>
        <v>135.61062237674741</v>
      </c>
      <c r="AB1305">
        <f>IF(Table1[[#This Row],[CStd]]=0,0, (Table1[[#This Row],[FinalElo]]-Table1[[#This Row],[CAvg]]) / Table1[[#This Row],[CStd]])</f>
        <v>1.6677341252682472</v>
      </c>
      <c r="AC1305" t="str">
        <f>IF(Table1[[#This Row],[CStd]]=0,"Normal", IF(ABS(Table1[[#This Row],[CZscore]])&gt;2,"Outlier","Normal"))</f>
        <v>Normal</v>
      </c>
    </row>
    <row r="1306" spans="1:29" x14ac:dyDescent="0.35">
      <c r="A1306" t="s">
        <v>579</v>
      </c>
      <c r="B1306">
        <v>65.7</v>
      </c>
      <c r="C1306">
        <v>170</v>
      </c>
      <c r="D1306" t="s">
        <v>116</v>
      </c>
      <c r="E1306">
        <v>29</v>
      </c>
      <c r="F1306" t="s">
        <v>580</v>
      </c>
      <c r="G1306" t="s">
        <v>40</v>
      </c>
      <c r="H1306" t="s">
        <v>29</v>
      </c>
      <c r="I1306" t="s">
        <v>73</v>
      </c>
      <c r="J1306">
        <v>5</v>
      </c>
      <c r="K1306">
        <v>5</v>
      </c>
      <c r="L1306">
        <v>0</v>
      </c>
      <c r="M1306">
        <v>2</v>
      </c>
      <c r="N1306">
        <v>0</v>
      </c>
      <c r="O1306">
        <v>0</v>
      </c>
      <c r="P1306">
        <v>2</v>
      </c>
      <c r="Q1306">
        <v>1</v>
      </c>
      <c r="R1306">
        <v>2</v>
      </c>
      <c r="S1306">
        <v>1</v>
      </c>
      <c r="T1306">
        <v>0</v>
      </c>
      <c r="U1306">
        <v>1</v>
      </c>
      <c r="V1306">
        <v>1</v>
      </c>
      <c r="W1306">
        <v>10</v>
      </c>
      <c r="X1306">
        <v>1024.02</v>
      </c>
      <c r="Y1306">
        <v>1214.6400000000001</v>
      </c>
      <c r="Z1306">
        <f>AVERAGEIFS(Table1[FinalElo], Table1[Country], Table1[[#This Row],[Country]])</f>
        <v>980.88090909090931</v>
      </c>
      <c r="AA1306" cm="1">
        <f t="array" ref="AA1306">IF(COUNTIFS(Table1[Country],Table1[[#This Row],[Country]])=1,0, _xlfn.STDEV.S(IF(Table1[Country]=Table1[[#This Row],[Country]],Table1[FinalElo])))</f>
        <v>133.41794796376408</v>
      </c>
      <c r="AB1306">
        <f>IF(Table1[[#This Row],[CStd]]=0,0, (Table1[[#This Row],[FinalElo]]-Table1[[#This Row],[CAvg]]) / Table1[[#This Row],[CStd]])</f>
        <v>0.32333798838524425</v>
      </c>
      <c r="AC1306" t="str">
        <f>IF(Table1[[#This Row],[CStd]]=0,"Normal", IF(ABS(Table1[[#This Row],[CZscore]])&gt;2,"Outlier","Normal"))</f>
        <v>Normal</v>
      </c>
    </row>
    <row r="1307" spans="1:29" x14ac:dyDescent="0.35">
      <c r="A1307" t="s">
        <v>577</v>
      </c>
      <c r="B1307">
        <v>56.7</v>
      </c>
      <c r="C1307">
        <v>180</v>
      </c>
      <c r="D1307" t="s">
        <v>116</v>
      </c>
      <c r="E1307">
        <v>24</v>
      </c>
      <c r="F1307" t="s">
        <v>578</v>
      </c>
      <c r="G1307" t="s">
        <v>34</v>
      </c>
      <c r="H1307" t="s">
        <v>29</v>
      </c>
      <c r="I1307" t="s">
        <v>58</v>
      </c>
      <c r="J1307">
        <v>0</v>
      </c>
      <c r="K1307">
        <v>1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1</v>
      </c>
      <c r="S1307">
        <v>0</v>
      </c>
      <c r="T1307">
        <v>0</v>
      </c>
      <c r="U1307">
        <v>0</v>
      </c>
      <c r="V1307">
        <v>0</v>
      </c>
      <c r="W1307">
        <v>1</v>
      </c>
      <c r="X1307">
        <v>935.26</v>
      </c>
      <c r="Y1307">
        <v>1000</v>
      </c>
      <c r="Z1307">
        <f>AVERAGEIFS(Table1[FinalElo], Table1[Country], Table1[[#This Row],[Country]])</f>
        <v>980.88090909090931</v>
      </c>
      <c r="AA1307" cm="1">
        <f t="array" ref="AA1307">IF(COUNTIFS(Table1[Country],Table1[[#This Row],[Country]])=1,0, _xlfn.STDEV.S(IF(Table1[Country]=Table1[[#This Row],[Country]],Table1[FinalElo])))</f>
        <v>133.41794796376408</v>
      </c>
      <c r="AB1307">
        <f>IF(Table1[[#This Row],[CStd]]=0,0, (Table1[[#This Row],[FinalElo]]-Table1[[#This Row],[CAvg]]) / Table1[[#This Row],[CStd]])</f>
        <v>-0.34193981984567645</v>
      </c>
      <c r="AC1307" t="str">
        <f>IF(Table1[[#This Row],[CStd]]=0,"Normal", IF(ABS(Table1[[#This Row],[CZscore]])&gt;2,"Outlier","Normal"))</f>
        <v>Normal</v>
      </c>
    </row>
    <row r="1308" spans="1:29" x14ac:dyDescent="0.35">
      <c r="A1308" t="s">
        <v>575</v>
      </c>
      <c r="B1308">
        <v>61.2</v>
      </c>
      <c r="C1308">
        <v>180</v>
      </c>
      <c r="D1308" t="s">
        <v>116</v>
      </c>
      <c r="E1308">
        <v>24</v>
      </c>
      <c r="F1308" t="s">
        <v>576</v>
      </c>
      <c r="G1308" t="s">
        <v>28</v>
      </c>
      <c r="H1308" t="s">
        <v>29</v>
      </c>
      <c r="I1308" t="s">
        <v>58</v>
      </c>
      <c r="J1308">
        <v>1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1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1</v>
      </c>
      <c r="X1308">
        <v>1124.5</v>
      </c>
      <c r="Y1308">
        <v>1124.5</v>
      </c>
      <c r="Z1308">
        <f>AVERAGEIFS(Table1[FinalElo], Table1[Country], Table1[[#This Row],[Country]])</f>
        <v>980.88090909090931</v>
      </c>
      <c r="AA1308" cm="1">
        <f t="array" ref="AA1308">IF(COUNTIFS(Table1[Country],Table1[[#This Row],[Country]])=1,0, _xlfn.STDEV.S(IF(Table1[Country]=Table1[[#This Row],[Country]],Table1[FinalElo])))</f>
        <v>133.41794796376408</v>
      </c>
      <c r="AB1308">
        <f>IF(Table1[[#This Row],[CStd]]=0,0, (Table1[[#This Row],[FinalElo]]-Table1[[#This Row],[CAvg]]) / Table1[[#This Row],[CStd]])</f>
        <v>1.0764600497985264</v>
      </c>
      <c r="AC1308" t="str">
        <f>IF(Table1[[#This Row],[CStd]]=0,"Normal", IF(ABS(Table1[[#This Row],[CZscore]])&gt;2,"Outlier","Normal"))</f>
        <v>Normal</v>
      </c>
    </row>
    <row r="1309" spans="1:29" x14ac:dyDescent="0.35">
      <c r="A1309" t="s">
        <v>574</v>
      </c>
      <c r="B1309">
        <v>68.099999999999994</v>
      </c>
      <c r="C1309">
        <v>170</v>
      </c>
      <c r="D1309" t="s">
        <v>116</v>
      </c>
      <c r="E1309">
        <v>31</v>
      </c>
      <c r="F1309" t="s">
        <v>411</v>
      </c>
      <c r="G1309" t="s">
        <v>40</v>
      </c>
      <c r="H1309" t="s">
        <v>29</v>
      </c>
      <c r="I1309" t="s">
        <v>48</v>
      </c>
      <c r="J1309">
        <v>1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1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1</v>
      </c>
      <c r="X1309">
        <v>1100</v>
      </c>
      <c r="Y1309">
        <v>1100</v>
      </c>
      <c r="Z1309">
        <f>AVERAGEIFS(Table1[FinalElo], Table1[Country], Table1[[#This Row],[Country]])</f>
        <v>980.88090909090931</v>
      </c>
      <c r="AA1309" cm="1">
        <f t="array" ref="AA1309">IF(COUNTIFS(Table1[Country],Table1[[#This Row],[Country]])=1,0, _xlfn.STDEV.S(IF(Table1[Country]=Table1[[#This Row],[Country]],Table1[FinalElo])))</f>
        <v>133.41794796376408</v>
      </c>
      <c r="AB1309">
        <f>IF(Table1[[#This Row],[CStd]]=0,0, (Table1[[#This Row],[FinalElo]]-Table1[[#This Row],[CAvg]]) / Table1[[#This Row],[CStd]])</f>
        <v>0.89282658538147419</v>
      </c>
      <c r="AC1309" t="str">
        <f>IF(Table1[[#This Row],[CStd]]=0,"Normal", IF(ABS(Table1[[#This Row],[CZscore]])&gt;2,"Outlier","Normal"))</f>
        <v>Normal</v>
      </c>
    </row>
    <row r="1310" spans="1:29" x14ac:dyDescent="0.35">
      <c r="A1310" t="s">
        <v>571</v>
      </c>
      <c r="B1310">
        <v>52.16</v>
      </c>
      <c r="C1310">
        <v>166</v>
      </c>
      <c r="D1310" t="s">
        <v>572</v>
      </c>
      <c r="E1310">
        <v>26</v>
      </c>
      <c r="F1310" t="s">
        <v>573</v>
      </c>
      <c r="G1310" t="s">
        <v>28</v>
      </c>
      <c r="H1310" t="s">
        <v>29</v>
      </c>
      <c r="I1310" t="s">
        <v>36</v>
      </c>
      <c r="J1310">
        <v>0</v>
      </c>
      <c r="K1310">
        <v>3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1</v>
      </c>
      <c r="V1310">
        <v>1</v>
      </c>
      <c r="W1310">
        <v>3</v>
      </c>
      <c r="X1310">
        <v>841.59</v>
      </c>
      <c r="Y1310">
        <v>1000</v>
      </c>
      <c r="Z1310">
        <f>AVERAGEIFS(Table1[FinalElo], Table1[Country], Table1[[#This Row],[Country]])</f>
        <v>841.59</v>
      </c>
      <c r="AA1310" cm="1">
        <f t="array" ref="AA1310">IF(COUNTIFS(Table1[Country],Table1[[#This Row],[Country]])=1,0, _xlfn.STDEV.S(IF(Table1[Country]=Table1[[#This Row],[Country]],Table1[FinalElo])))</f>
        <v>0</v>
      </c>
      <c r="AB1310">
        <f>IF(Table1[[#This Row],[CStd]]=0,0, (Table1[[#This Row],[FinalElo]]-Table1[[#This Row],[CAvg]]) / Table1[[#This Row],[CStd]])</f>
        <v>0</v>
      </c>
      <c r="AC1310" t="str">
        <f>IF(Table1[[#This Row],[CStd]]=0,"Normal", IF(ABS(Table1[[#This Row],[CZscore]])&gt;2,"Outlier","Normal"))</f>
        <v>Normal</v>
      </c>
    </row>
    <row r="1311" spans="1:29" x14ac:dyDescent="0.35">
      <c r="A1311" t="s">
        <v>568</v>
      </c>
      <c r="B1311">
        <v>56.7</v>
      </c>
      <c r="C1311">
        <v>168</v>
      </c>
      <c r="D1311" t="s">
        <v>569</v>
      </c>
      <c r="E1311">
        <v>34</v>
      </c>
      <c r="F1311" t="s">
        <v>570</v>
      </c>
      <c r="G1311" t="s">
        <v>40</v>
      </c>
      <c r="H1311" t="s">
        <v>29</v>
      </c>
      <c r="I1311" t="s">
        <v>58</v>
      </c>
      <c r="J1311">
        <v>4</v>
      </c>
      <c r="K1311">
        <v>1</v>
      </c>
      <c r="L1311">
        <v>0</v>
      </c>
      <c r="M1311">
        <v>3</v>
      </c>
      <c r="N1311">
        <v>0</v>
      </c>
      <c r="O1311">
        <v>0</v>
      </c>
      <c r="P1311">
        <v>1</v>
      </c>
      <c r="Q1311">
        <v>0</v>
      </c>
      <c r="R1311">
        <v>0</v>
      </c>
      <c r="S1311">
        <v>1</v>
      </c>
      <c r="T1311">
        <v>0</v>
      </c>
      <c r="U1311">
        <v>0</v>
      </c>
      <c r="V1311">
        <v>0</v>
      </c>
      <c r="W1311">
        <v>5</v>
      </c>
      <c r="X1311">
        <v>1237.67</v>
      </c>
      <c r="Y1311">
        <v>1293.98</v>
      </c>
      <c r="Z1311">
        <f>AVERAGEIFS(Table1[FinalElo], Table1[Country], Table1[[#This Row],[Country]])</f>
        <v>1273.575</v>
      </c>
      <c r="AA1311" cm="1">
        <f t="array" ref="AA1311">IF(COUNTIFS(Table1[Country],Table1[[#This Row],[Country]])=1,0, _xlfn.STDEV.S(IF(Table1[Country]=Table1[[#This Row],[Country]],Table1[FinalElo])))</f>
        <v>50.77733795700594</v>
      </c>
      <c r="AB1311">
        <f>IF(Table1[[#This Row],[CStd]]=0,0, (Table1[[#This Row],[FinalElo]]-Table1[[#This Row],[CAvg]]) / Table1[[#This Row],[CStd]])</f>
        <v>-0.70710678118654746</v>
      </c>
      <c r="AC1311" t="str">
        <f>IF(Table1[[#This Row],[CStd]]=0,"Normal", IF(ABS(Table1[[#This Row],[CZscore]])&gt;2,"Outlier","Normal"))</f>
        <v>Normal</v>
      </c>
    </row>
    <row r="1312" spans="1:29" x14ac:dyDescent="0.35">
      <c r="A1312" t="s">
        <v>566</v>
      </c>
      <c r="B1312">
        <v>60.327736000000002</v>
      </c>
      <c r="C1312">
        <v>180</v>
      </c>
      <c r="D1312" t="s">
        <v>89</v>
      </c>
      <c r="E1312">
        <v>20</v>
      </c>
      <c r="F1312" t="s">
        <v>567</v>
      </c>
      <c r="G1312" t="s">
        <v>34</v>
      </c>
      <c r="H1312" t="s">
        <v>29</v>
      </c>
      <c r="I1312" t="s">
        <v>58</v>
      </c>
      <c r="J1312">
        <v>0</v>
      </c>
      <c r="K1312">
        <v>2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1</v>
      </c>
      <c r="V1312">
        <v>0</v>
      </c>
      <c r="W1312">
        <v>2</v>
      </c>
      <c r="X1312">
        <v>810.53</v>
      </c>
      <c r="Y1312">
        <v>1000</v>
      </c>
      <c r="Z1312">
        <f>AVERAGEIFS(Table1[FinalElo], Table1[Country], Table1[[#This Row],[Country]])</f>
        <v>1012.0629025423733</v>
      </c>
      <c r="AA1312" cm="1">
        <f t="array" ref="AA1312">IF(COUNTIFS(Table1[Country],Table1[[#This Row],[Country]])=1,0, _xlfn.STDEV.S(IF(Table1[Country]=Table1[[#This Row],[Country]],Table1[FinalElo])))</f>
        <v>148.42180446198614</v>
      </c>
      <c r="AB1312">
        <f>IF(Table1[[#This Row],[CStd]]=0,0, (Table1[[#This Row],[FinalElo]]-Table1[[#This Row],[CAvg]]) / Table1[[#This Row],[CStd]])</f>
        <v>-1.3578389191056495</v>
      </c>
      <c r="AC1312" t="str">
        <f>IF(Table1[[#This Row],[CStd]]=0,"Normal", IF(ABS(Table1[[#This Row],[CZscore]])&gt;2,"Outlier","Normal"))</f>
        <v>Normal</v>
      </c>
    </row>
    <row r="1313" spans="1:29" x14ac:dyDescent="0.35">
      <c r="A1313" t="s">
        <v>564</v>
      </c>
      <c r="B1313">
        <v>51.1</v>
      </c>
      <c r="C1313">
        <v>160</v>
      </c>
      <c r="D1313" t="s">
        <v>89</v>
      </c>
      <c r="E1313">
        <v>25</v>
      </c>
      <c r="F1313" t="s">
        <v>565</v>
      </c>
      <c r="G1313" t="s">
        <v>34</v>
      </c>
      <c r="H1313" t="s">
        <v>29</v>
      </c>
      <c r="I1313" t="s">
        <v>55</v>
      </c>
      <c r="J1313">
        <v>5</v>
      </c>
      <c r="K1313">
        <v>2</v>
      </c>
      <c r="L1313">
        <v>0</v>
      </c>
      <c r="M1313">
        <v>0</v>
      </c>
      <c r="N1313">
        <v>0</v>
      </c>
      <c r="O1313">
        <v>0</v>
      </c>
      <c r="P1313">
        <v>4</v>
      </c>
      <c r="Q1313">
        <v>0</v>
      </c>
      <c r="R1313">
        <v>0</v>
      </c>
      <c r="S1313">
        <v>0</v>
      </c>
      <c r="T1313">
        <v>0</v>
      </c>
      <c r="U1313">
        <v>2</v>
      </c>
      <c r="V1313">
        <v>0</v>
      </c>
      <c r="W1313">
        <v>7</v>
      </c>
      <c r="X1313">
        <v>1138.93</v>
      </c>
      <c r="Y1313">
        <v>1228.81</v>
      </c>
      <c r="Z1313">
        <f>AVERAGEIFS(Table1[FinalElo], Table1[Country], Table1[[#This Row],[Country]])</f>
        <v>1012.0629025423733</v>
      </c>
      <c r="AA1313" cm="1">
        <f t="array" ref="AA1313">IF(COUNTIFS(Table1[Country],Table1[[#This Row],[Country]])=1,0, _xlfn.STDEV.S(IF(Table1[Country]=Table1[[#This Row],[Country]],Table1[FinalElo])))</f>
        <v>148.42180446198614</v>
      </c>
      <c r="AB1313">
        <f>IF(Table1[[#This Row],[CStd]]=0,0, (Table1[[#This Row],[FinalElo]]-Table1[[#This Row],[CAvg]]) / Table1[[#This Row],[CStd]])</f>
        <v>0.85477398632570867</v>
      </c>
      <c r="AC1313" t="str">
        <f>IF(Table1[[#This Row],[CStd]]=0,"Normal", IF(ABS(Table1[[#This Row],[CZscore]])&gt;2,"Outlier","Normal"))</f>
        <v>Normal</v>
      </c>
    </row>
    <row r="1314" spans="1:29" x14ac:dyDescent="0.35">
      <c r="A1314" t="s">
        <v>561</v>
      </c>
      <c r="B1314">
        <v>63.502879999999998</v>
      </c>
      <c r="C1314">
        <v>176</v>
      </c>
      <c r="D1314" t="s">
        <v>89</v>
      </c>
      <c r="E1314">
        <v>24</v>
      </c>
      <c r="F1314" t="s">
        <v>99</v>
      </c>
      <c r="G1314" t="s">
        <v>34</v>
      </c>
      <c r="H1314" t="s">
        <v>29</v>
      </c>
      <c r="I1314" t="s">
        <v>73</v>
      </c>
      <c r="J1314">
        <v>0</v>
      </c>
      <c r="K1314">
        <v>1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1</v>
      </c>
      <c r="V1314">
        <v>0</v>
      </c>
      <c r="W1314">
        <v>1</v>
      </c>
      <c r="X1314">
        <v>900</v>
      </c>
      <c r="Y1314">
        <v>1000</v>
      </c>
      <c r="Z1314">
        <f>AVERAGEIFS(Table1[FinalElo], Table1[Country], Table1[[#This Row],[Country]])</f>
        <v>1012.0629025423733</v>
      </c>
      <c r="AA1314" cm="1">
        <f t="array" ref="AA1314">IF(COUNTIFS(Table1[Country],Table1[[#This Row],[Country]])=1,0, _xlfn.STDEV.S(IF(Table1[Country]=Table1[[#This Row],[Country]],Table1[FinalElo])))</f>
        <v>148.42180446198614</v>
      </c>
      <c r="AB1314">
        <f>IF(Table1[[#This Row],[CStd]]=0,0, (Table1[[#This Row],[FinalElo]]-Table1[[#This Row],[CAvg]]) / Table1[[#This Row],[CStd]])</f>
        <v>-0.75502991591154589</v>
      </c>
      <c r="AC1314" t="str">
        <f>IF(Table1[[#This Row],[CStd]]=0,"Normal", IF(ABS(Table1[[#This Row],[CZscore]])&gt;2,"Outlier","Normal"))</f>
        <v>Normal</v>
      </c>
    </row>
    <row r="1315" spans="1:29" x14ac:dyDescent="0.35">
      <c r="A1315" t="s">
        <v>562</v>
      </c>
      <c r="B1315">
        <v>71.900000000000006</v>
      </c>
      <c r="C1315">
        <v>175</v>
      </c>
      <c r="D1315" t="s">
        <v>89</v>
      </c>
      <c r="E1315">
        <v>17</v>
      </c>
      <c r="F1315" t="s">
        <v>563</v>
      </c>
      <c r="G1315" t="s">
        <v>34</v>
      </c>
      <c r="H1315" t="s">
        <v>29</v>
      </c>
      <c r="I1315" t="s">
        <v>30</v>
      </c>
      <c r="J1315">
        <v>0</v>
      </c>
      <c r="K1315">
        <v>1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1</v>
      </c>
      <c r="S1315">
        <v>0</v>
      </c>
      <c r="T1315">
        <v>0</v>
      </c>
      <c r="U1315">
        <v>0</v>
      </c>
      <c r="V1315">
        <v>0</v>
      </c>
      <c r="W1315">
        <v>1</v>
      </c>
      <c r="X1315">
        <v>882.09</v>
      </c>
      <c r="Y1315">
        <v>1000</v>
      </c>
      <c r="Z1315">
        <f>AVERAGEIFS(Table1[FinalElo], Table1[Country], Table1[[#This Row],[Country]])</f>
        <v>1012.0629025423733</v>
      </c>
      <c r="AA1315" cm="1">
        <f t="array" ref="AA1315">IF(COUNTIFS(Table1[Country],Table1[[#This Row],[Country]])=1,0, _xlfn.STDEV.S(IF(Table1[Country]=Table1[[#This Row],[Country]],Table1[FinalElo])))</f>
        <v>148.42180446198614</v>
      </c>
      <c r="AB1315">
        <f>IF(Table1[[#This Row],[CStd]]=0,0, (Table1[[#This Row],[FinalElo]]-Table1[[#This Row],[CAvg]]) / Table1[[#This Row],[CStd]])</f>
        <v>-0.87569951742273822</v>
      </c>
      <c r="AC1315" t="str">
        <f>IF(Table1[[#This Row],[CStd]]=0,"Normal", IF(ABS(Table1[[#This Row],[CZscore]])&gt;2,"Outlier","Normal"))</f>
        <v>Normal</v>
      </c>
    </row>
    <row r="1316" spans="1:29" x14ac:dyDescent="0.35">
      <c r="A1316" t="s">
        <v>559</v>
      </c>
      <c r="B1316">
        <v>47.63</v>
      </c>
      <c r="C1316">
        <v>170</v>
      </c>
      <c r="D1316" t="s">
        <v>89</v>
      </c>
      <c r="E1316">
        <v>21</v>
      </c>
      <c r="F1316" t="s">
        <v>560</v>
      </c>
      <c r="G1316" t="s">
        <v>34</v>
      </c>
      <c r="H1316" t="s">
        <v>29</v>
      </c>
      <c r="I1316" t="s">
        <v>55</v>
      </c>
      <c r="J1316">
        <v>1</v>
      </c>
      <c r="K1316">
        <v>1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1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2</v>
      </c>
      <c r="X1316">
        <v>938.71</v>
      </c>
      <c r="Y1316">
        <v>1054.18</v>
      </c>
      <c r="Z1316">
        <f>AVERAGEIFS(Table1[FinalElo], Table1[Country], Table1[[#This Row],[Country]])</f>
        <v>1012.0629025423733</v>
      </c>
      <c r="AA1316" cm="1">
        <f t="array" ref="AA1316">IF(COUNTIFS(Table1[Country],Table1[[#This Row],[Country]])=1,0, _xlfn.STDEV.S(IF(Table1[Country]=Table1[[#This Row],[Country]],Table1[FinalElo])))</f>
        <v>148.42180446198614</v>
      </c>
      <c r="AB1316">
        <f>IF(Table1[[#This Row],[CStd]]=0,0, (Table1[[#This Row],[FinalElo]]-Table1[[#This Row],[CAvg]]) / Table1[[#This Row],[CStd]])</f>
        <v>-0.4942191803170029</v>
      </c>
      <c r="AC1316" t="str">
        <f>IF(Table1[[#This Row],[CStd]]=0,"Normal", IF(ABS(Table1[[#This Row],[CZscore]])&gt;2,"Outlier","Normal"))</f>
        <v>Normal</v>
      </c>
    </row>
    <row r="1317" spans="1:29" x14ac:dyDescent="0.35">
      <c r="A1317" t="s">
        <v>557</v>
      </c>
      <c r="B1317">
        <v>58.513368</v>
      </c>
      <c r="C1317">
        <v>172</v>
      </c>
      <c r="D1317" t="s">
        <v>89</v>
      </c>
      <c r="E1317">
        <v>22</v>
      </c>
      <c r="F1317" t="s">
        <v>558</v>
      </c>
      <c r="G1317" t="s">
        <v>34</v>
      </c>
      <c r="H1317" t="s">
        <v>29</v>
      </c>
      <c r="I1317" t="s">
        <v>58</v>
      </c>
      <c r="J1317">
        <v>2</v>
      </c>
      <c r="K1317">
        <v>1</v>
      </c>
      <c r="L1317">
        <v>0</v>
      </c>
      <c r="M1317">
        <v>1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3</v>
      </c>
      <c r="X1317">
        <v>1083.92</v>
      </c>
      <c r="Y1317">
        <v>1171.99</v>
      </c>
      <c r="Z1317">
        <f>AVERAGEIFS(Table1[FinalElo], Table1[Country], Table1[[#This Row],[Country]])</f>
        <v>1012.0629025423733</v>
      </c>
      <c r="AA1317" cm="1">
        <f t="array" ref="AA1317">IF(COUNTIFS(Table1[Country],Table1[[#This Row],[Country]])=1,0, _xlfn.STDEV.S(IF(Table1[Country]=Table1[[#This Row],[Country]],Table1[FinalElo])))</f>
        <v>148.42180446198614</v>
      </c>
      <c r="AB1317">
        <f>IF(Table1[[#This Row],[CStd]]=0,0, (Table1[[#This Row],[FinalElo]]-Table1[[#This Row],[CAvg]]) / Table1[[#This Row],[CStd]])</f>
        <v>0.48414111200238663</v>
      </c>
      <c r="AC1317" t="str">
        <f>IF(Table1[[#This Row],[CStd]]=0,"Normal", IF(ABS(Table1[[#This Row],[CZscore]])&gt;2,"Outlier","Normal"))</f>
        <v>Normal</v>
      </c>
    </row>
    <row r="1318" spans="1:29" x14ac:dyDescent="0.35">
      <c r="A1318" t="s">
        <v>556</v>
      </c>
      <c r="B1318">
        <v>52.16</v>
      </c>
      <c r="C1318">
        <v>168</v>
      </c>
      <c r="D1318" t="s">
        <v>89</v>
      </c>
      <c r="E1318">
        <v>27</v>
      </c>
      <c r="F1318" t="s">
        <v>341</v>
      </c>
      <c r="G1318" t="s">
        <v>34</v>
      </c>
      <c r="H1318" t="s">
        <v>29</v>
      </c>
      <c r="I1318" t="s">
        <v>36</v>
      </c>
      <c r="J1318">
        <v>7</v>
      </c>
      <c r="K1318">
        <v>1</v>
      </c>
      <c r="L1318">
        <v>0</v>
      </c>
      <c r="M1318">
        <v>0</v>
      </c>
      <c r="N1318">
        <v>0</v>
      </c>
      <c r="O1318">
        <v>0</v>
      </c>
      <c r="P1318">
        <v>1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8</v>
      </c>
      <c r="X1318">
        <v>1337.87</v>
      </c>
      <c r="Y1318">
        <v>1488.28</v>
      </c>
      <c r="Z1318">
        <f>AVERAGEIFS(Table1[FinalElo], Table1[Country], Table1[[#This Row],[Country]])</f>
        <v>1012.0629025423733</v>
      </c>
      <c r="AA1318" cm="1">
        <f t="array" ref="AA1318">IF(COUNTIFS(Table1[Country],Table1[[#This Row],[Country]])=1,0, _xlfn.STDEV.S(IF(Table1[Country]=Table1[[#This Row],[Country]],Table1[FinalElo])))</f>
        <v>148.42180446198614</v>
      </c>
      <c r="AB1318">
        <f>IF(Table1[[#This Row],[CStd]]=0,0, (Table1[[#This Row],[FinalElo]]-Table1[[#This Row],[CAvg]]) / Table1[[#This Row],[CStd]])</f>
        <v>2.1951430831786745</v>
      </c>
      <c r="AC1318" t="str">
        <f>IF(Table1[[#This Row],[CStd]]=0,"Normal", IF(ABS(Table1[[#This Row],[CZscore]])&gt;2,"Outlier","Normal"))</f>
        <v>Outlier</v>
      </c>
    </row>
    <row r="1319" spans="1:29" x14ac:dyDescent="0.35">
      <c r="A1319" t="s">
        <v>554</v>
      </c>
      <c r="B1319">
        <v>56.7</v>
      </c>
      <c r="C1319">
        <v>165</v>
      </c>
      <c r="D1319" t="s">
        <v>89</v>
      </c>
      <c r="E1319">
        <v>24</v>
      </c>
      <c r="F1319" t="s">
        <v>555</v>
      </c>
      <c r="G1319" t="s">
        <v>34</v>
      </c>
      <c r="H1319" t="s">
        <v>29</v>
      </c>
      <c r="I1319" t="s">
        <v>58</v>
      </c>
      <c r="J1319">
        <v>0</v>
      </c>
      <c r="K1319">
        <v>1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1</v>
      </c>
      <c r="X1319">
        <v>925.16</v>
      </c>
      <c r="Y1319">
        <v>1000</v>
      </c>
      <c r="Z1319">
        <f>AVERAGEIFS(Table1[FinalElo], Table1[Country], Table1[[#This Row],[Country]])</f>
        <v>1012.0629025423733</v>
      </c>
      <c r="AA1319" cm="1">
        <f t="array" ref="AA1319">IF(COUNTIFS(Table1[Country],Table1[[#This Row],[Country]])=1,0, _xlfn.STDEV.S(IF(Table1[Country]=Table1[[#This Row],[Country]],Table1[FinalElo])))</f>
        <v>148.42180446198614</v>
      </c>
      <c r="AB1319">
        <f>IF(Table1[[#This Row],[CStd]]=0,0, (Table1[[#This Row],[FinalElo]]-Table1[[#This Row],[CAvg]]) / Table1[[#This Row],[CStd]])</f>
        <v>-0.58551304410687821</v>
      </c>
      <c r="AC1319" t="str">
        <f>IF(Table1[[#This Row],[CStd]]=0,"Normal", IF(ABS(Table1[[#This Row],[CZscore]])&gt;2,"Outlier","Normal"))</f>
        <v>Normal</v>
      </c>
    </row>
    <row r="1320" spans="1:29" x14ac:dyDescent="0.35">
      <c r="A1320" t="s">
        <v>553</v>
      </c>
      <c r="B1320">
        <v>60.327736000000002</v>
      </c>
      <c r="C1320">
        <v>165</v>
      </c>
      <c r="D1320" t="s">
        <v>89</v>
      </c>
      <c r="E1320">
        <v>23</v>
      </c>
      <c r="F1320" t="s">
        <v>104</v>
      </c>
      <c r="G1320" t="s">
        <v>34</v>
      </c>
      <c r="H1320" t="s">
        <v>29</v>
      </c>
      <c r="I1320" t="s">
        <v>58</v>
      </c>
      <c r="J1320">
        <v>1</v>
      </c>
      <c r="K1320">
        <v>1</v>
      </c>
      <c r="L1320">
        <v>0</v>
      </c>
      <c r="M1320">
        <v>1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2</v>
      </c>
      <c r="X1320">
        <v>971.99</v>
      </c>
      <c r="Y1320">
        <v>1100</v>
      </c>
      <c r="Z1320">
        <f>AVERAGEIFS(Table1[FinalElo], Table1[Country], Table1[[#This Row],[Country]])</f>
        <v>1012.0629025423733</v>
      </c>
      <c r="AA1320" cm="1">
        <f t="array" ref="AA1320">IF(COUNTIFS(Table1[Country],Table1[[#This Row],[Country]])=1,0, _xlfn.STDEV.S(IF(Table1[Country]=Table1[[#This Row],[Country]],Table1[FinalElo])))</f>
        <v>148.42180446198614</v>
      </c>
      <c r="AB1320">
        <f>IF(Table1[[#This Row],[CStd]]=0,0, (Table1[[#This Row],[FinalElo]]-Table1[[#This Row],[CAvg]]) / Table1[[#This Row],[CStd]])</f>
        <v>-0.26999336578364258</v>
      </c>
      <c r="AC1320" t="str">
        <f>IF(Table1[[#This Row],[CStd]]=0,"Normal", IF(ABS(Table1[[#This Row],[CZscore]])&gt;2,"Outlier","Normal"))</f>
        <v>Normal</v>
      </c>
    </row>
    <row r="1321" spans="1:29" x14ac:dyDescent="0.35">
      <c r="A1321" t="s">
        <v>552</v>
      </c>
      <c r="B1321">
        <v>56.7</v>
      </c>
      <c r="C1321">
        <v>165</v>
      </c>
      <c r="D1321" t="s">
        <v>38</v>
      </c>
      <c r="E1321">
        <v>27</v>
      </c>
      <c r="F1321" t="s">
        <v>324</v>
      </c>
      <c r="G1321" t="s">
        <v>40</v>
      </c>
      <c r="H1321" t="s">
        <v>29</v>
      </c>
      <c r="I1321" t="s">
        <v>58</v>
      </c>
      <c r="J1321">
        <v>2</v>
      </c>
      <c r="K1321">
        <v>2</v>
      </c>
      <c r="L1321">
        <v>0</v>
      </c>
      <c r="M1321">
        <v>1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2</v>
      </c>
      <c r="T1321">
        <v>0</v>
      </c>
      <c r="U1321">
        <v>0</v>
      </c>
      <c r="V1321">
        <v>0</v>
      </c>
      <c r="W1321">
        <v>4</v>
      </c>
      <c r="X1321">
        <v>956.7</v>
      </c>
      <c r="Y1321">
        <v>1171.99</v>
      </c>
      <c r="Z1321">
        <f>AVERAGEIFS(Table1[FinalElo], Table1[Country], Table1[[#This Row],[Country]])</f>
        <v>1057.4495402298851</v>
      </c>
      <c r="AA1321" cm="1">
        <f t="array" ref="AA1321">IF(COUNTIFS(Table1[Country],Table1[[#This Row],[Country]])=1,0, _xlfn.STDEV.S(IF(Table1[Country]=Table1[[#This Row],[Country]],Table1[FinalElo])))</f>
        <v>156.98667602259493</v>
      </c>
      <c r="AB1321">
        <f>IF(Table1[[#This Row],[CStd]]=0,0, (Table1[[#This Row],[FinalElo]]-Table1[[#This Row],[CAvg]]) / Table1[[#This Row],[CStd]])</f>
        <v>-0.64177128137539685</v>
      </c>
      <c r="AC1321" t="str">
        <f>IF(Table1[[#This Row],[CStd]]=0,"Normal", IF(ABS(Table1[[#This Row],[CZscore]])&gt;2,"Outlier","Normal"))</f>
        <v>Normal</v>
      </c>
    </row>
    <row r="1322" spans="1:29" x14ac:dyDescent="0.35">
      <c r="A1322" t="s">
        <v>550</v>
      </c>
      <c r="B1322">
        <v>56.7</v>
      </c>
      <c r="C1322">
        <v>176</v>
      </c>
      <c r="D1322" t="s">
        <v>89</v>
      </c>
      <c r="E1322">
        <v>21</v>
      </c>
      <c r="F1322" t="s">
        <v>551</v>
      </c>
      <c r="G1322" t="s">
        <v>34</v>
      </c>
      <c r="H1322" t="s">
        <v>29</v>
      </c>
      <c r="I1322" t="s">
        <v>58</v>
      </c>
      <c r="J1322">
        <v>0</v>
      </c>
      <c r="K1322">
        <v>2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2</v>
      </c>
      <c r="X1322">
        <v>828.01</v>
      </c>
      <c r="Y1322">
        <v>1000</v>
      </c>
      <c r="Z1322">
        <f>AVERAGEIFS(Table1[FinalElo], Table1[Country], Table1[[#This Row],[Country]])</f>
        <v>1012.0629025423733</v>
      </c>
      <c r="AA1322" cm="1">
        <f t="array" ref="AA1322">IF(COUNTIFS(Table1[Country],Table1[[#This Row],[Country]])=1,0, _xlfn.STDEV.S(IF(Table1[Country]=Table1[[#This Row],[Country]],Table1[FinalElo])))</f>
        <v>148.42180446198614</v>
      </c>
      <c r="AB1322">
        <f>IF(Table1[[#This Row],[CStd]]=0,0, (Table1[[#This Row],[FinalElo]]-Table1[[#This Row],[CAvg]]) / Table1[[#This Row],[CStd]])</f>
        <v>-1.2400664660394494</v>
      </c>
      <c r="AC1322" t="str">
        <f>IF(Table1[[#This Row],[CStd]]=0,"Normal", IF(ABS(Table1[[#This Row],[CZscore]])&gt;2,"Outlier","Normal"))</f>
        <v>Normal</v>
      </c>
    </row>
    <row r="1323" spans="1:29" x14ac:dyDescent="0.35">
      <c r="A1323" t="s">
        <v>548</v>
      </c>
      <c r="B1323">
        <v>77.099999999999994</v>
      </c>
      <c r="C1323">
        <v>179</v>
      </c>
      <c r="D1323" t="s">
        <v>116</v>
      </c>
      <c r="E1323">
        <v>32</v>
      </c>
      <c r="F1323" t="s">
        <v>549</v>
      </c>
      <c r="G1323" t="s">
        <v>40</v>
      </c>
      <c r="H1323" t="s">
        <v>29</v>
      </c>
      <c r="I1323" t="s">
        <v>30</v>
      </c>
      <c r="J1323">
        <v>1</v>
      </c>
      <c r="K1323">
        <v>2</v>
      </c>
      <c r="L1323">
        <v>0</v>
      </c>
      <c r="M1323">
        <v>0</v>
      </c>
      <c r="N1323">
        <v>0</v>
      </c>
      <c r="O1323">
        <v>0</v>
      </c>
      <c r="P1323">
        <v>1</v>
      </c>
      <c r="Q1323">
        <v>0</v>
      </c>
      <c r="R1323">
        <v>0</v>
      </c>
      <c r="S1323">
        <v>2</v>
      </c>
      <c r="T1323">
        <v>0</v>
      </c>
      <c r="U1323">
        <v>0</v>
      </c>
      <c r="V1323">
        <v>0</v>
      </c>
      <c r="W1323">
        <v>3</v>
      </c>
      <c r="X1323">
        <v>942.94</v>
      </c>
      <c r="Y1323">
        <v>1020.43</v>
      </c>
      <c r="Z1323">
        <f>AVERAGEIFS(Table1[FinalElo], Table1[Country], Table1[[#This Row],[Country]])</f>
        <v>980.88090909090931</v>
      </c>
      <c r="AA1323" cm="1">
        <f t="array" ref="AA1323">IF(COUNTIFS(Table1[Country],Table1[[#This Row],[Country]])=1,0, _xlfn.STDEV.S(IF(Table1[Country]=Table1[[#This Row],[Country]],Table1[FinalElo])))</f>
        <v>133.41794796376408</v>
      </c>
      <c r="AB1323">
        <f>IF(Table1[[#This Row],[CStd]]=0,0, (Table1[[#This Row],[FinalElo]]-Table1[[#This Row],[CAvg]]) / Table1[[#This Row],[CStd]])</f>
        <v>-0.28437635018351426</v>
      </c>
      <c r="AC1323" t="str">
        <f>IF(Table1[[#This Row],[CStd]]=0,"Normal", IF(ABS(Table1[[#This Row],[CZscore]])&gt;2,"Outlier","Normal"))</f>
        <v>Normal</v>
      </c>
    </row>
    <row r="1324" spans="1:29" x14ac:dyDescent="0.35">
      <c r="A1324" t="s">
        <v>546</v>
      </c>
      <c r="B1324">
        <v>65.8</v>
      </c>
      <c r="C1324">
        <v>173</v>
      </c>
      <c r="D1324" t="s">
        <v>513</v>
      </c>
      <c r="E1324">
        <v>31</v>
      </c>
      <c r="F1324" t="s">
        <v>547</v>
      </c>
      <c r="G1324" t="s">
        <v>40</v>
      </c>
      <c r="H1324" t="s">
        <v>29</v>
      </c>
      <c r="I1324" t="s">
        <v>48</v>
      </c>
      <c r="J1324">
        <v>1</v>
      </c>
      <c r="K1324">
        <v>0</v>
      </c>
      <c r="L1324">
        <v>0</v>
      </c>
      <c r="M1324">
        <v>1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1</v>
      </c>
      <c r="X1324">
        <v>1100</v>
      </c>
      <c r="Y1324">
        <v>1100</v>
      </c>
      <c r="Z1324">
        <f>AVERAGEIFS(Table1[FinalElo], Table1[Country], Table1[[#This Row],[Country]])</f>
        <v>991.92857142857144</v>
      </c>
      <c r="AA1324" cm="1">
        <f t="array" ref="AA1324">IF(COUNTIFS(Table1[Country],Table1[[#This Row],[Country]])=1,0, _xlfn.STDEV.S(IF(Table1[Country]=Table1[[#This Row],[Country]],Table1[FinalElo])))</f>
        <v>154.84924955929111</v>
      </c>
      <c r="AB1324">
        <f>IF(Table1[[#This Row],[CStd]]=0,0, (Table1[[#This Row],[FinalElo]]-Table1[[#This Row],[CAvg]]) / Table1[[#This Row],[CStd]])</f>
        <v>0.6979138024821262</v>
      </c>
      <c r="AC1324" t="str">
        <f>IF(Table1[[#This Row],[CStd]]=0,"Normal", IF(ABS(Table1[[#This Row],[CZscore]])&gt;2,"Outlier","Normal"))</f>
        <v>Normal</v>
      </c>
    </row>
    <row r="1325" spans="1:29" x14ac:dyDescent="0.35">
      <c r="A1325" t="s">
        <v>545</v>
      </c>
      <c r="B1325">
        <v>70.31</v>
      </c>
      <c r="C1325">
        <v>180</v>
      </c>
      <c r="D1325" t="s">
        <v>89</v>
      </c>
      <c r="E1325">
        <v>37</v>
      </c>
      <c r="F1325" t="s">
        <v>99</v>
      </c>
      <c r="G1325" t="s">
        <v>34</v>
      </c>
      <c r="H1325" t="s">
        <v>29</v>
      </c>
      <c r="I1325" t="s">
        <v>30</v>
      </c>
      <c r="J1325">
        <v>3</v>
      </c>
      <c r="K1325">
        <v>2</v>
      </c>
      <c r="L1325">
        <v>0</v>
      </c>
      <c r="M1325">
        <v>0</v>
      </c>
      <c r="N1325">
        <v>0</v>
      </c>
      <c r="O1325">
        <v>0</v>
      </c>
      <c r="P1325">
        <v>1</v>
      </c>
      <c r="Q1325">
        <v>1</v>
      </c>
      <c r="R1325">
        <v>0</v>
      </c>
      <c r="S1325">
        <v>0</v>
      </c>
      <c r="T1325">
        <v>0</v>
      </c>
      <c r="U1325">
        <v>1</v>
      </c>
      <c r="V1325">
        <v>0</v>
      </c>
      <c r="W1325">
        <v>5</v>
      </c>
      <c r="X1325">
        <v>937.65</v>
      </c>
      <c r="Y1325">
        <v>1226.17</v>
      </c>
      <c r="Z1325">
        <f>AVERAGEIFS(Table1[FinalElo], Table1[Country], Table1[[#This Row],[Country]])</f>
        <v>1012.0629025423733</v>
      </c>
      <c r="AA1325" cm="1">
        <f t="array" ref="AA1325">IF(COUNTIFS(Table1[Country],Table1[[#This Row],[Country]])=1,0, _xlfn.STDEV.S(IF(Table1[Country]=Table1[[#This Row],[Country]],Table1[FinalElo])))</f>
        <v>148.42180446198614</v>
      </c>
      <c r="AB1325">
        <f>IF(Table1[[#This Row],[CStd]]=0,0, (Table1[[#This Row],[FinalElo]]-Table1[[#This Row],[CAvg]]) / Table1[[#This Row],[CStd]])</f>
        <v>-0.50136098811163554</v>
      </c>
      <c r="AC1325" t="str">
        <f>IF(Table1[[#This Row],[CStd]]=0,"Normal", IF(ABS(Table1[[#This Row],[CZscore]])&gt;2,"Outlier","Normal"))</f>
        <v>Normal</v>
      </c>
    </row>
    <row r="1326" spans="1:29" x14ac:dyDescent="0.35">
      <c r="A1326" t="s">
        <v>543</v>
      </c>
      <c r="B1326">
        <v>63.9</v>
      </c>
      <c r="C1326">
        <v>169</v>
      </c>
      <c r="D1326" t="s">
        <v>289</v>
      </c>
      <c r="E1326">
        <v>39</v>
      </c>
      <c r="F1326" t="s">
        <v>544</v>
      </c>
      <c r="G1326" t="s">
        <v>40</v>
      </c>
      <c r="H1326" t="s">
        <v>29</v>
      </c>
      <c r="I1326" t="s">
        <v>73</v>
      </c>
      <c r="J1326">
        <v>6</v>
      </c>
      <c r="K1326">
        <v>5</v>
      </c>
      <c r="L1326">
        <v>0</v>
      </c>
      <c r="M1326">
        <v>5</v>
      </c>
      <c r="N1326">
        <v>0</v>
      </c>
      <c r="O1326">
        <v>0</v>
      </c>
      <c r="P1326">
        <v>1</v>
      </c>
      <c r="Q1326">
        <v>0</v>
      </c>
      <c r="R1326">
        <v>2</v>
      </c>
      <c r="S1326">
        <v>2</v>
      </c>
      <c r="T1326">
        <v>0</v>
      </c>
      <c r="U1326">
        <v>1</v>
      </c>
      <c r="V1326">
        <v>0</v>
      </c>
      <c r="W1326">
        <v>11</v>
      </c>
      <c r="X1326">
        <v>1029.8800000000001</v>
      </c>
      <c r="Y1326">
        <v>1199.8900000000001</v>
      </c>
      <c r="Z1326">
        <f>AVERAGEIFS(Table1[FinalElo], Table1[Country], Table1[[#This Row],[Country]])</f>
        <v>905.81399999999996</v>
      </c>
      <c r="AA1326" cm="1">
        <f t="array" ref="AA1326">IF(COUNTIFS(Table1[Country],Table1[[#This Row],[Country]])=1,0, _xlfn.STDEV.S(IF(Table1[Country]=Table1[[#This Row],[Country]],Table1[FinalElo])))</f>
        <v>92.302429437149769</v>
      </c>
      <c r="AB1326">
        <f>IF(Table1[[#This Row],[CStd]]=0,0, (Table1[[#This Row],[FinalElo]]-Table1[[#This Row],[CAvg]]) / Table1[[#This Row],[CStd]])</f>
        <v>1.3441249678534053</v>
      </c>
      <c r="AC1326" t="str">
        <f>IF(Table1[[#This Row],[CStd]]=0,"Normal", IF(ABS(Table1[[#This Row],[CZscore]])&gt;2,"Outlier","Normal"))</f>
        <v>Normal</v>
      </c>
    </row>
    <row r="1327" spans="1:29" x14ac:dyDescent="0.35">
      <c r="A1327" t="s">
        <v>541</v>
      </c>
      <c r="B1327">
        <v>51.709488</v>
      </c>
      <c r="C1327">
        <v>165</v>
      </c>
      <c r="D1327" t="s">
        <v>89</v>
      </c>
      <c r="E1327">
        <v>25</v>
      </c>
      <c r="F1327" t="s">
        <v>542</v>
      </c>
      <c r="G1327" t="s">
        <v>34</v>
      </c>
      <c r="H1327" t="s">
        <v>29</v>
      </c>
      <c r="I1327" t="s">
        <v>55</v>
      </c>
      <c r="J1327">
        <v>0</v>
      </c>
      <c r="K1327">
        <v>1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1</v>
      </c>
      <c r="X1327">
        <v>928.01</v>
      </c>
      <c r="Y1327">
        <v>1000</v>
      </c>
      <c r="Z1327">
        <f>AVERAGEIFS(Table1[FinalElo], Table1[Country], Table1[[#This Row],[Country]])</f>
        <v>1012.0629025423733</v>
      </c>
      <c r="AA1327" cm="1">
        <f t="array" ref="AA1327">IF(COUNTIFS(Table1[Country],Table1[[#This Row],[Country]])=1,0, _xlfn.STDEV.S(IF(Table1[Country]=Table1[[#This Row],[Country]],Table1[FinalElo])))</f>
        <v>148.42180446198614</v>
      </c>
      <c r="AB1327">
        <f>IF(Table1[[#This Row],[CStd]]=0,0, (Table1[[#This Row],[FinalElo]]-Table1[[#This Row],[CAvg]]) / Table1[[#This Row],[CStd]])</f>
        <v>-0.56631101371564974</v>
      </c>
      <c r="AC1327" t="str">
        <f>IF(Table1[[#This Row],[CStd]]=0,"Normal", IF(ABS(Table1[[#This Row],[CZscore]])&gt;2,"Outlier","Normal"))</f>
        <v>Normal</v>
      </c>
    </row>
    <row r="1328" spans="1:29" x14ac:dyDescent="0.35">
      <c r="A1328" t="s">
        <v>540</v>
      </c>
      <c r="B1328">
        <v>66.5</v>
      </c>
      <c r="C1328">
        <v>172</v>
      </c>
      <c r="D1328" t="s">
        <v>89</v>
      </c>
      <c r="E1328">
        <v>26</v>
      </c>
      <c r="F1328" t="s">
        <v>96</v>
      </c>
      <c r="G1328" t="s">
        <v>34</v>
      </c>
      <c r="H1328" t="s">
        <v>29</v>
      </c>
      <c r="I1328" t="s">
        <v>48</v>
      </c>
      <c r="J1328">
        <v>2</v>
      </c>
      <c r="K1328">
        <v>1</v>
      </c>
      <c r="L1328">
        <v>0</v>
      </c>
      <c r="M1328">
        <v>1</v>
      </c>
      <c r="N1328">
        <v>0</v>
      </c>
      <c r="O1328">
        <v>0</v>
      </c>
      <c r="P1328">
        <v>1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3</v>
      </c>
      <c r="X1328">
        <v>1026.17</v>
      </c>
      <c r="Y1328">
        <v>1171.99</v>
      </c>
      <c r="Z1328">
        <f>AVERAGEIFS(Table1[FinalElo], Table1[Country], Table1[[#This Row],[Country]])</f>
        <v>1012.0629025423733</v>
      </c>
      <c r="AA1328" cm="1">
        <f t="array" ref="AA1328">IF(COUNTIFS(Table1[Country],Table1[[#This Row],[Country]])=1,0, _xlfn.STDEV.S(IF(Table1[Country]=Table1[[#This Row],[Country]],Table1[FinalElo])))</f>
        <v>148.42180446198614</v>
      </c>
      <c r="AB1328">
        <f>IF(Table1[[#This Row],[CStd]]=0,0, (Table1[[#This Row],[FinalElo]]-Table1[[#This Row],[CAvg]]) / Table1[[#This Row],[CStd]])</f>
        <v>9.5047338285392427E-2</v>
      </c>
      <c r="AC1328" t="str">
        <f>IF(Table1[[#This Row],[CStd]]=0,"Normal", IF(ABS(Table1[[#This Row],[CZscore]])&gt;2,"Outlier","Normal"))</f>
        <v>Normal</v>
      </c>
    </row>
    <row r="1329" spans="1:29" x14ac:dyDescent="0.35">
      <c r="A1329" t="s">
        <v>538</v>
      </c>
      <c r="B1329">
        <v>59.6</v>
      </c>
      <c r="C1329">
        <v>168</v>
      </c>
      <c r="D1329" t="s">
        <v>89</v>
      </c>
      <c r="E1329">
        <v>36</v>
      </c>
      <c r="F1329" t="s">
        <v>539</v>
      </c>
      <c r="G1329" t="s">
        <v>34</v>
      </c>
      <c r="H1329" t="s">
        <v>29</v>
      </c>
      <c r="I1329" t="s">
        <v>58</v>
      </c>
      <c r="J1329">
        <v>0</v>
      </c>
      <c r="K1329">
        <v>1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1</v>
      </c>
      <c r="X1329">
        <v>900</v>
      </c>
      <c r="Y1329">
        <v>1000</v>
      </c>
      <c r="Z1329">
        <f>AVERAGEIFS(Table1[FinalElo], Table1[Country], Table1[[#This Row],[Country]])</f>
        <v>1012.0629025423733</v>
      </c>
      <c r="AA1329" cm="1">
        <f t="array" ref="AA1329">IF(COUNTIFS(Table1[Country],Table1[[#This Row],[Country]])=1,0, _xlfn.STDEV.S(IF(Table1[Country]=Table1[[#This Row],[Country]],Table1[FinalElo])))</f>
        <v>148.42180446198614</v>
      </c>
      <c r="AB1329">
        <f>IF(Table1[[#This Row],[CStd]]=0,0, (Table1[[#This Row],[FinalElo]]-Table1[[#This Row],[CAvg]]) / Table1[[#This Row],[CStd]])</f>
        <v>-0.75502991591154589</v>
      </c>
      <c r="AC1329" t="str">
        <f>IF(Table1[[#This Row],[CStd]]=0,"Normal", IF(ABS(Table1[[#This Row],[CZscore]])&gt;2,"Outlier","Normal"))</f>
        <v>Normal</v>
      </c>
    </row>
    <row r="1330" spans="1:29" x14ac:dyDescent="0.35">
      <c r="A1330" t="s">
        <v>536</v>
      </c>
      <c r="B1330">
        <v>57.606183999999999</v>
      </c>
      <c r="C1330">
        <v>170</v>
      </c>
      <c r="D1330" t="s">
        <v>89</v>
      </c>
      <c r="E1330">
        <v>22</v>
      </c>
      <c r="F1330" t="s">
        <v>537</v>
      </c>
      <c r="G1330" t="s">
        <v>34</v>
      </c>
      <c r="H1330" t="s">
        <v>29</v>
      </c>
      <c r="I1330" t="s">
        <v>58</v>
      </c>
      <c r="J1330">
        <v>1</v>
      </c>
      <c r="K1330">
        <v>2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1</v>
      </c>
      <c r="V1330">
        <v>0</v>
      </c>
      <c r="W1330">
        <v>3</v>
      </c>
      <c r="X1330">
        <v>880.03</v>
      </c>
      <c r="Y1330">
        <v>1100</v>
      </c>
      <c r="Z1330">
        <f>AVERAGEIFS(Table1[FinalElo], Table1[Country], Table1[[#This Row],[Country]])</f>
        <v>1012.0629025423733</v>
      </c>
      <c r="AA1330" cm="1">
        <f t="array" ref="AA1330">IF(COUNTIFS(Table1[Country],Table1[[#This Row],[Country]])=1,0, _xlfn.STDEV.S(IF(Table1[Country]=Table1[[#This Row],[Country]],Table1[FinalElo])))</f>
        <v>148.42180446198614</v>
      </c>
      <c r="AB1330">
        <f>IF(Table1[[#This Row],[CStd]]=0,0, (Table1[[#This Row],[FinalElo]]-Table1[[#This Row],[CAvg]]) / Table1[[#This Row],[CStd]])</f>
        <v>-0.8895788797406089</v>
      </c>
      <c r="AC1330" t="str">
        <f>IF(Table1[[#This Row],[CStd]]=0,"Normal", IF(ABS(Table1[[#This Row],[CZscore]])&gt;2,"Outlier","Normal"))</f>
        <v>Normal</v>
      </c>
    </row>
    <row r="1331" spans="1:29" x14ac:dyDescent="0.35">
      <c r="A1331" t="s">
        <v>534</v>
      </c>
      <c r="B1331">
        <v>55.338223999999997</v>
      </c>
      <c r="C1331">
        <v>168</v>
      </c>
      <c r="D1331" t="s">
        <v>89</v>
      </c>
      <c r="E1331">
        <v>31</v>
      </c>
      <c r="F1331" t="s">
        <v>535</v>
      </c>
      <c r="G1331" t="s">
        <v>34</v>
      </c>
      <c r="H1331" t="s">
        <v>29</v>
      </c>
      <c r="I1331" t="s">
        <v>36</v>
      </c>
      <c r="J1331">
        <v>2</v>
      </c>
      <c r="K1331">
        <v>3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5</v>
      </c>
      <c r="X1331">
        <v>956.65</v>
      </c>
      <c r="Y1331">
        <v>1051.95</v>
      </c>
      <c r="Z1331">
        <f>AVERAGEIFS(Table1[FinalElo], Table1[Country], Table1[[#This Row],[Country]])</f>
        <v>1012.0629025423733</v>
      </c>
      <c r="AA1331" cm="1">
        <f t="array" ref="AA1331">IF(COUNTIFS(Table1[Country],Table1[[#This Row],[Country]])=1,0, _xlfn.STDEV.S(IF(Table1[Country]=Table1[[#This Row],[Country]],Table1[FinalElo])))</f>
        <v>148.42180446198614</v>
      </c>
      <c r="AB1331">
        <f>IF(Table1[[#This Row],[CStd]]=0,0, (Table1[[#This Row],[FinalElo]]-Table1[[#This Row],[CAvg]]) / Table1[[#This Row],[CStd]])</f>
        <v>-0.37334745217011367</v>
      </c>
      <c r="AC1331" t="str">
        <f>IF(Table1[[#This Row],[CStd]]=0,"Normal", IF(ABS(Table1[[#This Row],[CZscore]])&gt;2,"Outlier","Normal"))</f>
        <v>Normal</v>
      </c>
    </row>
    <row r="1332" spans="1:29" x14ac:dyDescent="0.35">
      <c r="A1332" t="s">
        <v>532</v>
      </c>
      <c r="B1332">
        <v>53.977448000000003</v>
      </c>
      <c r="C1332">
        <v>165</v>
      </c>
      <c r="D1332" t="s">
        <v>89</v>
      </c>
      <c r="E1332">
        <v>19</v>
      </c>
      <c r="F1332" t="s">
        <v>533</v>
      </c>
      <c r="G1332" t="s">
        <v>34</v>
      </c>
      <c r="H1332" t="s">
        <v>29</v>
      </c>
      <c r="I1332" t="s">
        <v>36</v>
      </c>
      <c r="J1332">
        <v>0</v>
      </c>
      <c r="K1332">
        <v>1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1</v>
      </c>
      <c r="X1332">
        <v>954.31</v>
      </c>
      <c r="Y1332">
        <v>1000</v>
      </c>
      <c r="Z1332">
        <f>AVERAGEIFS(Table1[FinalElo], Table1[Country], Table1[[#This Row],[Country]])</f>
        <v>1012.0629025423733</v>
      </c>
      <c r="AA1332" cm="1">
        <f t="array" ref="AA1332">IF(COUNTIFS(Table1[Country],Table1[[#This Row],[Country]])=1,0, _xlfn.STDEV.S(IF(Table1[Country]=Table1[[#This Row],[Country]],Table1[FinalElo])))</f>
        <v>148.42180446198614</v>
      </c>
      <c r="AB1332">
        <f>IF(Table1[[#This Row],[CStd]]=0,0, (Table1[[#This Row],[FinalElo]]-Table1[[#This Row],[CAvg]]) / Table1[[#This Row],[CStd]])</f>
        <v>-0.38911332975449076</v>
      </c>
      <c r="AC1332" t="str">
        <f>IF(Table1[[#This Row],[CStd]]=0,"Normal", IF(ABS(Table1[[#This Row],[CZscore]])&gt;2,"Outlier","Normal"))</f>
        <v>Normal</v>
      </c>
    </row>
    <row r="1333" spans="1:29" x14ac:dyDescent="0.35">
      <c r="A1333" t="s">
        <v>530</v>
      </c>
      <c r="B1333">
        <v>61.688512000000003</v>
      </c>
      <c r="C1333">
        <v>171</v>
      </c>
      <c r="D1333" t="s">
        <v>89</v>
      </c>
      <c r="E1333">
        <v>30</v>
      </c>
      <c r="F1333" t="s">
        <v>531</v>
      </c>
      <c r="G1333" t="s">
        <v>34</v>
      </c>
      <c r="H1333" t="s">
        <v>29</v>
      </c>
      <c r="I1333" t="s">
        <v>73</v>
      </c>
      <c r="J1333">
        <v>1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1</v>
      </c>
      <c r="X1333">
        <v>1151.95</v>
      </c>
      <c r="Y1333">
        <v>1151.95</v>
      </c>
      <c r="Z1333">
        <f>AVERAGEIFS(Table1[FinalElo], Table1[Country], Table1[[#This Row],[Country]])</f>
        <v>1012.0629025423733</v>
      </c>
      <c r="AA1333" cm="1">
        <f t="array" ref="AA1333">IF(COUNTIFS(Table1[Country],Table1[[#This Row],[Country]])=1,0, _xlfn.STDEV.S(IF(Table1[Country]=Table1[[#This Row],[Country]],Table1[FinalElo])))</f>
        <v>148.42180446198614</v>
      </c>
      <c r="AB1333">
        <f>IF(Table1[[#This Row],[CStd]]=0,0, (Table1[[#This Row],[FinalElo]]-Table1[[#This Row],[CAvg]]) / Table1[[#This Row],[CStd]])</f>
        <v>0.9424969462182673</v>
      </c>
      <c r="AC1333" t="str">
        <f>IF(Table1[[#This Row],[CStd]]=0,"Normal", IF(ABS(Table1[[#This Row],[CZscore]])&gt;2,"Outlier","Normal"))</f>
        <v>Normal</v>
      </c>
    </row>
    <row r="1334" spans="1:29" x14ac:dyDescent="0.35">
      <c r="A1334" t="s">
        <v>529</v>
      </c>
      <c r="B1334">
        <v>52.16</v>
      </c>
      <c r="C1334">
        <v>167</v>
      </c>
      <c r="D1334" t="s">
        <v>89</v>
      </c>
      <c r="E1334">
        <v>24</v>
      </c>
      <c r="F1334" t="s">
        <v>492</v>
      </c>
      <c r="G1334" t="s">
        <v>34</v>
      </c>
      <c r="H1334" t="s">
        <v>29</v>
      </c>
      <c r="I1334" t="s">
        <v>36</v>
      </c>
      <c r="J1334">
        <v>2</v>
      </c>
      <c r="K1334">
        <v>2</v>
      </c>
      <c r="L1334">
        <v>0</v>
      </c>
      <c r="M1334">
        <v>2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4</v>
      </c>
      <c r="X1334">
        <v>951.88</v>
      </c>
      <c r="Y1334">
        <v>1243.23</v>
      </c>
      <c r="Z1334">
        <f>AVERAGEIFS(Table1[FinalElo], Table1[Country], Table1[[#This Row],[Country]])</f>
        <v>1012.0629025423733</v>
      </c>
      <c r="AA1334" cm="1">
        <f t="array" ref="AA1334">IF(COUNTIFS(Table1[Country],Table1[[#This Row],[Country]])=1,0, _xlfn.STDEV.S(IF(Table1[Country]=Table1[[#This Row],[Country]],Table1[FinalElo])))</f>
        <v>148.42180446198614</v>
      </c>
      <c r="AB1334">
        <f>IF(Table1[[#This Row],[CStd]]=0,0, (Table1[[#This Row],[FinalElo]]-Table1[[#This Row],[CAvg]]) / Table1[[#This Row],[CStd]])</f>
        <v>-0.40548558724595873</v>
      </c>
      <c r="AC1334" t="str">
        <f>IF(Table1[[#This Row],[CStd]]=0,"Normal", IF(ABS(Table1[[#This Row],[CZscore]])&gt;2,"Outlier","Normal"))</f>
        <v>Normal</v>
      </c>
    </row>
    <row r="1335" spans="1:29" x14ac:dyDescent="0.35">
      <c r="A1335" t="s">
        <v>527</v>
      </c>
      <c r="B1335">
        <v>51.6</v>
      </c>
      <c r="C1335">
        <v>157</v>
      </c>
      <c r="D1335" t="s">
        <v>89</v>
      </c>
      <c r="E1335">
        <v>19</v>
      </c>
      <c r="F1335" t="s">
        <v>528</v>
      </c>
      <c r="G1335" t="s">
        <v>34</v>
      </c>
      <c r="H1335" t="s">
        <v>29</v>
      </c>
      <c r="I1335" t="s">
        <v>55</v>
      </c>
      <c r="J1335">
        <v>4</v>
      </c>
      <c r="K1335">
        <v>1</v>
      </c>
      <c r="L1335">
        <v>0</v>
      </c>
      <c r="M1335">
        <v>0</v>
      </c>
      <c r="N1335">
        <v>0</v>
      </c>
      <c r="O1335">
        <v>0</v>
      </c>
      <c r="P1335">
        <v>2</v>
      </c>
      <c r="Q1335">
        <v>1</v>
      </c>
      <c r="R1335">
        <v>0</v>
      </c>
      <c r="S1335">
        <v>0</v>
      </c>
      <c r="T1335">
        <v>0</v>
      </c>
      <c r="U1335">
        <v>1</v>
      </c>
      <c r="V1335">
        <v>0</v>
      </c>
      <c r="W1335">
        <v>5</v>
      </c>
      <c r="X1335">
        <v>1223.98</v>
      </c>
      <c r="Y1335">
        <v>1223.98</v>
      </c>
      <c r="Z1335">
        <f>AVERAGEIFS(Table1[FinalElo], Table1[Country], Table1[[#This Row],[Country]])</f>
        <v>1012.0629025423733</v>
      </c>
      <c r="AA1335" cm="1">
        <f t="array" ref="AA1335">IF(COUNTIFS(Table1[Country],Table1[[#This Row],[Country]])=1,0, _xlfn.STDEV.S(IF(Table1[Country]=Table1[[#This Row],[Country]],Table1[FinalElo])))</f>
        <v>148.42180446198614</v>
      </c>
      <c r="AB1335">
        <f>IF(Table1[[#This Row],[CStd]]=0,0, (Table1[[#This Row],[FinalElo]]-Table1[[#This Row],[CAvg]]) / Table1[[#This Row],[CStd]])</f>
        <v>1.4278029985270999</v>
      </c>
      <c r="AC1335" t="str">
        <f>IF(Table1[[#This Row],[CStd]]=0,"Normal", IF(ABS(Table1[[#This Row],[CZscore]])&gt;2,"Outlier","Normal"))</f>
        <v>Normal</v>
      </c>
    </row>
    <row r="1336" spans="1:29" x14ac:dyDescent="0.35">
      <c r="A1336" t="s">
        <v>525</v>
      </c>
      <c r="B1336">
        <v>56.7</v>
      </c>
      <c r="C1336">
        <v>165</v>
      </c>
      <c r="D1336" t="s">
        <v>150</v>
      </c>
      <c r="E1336">
        <v>36</v>
      </c>
      <c r="F1336" t="s">
        <v>526</v>
      </c>
      <c r="G1336" t="s">
        <v>40</v>
      </c>
      <c r="H1336" t="s">
        <v>29</v>
      </c>
      <c r="I1336" t="s">
        <v>58</v>
      </c>
      <c r="J1336">
        <v>0</v>
      </c>
      <c r="K1336">
        <v>1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1</v>
      </c>
      <c r="V1336">
        <v>0</v>
      </c>
      <c r="W1336">
        <v>1</v>
      </c>
      <c r="X1336">
        <v>900</v>
      </c>
      <c r="Y1336">
        <v>1000</v>
      </c>
      <c r="Z1336">
        <f>AVERAGEIFS(Table1[FinalElo], Table1[Country], Table1[[#This Row],[Country]])</f>
        <v>983.37272727272716</v>
      </c>
      <c r="AA1336" cm="1">
        <f t="array" ref="AA1336">IF(COUNTIFS(Table1[Country],Table1[[#This Row],[Country]])=1,0, _xlfn.STDEV.S(IF(Table1[Country]=Table1[[#This Row],[Country]],Table1[FinalElo])))</f>
        <v>121.78204088377996</v>
      </c>
      <c r="AB1336">
        <f>IF(Table1[[#This Row],[CStd]]=0,0, (Table1[[#This Row],[FinalElo]]-Table1[[#This Row],[CAvg]]) / Table1[[#This Row],[CStd]])</f>
        <v>-0.68460609353962221</v>
      </c>
      <c r="AC1336" t="str">
        <f>IF(Table1[[#This Row],[CStd]]=0,"Normal", IF(ABS(Table1[[#This Row],[CZscore]])&gt;2,"Outlier","Normal"))</f>
        <v>Normal</v>
      </c>
    </row>
    <row r="1337" spans="1:29" x14ac:dyDescent="0.35">
      <c r="A1337" t="s">
        <v>523</v>
      </c>
      <c r="B1337">
        <v>61.23</v>
      </c>
      <c r="C1337">
        <v>170</v>
      </c>
      <c r="D1337" t="s">
        <v>247</v>
      </c>
      <c r="E1337">
        <v>26</v>
      </c>
      <c r="F1337" t="s">
        <v>524</v>
      </c>
      <c r="G1337" t="s">
        <v>28</v>
      </c>
      <c r="H1337" t="s">
        <v>29</v>
      </c>
      <c r="I1337" t="s">
        <v>73</v>
      </c>
      <c r="J1337">
        <v>0</v>
      </c>
      <c r="K1337">
        <v>1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1</v>
      </c>
      <c r="S1337">
        <v>0</v>
      </c>
      <c r="T1337">
        <v>0</v>
      </c>
      <c r="U1337">
        <v>0</v>
      </c>
      <c r="V1337">
        <v>0</v>
      </c>
      <c r="W1337">
        <v>1</v>
      </c>
      <c r="X1337">
        <v>870.56</v>
      </c>
      <c r="Y1337">
        <v>1000</v>
      </c>
      <c r="Z1337">
        <f>AVERAGEIFS(Table1[FinalElo], Table1[Country], Table1[[#This Row],[Country]])</f>
        <v>1050.0176190476191</v>
      </c>
      <c r="AA1337" cm="1">
        <f t="array" ref="AA1337">IF(COUNTIFS(Table1[Country],Table1[[#This Row],[Country]])=1,0, _xlfn.STDEV.S(IF(Table1[Country]=Table1[[#This Row],[Country]],Table1[FinalElo])))</f>
        <v>127.00578096703971</v>
      </c>
      <c r="AB1337">
        <f>IF(Table1[[#This Row],[CStd]]=0,0, (Table1[[#This Row],[FinalElo]]-Table1[[#This Row],[CAvg]]) / Table1[[#This Row],[CStd]])</f>
        <v>-1.4129878000922778</v>
      </c>
      <c r="AC1337" t="str">
        <f>IF(Table1[[#This Row],[CStd]]=0,"Normal", IF(ABS(Table1[[#This Row],[CZscore]])&gt;2,"Outlier","Normal"))</f>
        <v>Normal</v>
      </c>
    </row>
    <row r="1338" spans="1:29" x14ac:dyDescent="0.35">
      <c r="A1338" t="s">
        <v>522</v>
      </c>
      <c r="B1338">
        <v>47.63</v>
      </c>
      <c r="C1338">
        <v>162</v>
      </c>
      <c r="D1338" t="s">
        <v>174</v>
      </c>
      <c r="E1338">
        <v>31</v>
      </c>
      <c r="F1338" t="s">
        <v>110</v>
      </c>
      <c r="G1338" t="s">
        <v>34</v>
      </c>
      <c r="H1338" t="s">
        <v>29</v>
      </c>
      <c r="I1338" t="s">
        <v>55</v>
      </c>
      <c r="J1338">
        <v>3</v>
      </c>
      <c r="K1338">
        <v>4</v>
      </c>
      <c r="L1338">
        <v>0</v>
      </c>
      <c r="M1338">
        <v>1</v>
      </c>
      <c r="N1338">
        <v>0</v>
      </c>
      <c r="O1338">
        <v>0</v>
      </c>
      <c r="P1338">
        <v>1</v>
      </c>
      <c r="Q1338">
        <v>1</v>
      </c>
      <c r="R1338">
        <v>1</v>
      </c>
      <c r="S1338">
        <v>0</v>
      </c>
      <c r="T1338">
        <v>0</v>
      </c>
      <c r="U1338">
        <v>2</v>
      </c>
      <c r="V1338">
        <v>1</v>
      </c>
      <c r="W1338">
        <v>7</v>
      </c>
      <c r="X1338">
        <v>933.43</v>
      </c>
      <c r="Y1338">
        <v>1171.99</v>
      </c>
      <c r="Z1338">
        <f>AVERAGEIFS(Table1[FinalElo], Table1[Country], Table1[[#This Row],[Country]])</f>
        <v>980.52444444444427</v>
      </c>
      <c r="AA1338" cm="1">
        <f t="array" ref="AA1338">IF(COUNTIFS(Table1[Country],Table1[[#This Row],[Country]])=1,0, _xlfn.STDEV.S(IF(Table1[Country]=Table1[[#This Row],[Country]],Table1[FinalElo])))</f>
        <v>143.66034832022171</v>
      </c>
      <c r="AB1338">
        <f>IF(Table1[[#This Row],[CStd]]=0,0, (Table1[[#This Row],[FinalElo]]-Table1[[#This Row],[CAvg]]) / Table1[[#This Row],[CStd]])</f>
        <v>-0.32781797479336389</v>
      </c>
      <c r="AC1338" t="str">
        <f>IF(Table1[[#This Row],[CStd]]=0,"Normal", IF(ABS(Table1[[#This Row],[CZscore]])&gt;2,"Outlier","Normal"))</f>
        <v>Normal</v>
      </c>
    </row>
    <row r="1339" spans="1:29" x14ac:dyDescent="0.35">
      <c r="A1339" t="s">
        <v>521</v>
      </c>
      <c r="B1339">
        <v>65.77</v>
      </c>
      <c r="C1339">
        <v>173</v>
      </c>
      <c r="D1339" t="s">
        <v>60</v>
      </c>
      <c r="E1339">
        <v>26</v>
      </c>
      <c r="F1339" t="s">
        <v>168</v>
      </c>
      <c r="G1339" t="s">
        <v>40</v>
      </c>
      <c r="H1339" t="s">
        <v>29</v>
      </c>
      <c r="I1339" t="s">
        <v>48</v>
      </c>
      <c r="J1339">
        <v>5</v>
      </c>
      <c r="K1339">
        <v>2</v>
      </c>
      <c r="L1339">
        <v>0</v>
      </c>
      <c r="M1339">
        <v>2</v>
      </c>
      <c r="N1339">
        <v>3</v>
      </c>
      <c r="O1339">
        <v>0</v>
      </c>
      <c r="P1339">
        <v>0</v>
      </c>
      <c r="Q1339">
        <v>0</v>
      </c>
      <c r="R1339">
        <v>2</v>
      </c>
      <c r="S1339">
        <v>0</v>
      </c>
      <c r="T1339">
        <v>0</v>
      </c>
      <c r="U1339">
        <v>0</v>
      </c>
      <c r="V1339">
        <v>0</v>
      </c>
      <c r="W1339">
        <v>7</v>
      </c>
      <c r="X1339">
        <v>1137.42</v>
      </c>
      <c r="Y1339">
        <v>1255.8599999999999</v>
      </c>
      <c r="Z1339">
        <f>AVERAGEIFS(Table1[FinalElo], Table1[Country], Table1[[#This Row],[Country]])</f>
        <v>1034.681315789474</v>
      </c>
      <c r="AA1339" cm="1">
        <f t="array" ref="AA1339">IF(COUNTIFS(Table1[Country],Table1[[#This Row],[Country]])=1,0, _xlfn.STDEV.S(IF(Table1[Country]=Table1[[#This Row],[Country]],Table1[FinalElo])))</f>
        <v>152.902810204692</v>
      </c>
      <c r="AB1339">
        <f>IF(Table1[[#This Row],[CStd]]=0,0, (Table1[[#This Row],[FinalElo]]-Table1[[#This Row],[CAvg]]) / Table1[[#This Row],[CStd]])</f>
        <v>0.67192149099803433</v>
      </c>
      <c r="AC1339" t="str">
        <f>IF(Table1[[#This Row],[CStd]]=0,"Normal", IF(ABS(Table1[[#This Row],[CZscore]])&gt;2,"Outlier","Normal"))</f>
        <v>Normal</v>
      </c>
    </row>
    <row r="1340" spans="1:29" x14ac:dyDescent="0.35">
      <c r="A1340" t="s">
        <v>520</v>
      </c>
      <c r="B1340">
        <v>65.5</v>
      </c>
      <c r="C1340">
        <v>162</v>
      </c>
      <c r="D1340" t="s">
        <v>60</v>
      </c>
      <c r="E1340">
        <v>31</v>
      </c>
      <c r="F1340" t="s">
        <v>168</v>
      </c>
      <c r="G1340" t="s">
        <v>40</v>
      </c>
      <c r="H1340" t="s">
        <v>29</v>
      </c>
      <c r="I1340" t="s">
        <v>73</v>
      </c>
      <c r="J1340">
        <v>7</v>
      </c>
      <c r="K1340">
        <v>1</v>
      </c>
      <c r="L1340">
        <v>0</v>
      </c>
      <c r="M1340">
        <v>2</v>
      </c>
      <c r="N1340">
        <v>2</v>
      </c>
      <c r="O1340">
        <v>0</v>
      </c>
      <c r="P1340">
        <v>0</v>
      </c>
      <c r="Q1340">
        <v>1</v>
      </c>
      <c r="R1340">
        <v>0</v>
      </c>
      <c r="S1340">
        <v>1</v>
      </c>
      <c r="T1340">
        <v>0</v>
      </c>
      <c r="U1340">
        <v>0</v>
      </c>
      <c r="V1340">
        <v>0</v>
      </c>
      <c r="W1340">
        <v>8</v>
      </c>
      <c r="X1340">
        <v>1344.88</v>
      </c>
      <c r="Y1340">
        <v>1376.13</v>
      </c>
      <c r="Z1340">
        <f>AVERAGEIFS(Table1[FinalElo], Table1[Country], Table1[[#This Row],[Country]])</f>
        <v>1034.681315789474</v>
      </c>
      <c r="AA1340" cm="1">
        <f t="array" ref="AA1340">IF(COUNTIFS(Table1[Country],Table1[[#This Row],[Country]])=1,0, _xlfn.STDEV.S(IF(Table1[Country]=Table1[[#This Row],[Country]],Table1[FinalElo])))</f>
        <v>152.902810204692</v>
      </c>
      <c r="AB1340">
        <f>IF(Table1[[#This Row],[CStd]]=0,0, (Table1[[#This Row],[FinalElo]]-Table1[[#This Row],[CAvg]]) / Table1[[#This Row],[CStd]])</f>
        <v>2.0287310860752732</v>
      </c>
      <c r="AC1340" t="str">
        <f>IF(Table1[[#This Row],[CStd]]=0,"Normal", IF(ABS(Table1[[#This Row],[CZscore]])&gt;2,"Outlier","Normal"))</f>
        <v>Outlier</v>
      </c>
    </row>
    <row r="1341" spans="1:29" x14ac:dyDescent="0.35">
      <c r="A1341" t="s">
        <v>518</v>
      </c>
      <c r="B1341">
        <v>65.599999999999994</v>
      </c>
      <c r="C1341">
        <v>169</v>
      </c>
      <c r="D1341" t="s">
        <v>89</v>
      </c>
      <c r="E1341">
        <v>32</v>
      </c>
      <c r="F1341" t="s">
        <v>519</v>
      </c>
      <c r="G1341" t="s">
        <v>34</v>
      </c>
      <c r="H1341" t="s">
        <v>29</v>
      </c>
      <c r="I1341" t="s">
        <v>73</v>
      </c>
      <c r="J1341">
        <v>3</v>
      </c>
      <c r="K1341">
        <v>2</v>
      </c>
      <c r="L1341">
        <v>0</v>
      </c>
      <c r="M1341">
        <v>0</v>
      </c>
      <c r="N1341">
        <v>0</v>
      </c>
      <c r="O1341">
        <v>0</v>
      </c>
      <c r="P1341">
        <v>1</v>
      </c>
      <c r="Q1341">
        <v>0</v>
      </c>
      <c r="R1341">
        <v>0</v>
      </c>
      <c r="S1341">
        <v>0</v>
      </c>
      <c r="T1341">
        <v>0</v>
      </c>
      <c r="U1341">
        <v>1</v>
      </c>
      <c r="V1341">
        <v>1</v>
      </c>
      <c r="W1341">
        <v>5</v>
      </c>
      <c r="X1341">
        <v>1040.8399999999999</v>
      </c>
      <c r="Y1341">
        <v>1272.99</v>
      </c>
      <c r="Z1341">
        <f>AVERAGEIFS(Table1[FinalElo], Table1[Country], Table1[[#This Row],[Country]])</f>
        <v>1012.0629025423733</v>
      </c>
      <c r="AA1341" cm="1">
        <f t="array" ref="AA1341">IF(COUNTIFS(Table1[Country],Table1[[#This Row],[Country]])=1,0, _xlfn.STDEV.S(IF(Table1[Country]=Table1[[#This Row],[Country]],Table1[FinalElo])))</f>
        <v>148.42180446198614</v>
      </c>
      <c r="AB1341">
        <f>IF(Table1[[#This Row],[CStd]]=0,0, (Table1[[#This Row],[FinalElo]]-Table1[[#This Row],[CAvg]]) / Table1[[#This Row],[CStd]])</f>
        <v>0.19388726314129279</v>
      </c>
      <c r="AC1341" t="str">
        <f>IF(Table1[[#This Row],[CStd]]=0,"Normal", IF(ABS(Table1[[#This Row],[CZscore]])&gt;2,"Outlier","Normal"))</f>
        <v>Normal</v>
      </c>
    </row>
    <row r="1342" spans="1:29" x14ac:dyDescent="0.35">
      <c r="A1342" t="s">
        <v>516</v>
      </c>
      <c r="B1342">
        <v>56.7</v>
      </c>
      <c r="C1342">
        <v>163</v>
      </c>
      <c r="D1342" t="s">
        <v>174</v>
      </c>
      <c r="E1342">
        <v>28</v>
      </c>
      <c r="F1342" t="s">
        <v>517</v>
      </c>
      <c r="G1342" t="s">
        <v>40</v>
      </c>
      <c r="H1342" t="s">
        <v>29</v>
      </c>
      <c r="I1342" t="s">
        <v>58</v>
      </c>
      <c r="J1342">
        <v>1</v>
      </c>
      <c r="K1342">
        <v>0</v>
      </c>
      <c r="L1342">
        <v>0</v>
      </c>
      <c r="M1342">
        <v>0</v>
      </c>
      <c r="N1342">
        <v>1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1</v>
      </c>
      <c r="X1342">
        <v>1100</v>
      </c>
      <c r="Y1342">
        <v>1100</v>
      </c>
      <c r="Z1342">
        <f>AVERAGEIFS(Table1[FinalElo], Table1[Country], Table1[[#This Row],[Country]])</f>
        <v>980.52444444444427</v>
      </c>
      <c r="AA1342" cm="1">
        <f t="array" ref="AA1342">IF(COUNTIFS(Table1[Country],Table1[[#This Row],[Country]])=1,0, _xlfn.STDEV.S(IF(Table1[Country]=Table1[[#This Row],[Country]],Table1[FinalElo])))</f>
        <v>143.66034832022171</v>
      </c>
      <c r="AB1342">
        <f>IF(Table1[[#This Row],[CStd]]=0,0, (Table1[[#This Row],[FinalElo]]-Table1[[#This Row],[CAvg]]) / Table1[[#This Row],[CStd]])</f>
        <v>0.83165297141868533</v>
      </c>
      <c r="AC1342" t="str">
        <f>IF(Table1[[#This Row],[CStd]]=0,"Normal", IF(ABS(Table1[[#This Row],[CZscore]])&gt;2,"Outlier","Normal"))</f>
        <v>Normal</v>
      </c>
    </row>
    <row r="1343" spans="1:29" x14ac:dyDescent="0.35">
      <c r="A1343" t="s">
        <v>515</v>
      </c>
      <c r="B1343">
        <v>56.7</v>
      </c>
      <c r="C1343">
        <v>163</v>
      </c>
      <c r="D1343" t="s">
        <v>116</v>
      </c>
      <c r="E1343">
        <v>29</v>
      </c>
      <c r="F1343" t="s">
        <v>117</v>
      </c>
      <c r="G1343" t="s">
        <v>40</v>
      </c>
      <c r="H1343" t="s">
        <v>29</v>
      </c>
      <c r="I1343" t="s">
        <v>58</v>
      </c>
      <c r="J1343">
        <v>2</v>
      </c>
      <c r="K1343">
        <v>3</v>
      </c>
      <c r="L1343">
        <v>0</v>
      </c>
      <c r="M1343">
        <v>1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2</v>
      </c>
      <c r="T1343">
        <v>0</v>
      </c>
      <c r="U1343">
        <v>1</v>
      </c>
      <c r="V1343">
        <v>0</v>
      </c>
      <c r="W1343">
        <v>5</v>
      </c>
      <c r="X1343">
        <v>848.45</v>
      </c>
      <c r="Y1343">
        <v>1100</v>
      </c>
      <c r="Z1343">
        <f>AVERAGEIFS(Table1[FinalElo], Table1[Country], Table1[[#This Row],[Country]])</f>
        <v>980.88090909090931</v>
      </c>
      <c r="AA1343" cm="1">
        <f t="array" ref="AA1343">IF(COUNTIFS(Table1[Country],Table1[[#This Row],[Country]])=1,0, _xlfn.STDEV.S(IF(Table1[Country]=Table1[[#This Row],[Country]],Table1[FinalElo])))</f>
        <v>133.41794796376408</v>
      </c>
      <c r="AB1343">
        <f>IF(Table1[[#This Row],[CStd]]=0,0, (Table1[[#This Row],[FinalElo]]-Table1[[#This Row],[CAvg]]) / Table1[[#This Row],[CStd]])</f>
        <v>-0.9926019033576885</v>
      </c>
      <c r="AC1343" t="str">
        <f>IF(Table1[[#This Row],[CStd]]=0,"Normal", IF(ABS(Table1[[#This Row],[CZscore]])&gt;2,"Outlier","Normal"))</f>
        <v>Normal</v>
      </c>
    </row>
    <row r="1344" spans="1:29" x14ac:dyDescent="0.35">
      <c r="A1344" t="s">
        <v>512</v>
      </c>
      <c r="B1344">
        <v>77.099999999999994</v>
      </c>
      <c r="C1344">
        <v>177</v>
      </c>
      <c r="D1344" t="s">
        <v>513</v>
      </c>
      <c r="E1344">
        <v>29</v>
      </c>
      <c r="F1344" t="s">
        <v>514</v>
      </c>
      <c r="G1344" t="s">
        <v>40</v>
      </c>
      <c r="H1344" t="s">
        <v>29</v>
      </c>
      <c r="I1344" t="s">
        <v>30</v>
      </c>
      <c r="J1344">
        <v>1</v>
      </c>
      <c r="K1344">
        <v>0</v>
      </c>
      <c r="L1344">
        <v>0</v>
      </c>
      <c r="M1344">
        <v>1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1</v>
      </c>
      <c r="X1344">
        <v>1091.96</v>
      </c>
      <c r="Y1344">
        <v>1091.96</v>
      </c>
      <c r="Z1344">
        <f>AVERAGEIFS(Table1[FinalElo], Table1[Country], Table1[[#This Row],[Country]])</f>
        <v>991.92857142857144</v>
      </c>
      <c r="AA1344" cm="1">
        <f t="array" ref="AA1344">IF(COUNTIFS(Table1[Country],Table1[[#This Row],[Country]])=1,0, _xlfn.STDEV.S(IF(Table1[Country]=Table1[[#This Row],[Country]],Table1[FinalElo])))</f>
        <v>154.84924955929111</v>
      </c>
      <c r="AB1344">
        <f>IF(Table1[[#This Row],[CStd]]=0,0, (Table1[[#This Row],[FinalElo]]-Table1[[#This Row],[CAvg]]) / Table1[[#This Row],[CStd]])</f>
        <v>0.64599233677995316</v>
      </c>
      <c r="AC1344" t="str">
        <f>IF(Table1[[#This Row],[CStd]]=0,"Normal", IF(ABS(Table1[[#This Row],[CZscore]])&gt;2,"Outlier","Normal"))</f>
        <v>Normal</v>
      </c>
    </row>
    <row r="1345" spans="1:29" x14ac:dyDescent="0.35">
      <c r="A1345" t="s">
        <v>510</v>
      </c>
      <c r="B1345">
        <v>52.616672000000001</v>
      </c>
      <c r="C1345">
        <v>168</v>
      </c>
      <c r="D1345" t="s">
        <v>89</v>
      </c>
      <c r="E1345">
        <v>21</v>
      </c>
      <c r="F1345" t="s">
        <v>511</v>
      </c>
      <c r="G1345" t="s">
        <v>34</v>
      </c>
      <c r="H1345" t="s">
        <v>29</v>
      </c>
      <c r="I1345" t="s">
        <v>36</v>
      </c>
      <c r="J1345">
        <v>0</v>
      </c>
      <c r="K1345">
        <v>1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1</v>
      </c>
      <c r="V1345">
        <v>0</v>
      </c>
      <c r="W1345">
        <v>1</v>
      </c>
      <c r="X1345">
        <v>900</v>
      </c>
      <c r="Y1345">
        <v>1000</v>
      </c>
      <c r="Z1345">
        <f>AVERAGEIFS(Table1[FinalElo], Table1[Country], Table1[[#This Row],[Country]])</f>
        <v>1012.0629025423733</v>
      </c>
      <c r="AA1345" cm="1">
        <f t="array" ref="AA1345">IF(COUNTIFS(Table1[Country],Table1[[#This Row],[Country]])=1,0, _xlfn.STDEV.S(IF(Table1[Country]=Table1[[#This Row],[Country]],Table1[FinalElo])))</f>
        <v>148.42180446198614</v>
      </c>
      <c r="AB1345">
        <f>IF(Table1[[#This Row],[CStd]]=0,0, (Table1[[#This Row],[FinalElo]]-Table1[[#This Row],[CAvg]]) / Table1[[#This Row],[CStd]])</f>
        <v>-0.75502991591154589</v>
      </c>
      <c r="AC1345" t="str">
        <f>IF(Table1[[#This Row],[CStd]]=0,"Normal", IF(ABS(Table1[[#This Row],[CZscore]])&gt;2,"Outlier","Normal"))</f>
        <v>Normal</v>
      </c>
    </row>
    <row r="1346" spans="1:29" x14ac:dyDescent="0.35">
      <c r="A1346" t="s">
        <v>506</v>
      </c>
      <c r="B1346">
        <v>63.502879999999998</v>
      </c>
      <c r="C1346">
        <v>177</v>
      </c>
      <c r="D1346" t="s">
        <v>89</v>
      </c>
      <c r="E1346">
        <v>23</v>
      </c>
      <c r="F1346" t="s">
        <v>507</v>
      </c>
      <c r="G1346" t="s">
        <v>34</v>
      </c>
      <c r="H1346" t="s">
        <v>29</v>
      </c>
      <c r="I1346" t="s">
        <v>73</v>
      </c>
      <c r="J1346">
        <v>5</v>
      </c>
      <c r="K1346">
        <v>1</v>
      </c>
      <c r="L1346">
        <v>0</v>
      </c>
      <c r="M1346">
        <v>0</v>
      </c>
      <c r="N1346">
        <v>0</v>
      </c>
      <c r="O1346">
        <v>0</v>
      </c>
      <c r="P1346">
        <v>3</v>
      </c>
      <c r="Q1346">
        <v>1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6</v>
      </c>
      <c r="X1346">
        <v>1317.7</v>
      </c>
      <c r="Y1346">
        <v>1317.7</v>
      </c>
      <c r="Z1346">
        <f>AVERAGEIFS(Table1[FinalElo], Table1[Country], Table1[[#This Row],[Country]])</f>
        <v>1012.0629025423733</v>
      </c>
      <c r="AA1346" cm="1">
        <f t="array" ref="AA1346">IF(COUNTIFS(Table1[Country],Table1[[#This Row],[Country]])=1,0, _xlfn.STDEV.S(IF(Table1[Country]=Table1[[#This Row],[Country]],Table1[FinalElo])))</f>
        <v>148.42180446198614</v>
      </c>
      <c r="AB1346">
        <f>IF(Table1[[#This Row],[CStd]]=0,0, (Table1[[#This Row],[FinalElo]]-Table1[[#This Row],[CAvg]]) / Table1[[#This Row],[CStd]])</f>
        <v>2.059246608444965</v>
      </c>
      <c r="AC1346" t="str">
        <f>IF(Table1[[#This Row],[CStd]]=0,"Normal", IF(ABS(Table1[[#This Row],[CZscore]])&gt;2,"Outlier","Normal"))</f>
        <v>Outlier</v>
      </c>
    </row>
    <row r="1347" spans="1:29" x14ac:dyDescent="0.35">
      <c r="A1347" t="s">
        <v>503</v>
      </c>
      <c r="B1347">
        <v>63.049287999999997</v>
      </c>
      <c r="C1347">
        <v>166</v>
      </c>
      <c r="D1347" t="s">
        <v>32</v>
      </c>
      <c r="E1347">
        <v>34</v>
      </c>
      <c r="F1347" t="s">
        <v>504</v>
      </c>
      <c r="G1347" t="s">
        <v>54</v>
      </c>
      <c r="H1347" t="s">
        <v>29</v>
      </c>
      <c r="I1347" t="s">
        <v>73</v>
      </c>
      <c r="J1347">
        <v>1</v>
      </c>
      <c r="K1347">
        <v>1</v>
      </c>
      <c r="L1347">
        <v>0</v>
      </c>
      <c r="M1347">
        <v>0</v>
      </c>
      <c r="N1347">
        <v>1</v>
      </c>
      <c r="O1347">
        <v>0</v>
      </c>
      <c r="P1347">
        <v>0</v>
      </c>
      <c r="Q1347">
        <v>0</v>
      </c>
      <c r="R1347">
        <v>0</v>
      </c>
      <c r="S1347">
        <v>1</v>
      </c>
      <c r="T1347">
        <v>0</v>
      </c>
      <c r="U1347">
        <v>0</v>
      </c>
      <c r="V1347">
        <v>0</v>
      </c>
      <c r="W1347">
        <v>2</v>
      </c>
      <c r="X1347">
        <v>1000</v>
      </c>
      <c r="Y1347">
        <v>1100</v>
      </c>
      <c r="Z1347">
        <f>AVERAGEIFS(Table1[FinalElo], Table1[Country], Table1[[#This Row],[Country]])</f>
        <v>1025.3786885245902</v>
      </c>
      <c r="AA1347" cm="1">
        <f t="array" ref="AA1347">IF(COUNTIFS(Table1[Country],Table1[[#This Row],[Country]])=1,0, _xlfn.STDEV.S(IF(Table1[Country]=Table1[[#This Row],[Country]],Table1[FinalElo])))</f>
        <v>144.71595558743479</v>
      </c>
      <c r="AB1347">
        <f>IF(Table1[[#This Row],[CStd]]=0,0, (Table1[[#This Row],[FinalElo]]-Table1[[#This Row],[CAvg]]) / Table1[[#This Row],[CStd]])</f>
        <v>-0.17536897311407268</v>
      </c>
      <c r="AC1347" t="str">
        <f>IF(Table1[[#This Row],[CStd]]=0,"Normal", IF(ABS(Table1[[#This Row],[CZscore]])&gt;2,"Outlier","Normal"))</f>
        <v>Normal</v>
      </c>
    </row>
    <row r="1348" spans="1:29" x14ac:dyDescent="0.35">
      <c r="A1348" t="s">
        <v>501</v>
      </c>
      <c r="B1348">
        <v>56.7</v>
      </c>
      <c r="C1348">
        <v>165</v>
      </c>
      <c r="D1348" t="s">
        <v>174</v>
      </c>
      <c r="E1348">
        <v>34</v>
      </c>
      <c r="F1348" t="s">
        <v>502</v>
      </c>
      <c r="G1348" t="s">
        <v>34</v>
      </c>
      <c r="H1348" t="s">
        <v>29</v>
      </c>
      <c r="I1348" t="s">
        <v>58</v>
      </c>
      <c r="J1348">
        <v>0</v>
      </c>
      <c r="K1348">
        <v>1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1</v>
      </c>
      <c r="X1348">
        <v>900</v>
      </c>
      <c r="Y1348">
        <v>1000</v>
      </c>
      <c r="Z1348">
        <f>AVERAGEIFS(Table1[FinalElo], Table1[Country], Table1[[#This Row],[Country]])</f>
        <v>980.52444444444427</v>
      </c>
      <c r="AA1348" cm="1">
        <f t="array" ref="AA1348">IF(COUNTIFS(Table1[Country],Table1[[#This Row],[Country]])=1,0, _xlfn.STDEV.S(IF(Table1[Country]=Table1[[#This Row],[Country]],Table1[FinalElo])))</f>
        <v>143.66034832022171</v>
      </c>
      <c r="AB1348">
        <f>IF(Table1[[#This Row],[CStd]]=0,0, (Table1[[#This Row],[FinalElo]]-Table1[[#This Row],[CAvg]]) / Table1[[#This Row],[CStd]])</f>
        <v>-0.56051962414119805</v>
      </c>
      <c r="AC1348" t="str">
        <f>IF(Table1[[#This Row],[CStd]]=0,"Normal", IF(ABS(Table1[[#This Row],[CZscore]])&gt;2,"Outlier","Normal"))</f>
        <v>Normal</v>
      </c>
    </row>
    <row r="1349" spans="1:29" x14ac:dyDescent="0.35">
      <c r="A1349" t="s">
        <v>500</v>
      </c>
      <c r="B1349">
        <v>65.8</v>
      </c>
      <c r="C1349">
        <v>178</v>
      </c>
      <c r="D1349" t="s">
        <v>414</v>
      </c>
      <c r="E1349">
        <v>26</v>
      </c>
      <c r="F1349" t="s">
        <v>27</v>
      </c>
      <c r="G1349" t="s">
        <v>34</v>
      </c>
      <c r="H1349" t="s">
        <v>29</v>
      </c>
      <c r="I1349" t="s">
        <v>48</v>
      </c>
      <c r="J1349">
        <v>1</v>
      </c>
      <c r="K1349">
        <v>3</v>
      </c>
      <c r="L1349">
        <v>0</v>
      </c>
      <c r="M1349">
        <v>1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1</v>
      </c>
      <c r="V1349">
        <v>2</v>
      </c>
      <c r="W1349">
        <v>4</v>
      </c>
      <c r="X1349">
        <v>1039</v>
      </c>
      <c r="Y1349">
        <v>1039</v>
      </c>
      <c r="Z1349">
        <f>AVERAGEIFS(Table1[FinalElo], Table1[Country], Table1[[#This Row],[Country]])</f>
        <v>1049.6228571428571</v>
      </c>
      <c r="AA1349" cm="1">
        <f t="array" ref="AA1349">IF(COUNTIFS(Table1[Country],Table1[[#This Row],[Country]])=1,0, _xlfn.STDEV.S(IF(Table1[Country]=Table1[[#This Row],[Country]],Table1[FinalElo])))</f>
        <v>104.38751437381221</v>
      </c>
      <c r="AB1349">
        <f>IF(Table1[[#This Row],[CStd]]=0,0, (Table1[[#This Row],[FinalElo]]-Table1[[#This Row],[CAvg]]) / Table1[[#This Row],[CStd]])</f>
        <v>-0.10176367553706303</v>
      </c>
      <c r="AC1349" t="str">
        <f>IF(Table1[[#This Row],[CStd]]=0,"Normal", IF(ABS(Table1[[#This Row],[CZscore]])&gt;2,"Outlier","Normal"))</f>
        <v>Normal</v>
      </c>
    </row>
    <row r="1350" spans="1:29" x14ac:dyDescent="0.35">
      <c r="A1350" t="s">
        <v>499</v>
      </c>
      <c r="B1350">
        <v>76.599999999999994</v>
      </c>
      <c r="C1350">
        <v>178</v>
      </c>
      <c r="D1350" t="s">
        <v>52</v>
      </c>
      <c r="E1350">
        <v>30</v>
      </c>
      <c r="F1350" t="s">
        <v>133</v>
      </c>
      <c r="G1350" t="s">
        <v>40</v>
      </c>
      <c r="H1350" t="s">
        <v>29</v>
      </c>
      <c r="I1350" t="s">
        <v>30</v>
      </c>
      <c r="J1350">
        <v>1</v>
      </c>
      <c r="K1350">
        <v>1</v>
      </c>
      <c r="L1350">
        <v>0</v>
      </c>
      <c r="M1350">
        <v>0</v>
      </c>
      <c r="N1350">
        <v>0</v>
      </c>
      <c r="O1350">
        <v>0</v>
      </c>
      <c r="P1350">
        <v>1</v>
      </c>
      <c r="Q1350">
        <v>0</v>
      </c>
      <c r="R1350">
        <v>0</v>
      </c>
      <c r="S1350">
        <v>1</v>
      </c>
      <c r="T1350">
        <v>0</v>
      </c>
      <c r="U1350">
        <v>0</v>
      </c>
      <c r="V1350">
        <v>0</v>
      </c>
      <c r="W1350">
        <v>2</v>
      </c>
      <c r="X1350">
        <v>971.99</v>
      </c>
      <c r="Y1350">
        <v>1100</v>
      </c>
      <c r="Z1350">
        <f>AVERAGEIFS(Table1[FinalElo], Table1[Country], Table1[[#This Row],[Country]])</f>
        <v>1039.8985714285714</v>
      </c>
      <c r="AA1350" cm="1">
        <f t="array" ref="AA1350">IF(COUNTIFS(Table1[Country],Table1[[#This Row],[Country]])=1,0, _xlfn.STDEV.S(IF(Table1[Country]=Table1[[#This Row],[Country]],Table1[FinalElo])))</f>
        <v>194.01778111336392</v>
      </c>
      <c r="AB1350">
        <f>IF(Table1[[#This Row],[CStd]]=0,0, (Table1[[#This Row],[FinalElo]]-Table1[[#This Row],[CAvg]]) / Table1[[#This Row],[CStd]])</f>
        <v>-0.35001210218403955</v>
      </c>
      <c r="AC1350" t="str">
        <f>IF(Table1[[#This Row],[CStd]]=0,"Normal", IF(ABS(Table1[[#This Row],[CZscore]])&gt;2,"Outlier","Normal"))</f>
        <v>Normal</v>
      </c>
    </row>
    <row r="1351" spans="1:29" x14ac:dyDescent="0.35">
      <c r="A1351" t="s">
        <v>497</v>
      </c>
      <c r="B1351">
        <v>56.3</v>
      </c>
      <c r="C1351">
        <v>171</v>
      </c>
      <c r="D1351" t="s">
        <v>89</v>
      </c>
      <c r="E1351">
        <v>19</v>
      </c>
      <c r="F1351" t="s">
        <v>498</v>
      </c>
      <c r="G1351" t="s">
        <v>34</v>
      </c>
      <c r="H1351" t="s">
        <v>29</v>
      </c>
      <c r="I1351" t="s">
        <v>36</v>
      </c>
      <c r="J1351">
        <v>4</v>
      </c>
      <c r="K1351">
        <v>3</v>
      </c>
      <c r="L1351">
        <v>0</v>
      </c>
      <c r="M1351">
        <v>0</v>
      </c>
      <c r="N1351">
        <v>0</v>
      </c>
      <c r="O1351">
        <v>0</v>
      </c>
      <c r="P1351">
        <v>3</v>
      </c>
      <c r="Q1351">
        <v>1</v>
      </c>
      <c r="R1351">
        <v>1</v>
      </c>
      <c r="S1351">
        <v>0</v>
      </c>
      <c r="T1351">
        <v>0</v>
      </c>
      <c r="U1351">
        <v>1</v>
      </c>
      <c r="V1351">
        <v>1</v>
      </c>
      <c r="W1351">
        <v>7</v>
      </c>
      <c r="X1351">
        <v>1058.19</v>
      </c>
      <c r="Y1351">
        <v>1225.8699999999999</v>
      </c>
      <c r="Z1351">
        <f>AVERAGEIFS(Table1[FinalElo], Table1[Country], Table1[[#This Row],[Country]])</f>
        <v>1012.0629025423733</v>
      </c>
      <c r="AA1351" cm="1">
        <f t="array" ref="AA1351">IF(COUNTIFS(Table1[Country],Table1[[#This Row],[Country]])=1,0, _xlfn.STDEV.S(IF(Table1[Country]=Table1[[#This Row],[Country]],Table1[FinalElo])))</f>
        <v>148.42180446198614</v>
      </c>
      <c r="AB1351">
        <f>IF(Table1[[#This Row],[CStd]]=0,0, (Table1[[#This Row],[FinalElo]]-Table1[[#This Row],[CAvg]]) / Table1[[#This Row],[CStd]])</f>
        <v>0.31078383411947291</v>
      </c>
      <c r="AC1351" t="str">
        <f>IF(Table1[[#This Row],[CStd]]=0,"Normal", IF(ABS(Table1[[#This Row],[CZscore]])&gt;2,"Outlier","Normal"))</f>
        <v>Normal</v>
      </c>
    </row>
    <row r="1352" spans="1:29" x14ac:dyDescent="0.35">
      <c r="A1352" t="s">
        <v>495</v>
      </c>
      <c r="B1352">
        <v>120.2</v>
      </c>
      <c r="C1352">
        <v>191</v>
      </c>
      <c r="D1352" t="s">
        <v>60</v>
      </c>
      <c r="E1352">
        <v>47</v>
      </c>
      <c r="F1352" t="s">
        <v>496</v>
      </c>
      <c r="G1352" t="s">
        <v>40</v>
      </c>
      <c r="H1352" t="s">
        <v>29</v>
      </c>
      <c r="I1352" t="s">
        <v>94</v>
      </c>
      <c r="J1352">
        <v>4</v>
      </c>
      <c r="K1352">
        <v>3</v>
      </c>
      <c r="L1352">
        <v>0</v>
      </c>
      <c r="M1352">
        <v>2</v>
      </c>
      <c r="N1352">
        <v>0</v>
      </c>
      <c r="O1352">
        <v>0</v>
      </c>
      <c r="P1352">
        <v>0</v>
      </c>
      <c r="Q1352">
        <v>0</v>
      </c>
      <c r="R1352">
        <v>3</v>
      </c>
      <c r="S1352">
        <v>0</v>
      </c>
      <c r="T1352">
        <v>0</v>
      </c>
      <c r="U1352">
        <v>0</v>
      </c>
      <c r="V1352">
        <v>0</v>
      </c>
      <c r="W1352">
        <v>7</v>
      </c>
      <c r="X1352">
        <v>965.3</v>
      </c>
      <c r="Y1352">
        <v>1268.94</v>
      </c>
      <c r="Z1352">
        <f>AVERAGEIFS(Table1[FinalElo], Table1[Country], Table1[[#This Row],[Country]])</f>
        <v>1034.681315789474</v>
      </c>
      <c r="AA1352" cm="1">
        <f t="array" ref="AA1352">IF(COUNTIFS(Table1[Country],Table1[[#This Row],[Country]])=1,0, _xlfn.STDEV.S(IF(Table1[Country]=Table1[[#This Row],[Country]],Table1[FinalElo])))</f>
        <v>152.902810204692</v>
      </c>
      <c r="AB1352">
        <f>IF(Table1[[#This Row],[CStd]]=0,0, (Table1[[#This Row],[FinalElo]]-Table1[[#This Row],[CAvg]]) / Table1[[#This Row],[CStd]])</f>
        <v>-0.4537608935806528</v>
      </c>
      <c r="AC1352" t="str">
        <f>IF(Table1[[#This Row],[CStd]]=0,"Normal", IF(ABS(Table1[[#This Row],[CZscore]])&gt;2,"Outlier","Normal"))</f>
        <v>Normal</v>
      </c>
    </row>
    <row r="1353" spans="1:29" x14ac:dyDescent="0.35">
      <c r="A1353" t="s">
        <v>494</v>
      </c>
      <c r="B1353">
        <v>66.2</v>
      </c>
      <c r="C1353">
        <v>180</v>
      </c>
      <c r="D1353" t="s">
        <v>89</v>
      </c>
      <c r="E1353">
        <v>19</v>
      </c>
      <c r="F1353" t="s">
        <v>492</v>
      </c>
      <c r="G1353" t="s">
        <v>34</v>
      </c>
      <c r="H1353" t="s">
        <v>29</v>
      </c>
      <c r="I1353" t="s">
        <v>48</v>
      </c>
      <c r="J1353">
        <v>0</v>
      </c>
      <c r="K1353">
        <v>1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1</v>
      </c>
      <c r="X1353">
        <v>900</v>
      </c>
      <c r="Y1353">
        <v>1000</v>
      </c>
      <c r="Z1353">
        <f>AVERAGEIFS(Table1[FinalElo], Table1[Country], Table1[[#This Row],[Country]])</f>
        <v>1012.0629025423733</v>
      </c>
      <c r="AA1353" cm="1">
        <f t="array" ref="AA1353">IF(COUNTIFS(Table1[Country],Table1[[#This Row],[Country]])=1,0, _xlfn.STDEV.S(IF(Table1[Country]=Table1[[#This Row],[Country]],Table1[FinalElo])))</f>
        <v>148.42180446198614</v>
      </c>
      <c r="AB1353">
        <f>IF(Table1[[#This Row],[CStd]]=0,0, (Table1[[#This Row],[FinalElo]]-Table1[[#This Row],[CAvg]]) / Table1[[#This Row],[CStd]])</f>
        <v>-0.75502991591154589</v>
      </c>
      <c r="AC1353" t="str">
        <f>IF(Table1[[#This Row],[CStd]]=0,"Normal", IF(ABS(Table1[[#This Row],[CZscore]])&gt;2,"Outlier","Normal"))</f>
        <v>Normal</v>
      </c>
    </row>
    <row r="1354" spans="1:29" x14ac:dyDescent="0.35">
      <c r="A1354" t="s">
        <v>493</v>
      </c>
      <c r="B1354">
        <v>55.1</v>
      </c>
      <c r="C1354">
        <v>178</v>
      </c>
      <c r="D1354" t="s">
        <v>89</v>
      </c>
      <c r="E1354">
        <v>21</v>
      </c>
      <c r="F1354" t="s">
        <v>492</v>
      </c>
      <c r="G1354" t="s">
        <v>34</v>
      </c>
      <c r="H1354" t="s">
        <v>29</v>
      </c>
      <c r="I1354" t="s">
        <v>36</v>
      </c>
      <c r="J1354">
        <v>0</v>
      </c>
      <c r="K1354">
        <v>1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1</v>
      </c>
      <c r="X1354">
        <v>900</v>
      </c>
      <c r="Y1354">
        <v>1000</v>
      </c>
      <c r="Z1354">
        <f>AVERAGEIFS(Table1[FinalElo], Table1[Country], Table1[[#This Row],[Country]])</f>
        <v>1012.0629025423733</v>
      </c>
      <c r="AA1354" cm="1">
        <f t="array" ref="AA1354">IF(COUNTIFS(Table1[Country],Table1[[#This Row],[Country]])=1,0, _xlfn.STDEV.S(IF(Table1[Country]=Table1[[#This Row],[Country]],Table1[FinalElo])))</f>
        <v>148.42180446198614</v>
      </c>
      <c r="AB1354">
        <f>IF(Table1[[#This Row],[CStd]]=0,0, (Table1[[#This Row],[FinalElo]]-Table1[[#This Row],[CAvg]]) / Table1[[#This Row],[CStd]])</f>
        <v>-0.75502991591154589</v>
      </c>
      <c r="AC1354" t="str">
        <f>IF(Table1[[#This Row],[CStd]]=0,"Normal", IF(ABS(Table1[[#This Row],[CZscore]])&gt;2,"Outlier","Normal"))</f>
        <v>Normal</v>
      </c>
    </row>
    <row r="1355" spans="1:29" x14ac:dyDescent="0.35">
      <c r="A1355" t="s">
        <v>491</v>
      </c>
      <c r="B1355">
        <v>57.606183999999999</v>
      </c>
      <c r="C1355">
        <v>170</v>
      </c>
      <c r="D1355" t="s">
        <v>89</v>
      </c>
      <c r="E1355">
        <v>20</v>
      </c>
      <c r="F1355" t="s">
        <v>492</v>
      </c>
      <c r="G1355" t="s">
        <v>34</v>
      </c>
      <c r="H1355" t="s">
        <v>29</v>
      </c>
      <c r="I1355" t="s">
        <v>58</v>
      </c>
      <c r="J1355">
        <v>0</v>
      </c>
      <c r="K1355">
        <v>1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1</v>
      </c>
      <c r="V1355">
        <v>0</v>
      </c>
      <c r="W1355">
        <v>1</v>
      </c>
      <c r="X1355">
        <v>861.07</v>
      </c>
      <c r="Y1355">
        <v>1000</v>
      </c>
      <c r="Z1355">
        <f>AVERAGEIFS(Table1[FinalElo], Table1[Country], Table1[[#This Row],[Country]])</f>
        <v>1012.0629025423733</v>
      </c>
      <c r="AA1355" cm="1">
        <f t="array" ref="AA1355">IF(COUNTIFS(Table1[Country],Table1[[#This Row],[Country]])=1,0, _xlfn.STDEV.S(IF(Table1[Country]=Table1[[#This Row],[Country]],Table1[FinalElo])))</f>
        <v>148.42180446198614</v>
      </c>
      <c r="AB1355">
        <f>IF(Table1[[#This Row],[CStd]]=0,0, (Table1[[#This Row],[FinalElo]]-Table1[[#This Row],[CAvg]]) / Table1[[#This Row],[CStd]])</f>
        <v>-1.0173229135012007</v>
      </c>
      <c r="AC1355" t="str">
        <f>IF(Table1[[#This Row],[CStd]]=0,"Normal", IF(ABS(Table1[[#This Row],[CZscore]])&gt;2,"Outlier","Normal"))</f>
        <v>Normal</v>
      </c>
    </row>
    <row r="1356" spans="1:29" x14ac:dyDescent="0.35">
      <c r="A1356" t="s">
        <v>489</v>
      </c>
      <c r="B1356">
        <v>61.1</v>
      </c>
      <c r="C1356">
        <v>165</v>
      </c>
      <c r="D1356" t="s">
        <v>244</v>
      </c>
      <c r="E1356">
        <v>28</v>
      </c>
      <c r="F1356" t="s">
        <v>490</v>
      </c>
      <c r="G1356" t="s">
        <v>40</v>
      </c>
      <c r="H1356" t="s">
        <v>29</v>
      </c>
      <c r="I1356" t="s">
        <v>58</v>
      </c>
      <c r="J1356">
        <v>0</v>
      </c>
      <c r="K1356">
        <v>2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1</v>
      </c>
      <c r="T1356">
        <v>0</v>
      </c>
      <c r="U1356">
        <v>0</v>
      </c>
      <c r="V1356">
        <v>0</v>
      </c>
      <c r="W1356">
        <v>2</v>
      </c>
      <c r="X1356">
        <v>871.98</v>
      </c>
      <c r="Y1356">
        <v>1000</v>
      </c>
      <c r="Z1356">
        <f>AVERAGEIFS(Table1[FinalElo], Table1[Country], Table1[[#This Row],[Country]])</f>
        <v>1041.2214285714285</v>
      </c>
      <c r="AA1356" cm="1">
        <f t="array" ref="AA1356">IF(COUNTIFS(Table1[Country],Table1[[#This Row],[Country]])=1,0, _xlfn.STDEV.S(IF(Table1[Country]=Table1[[#This Row],[Country]],Table1[FinalElo])))</f>
        <v>242.01065578665347</v>
      </c>
      <c r="AB1356">
        <f>IF(Table1[[#This Row],[CStd]]=0,0, (Table1[[#This Row],[FinalElo]]-Table1[[#This Row],[CAvg]]) / Table1[[#This Row],[CStd]])</f>
        <v>-0.69931395384765505</v>
      </c>
      <c r="AC1356" t="str">
        <f>IF(Table1[[#This Row],[CStd]]=0,"Normal", IF(ABS(Table1[[#This Row],[CZscore]])&gt;2,"Outlier","Normal"))</f>
        <v>Normal</v>
      </c>
    </row>
    <row r="1357" spans="1:29" x14ac:dyDescent="0.35">
      <c r="A1357" t="s">
        <v>486</v>
      </c>
      <c r="B1357">
        <v>56.5</v>
      </c>
      <c r="C1357">
        <v>155</v>
      </c>
      <c r="D1357" t="s">
        <v>487</v>
      </c>
      <c r="E1357">
        <v>31</v>
      </c>
      <c r="F1357" t="s">
        <v>488</v>
      </c>
      <c r="G1357" t="s">
        <v>40</v>
      </c>
      <c r="H1357" t="s">
        <v>29</v>
      </c>
      <c r="I1357" t="s">
        <v>36</v>
      </c>
      <c r="J1357">
        <v>4</v>
      </c>
      <c r="K1357">
        <v>3</v>
      </c>
      <c r="L1357">
        <v>0</v>
      </c>
      <c r="M1357">
        <v>0</v>
      </c>
      <c r="N1357">
        <v>0</v>
      </c>
      <c r="O1357">
        <v>0</v>
      </c>
      <c r="P1357">
        <v>3</v>
      </c>
      <c r="Q1357">
        <v>0</v>
      </c>
      <c r="R1357">
        <v>0</v>
      </c>
      <c r="S1357">
        <v>1</v>
      </c>
      <c r="T1357">
        <v>0</v>
      </c>
      <c r="U1357">
        <v>2</v>
      </c>
      <c r="V1357">
        <v>0</v>
      </c>
      <c r="W1357">
        <v>7</v>
      </c>
      <c r="X1357">
        <v>1140.76</v>
      </c>
      <c r="Y1357">
        <v>1303.45</v>
      </c>
      <c r="Z1357">
        <f>AVERAGEIFS(Table1[FinalElo], Table1[Country], Table1[[#This Row],[Country]])</f>
        <v>1065.26</v>
      </c>
      <c r="AA1357" cm="1">
        <f t="array" ref="AA1357">IF(COUNTIFS(Table1[Country],Table1[[#This Row],[Country]])=1,0, _xlfn.STDEV.S(IF(Table1[Country]=Table1[[#This Row],[Country]],Table1[FinalElo])))</f>
        <v>106.77312395916867</v>
      </c>
      <c r="AB1357">
        <f>IF(Table1[[#This Row],[CStd]]=0,0, (Table1[[#This Row],[FinalElo]]-Table1[[#This Row],[CAvg]]) / Table1[[#This Row],[CStd]])</f>
        <v>0.70710678118654757</v>
      </c>
      <c r="AC1357" t="str">
        <f>IF(Table1[[#This Row],[CStd]]=0,"Normal", IF(ABS(Table1[[#This Row],[CZscore]])&gt;2,"Outlier","Normal"))</f>
        <v>Normal</v>
      </c>
    </row>
    <row r="1358" spans="1:29" x14ac:dyDescent="0.35">
      <c r="A1358" t="s">
        <v>485</v>
      </c>
      <c r="B1358">
        <v>102.1</v>
      </c>
      <c r="C1358">
        <v>193</v>
      </c>
      <c r="D1358" t="s">
        <v>230</v>
      </c>
      <c r="E1358">
        <v>35</v>
      </c>
      <c r="F1358" t="s">
        <v>296</v>
      </c>
      <c r="G1358" t="s">
        <v>28</v>
      </c>
      <c r="H1358" t="s">
        <v>29</v>
      </c>
      <c r="I1358" t="s">
        <v>94</v>
      </c>
      <c r="J1358">
        <v>0</v>
      </c>
      <c r="K1358">
        <v>1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1</v>
      </c>
      <c r="V1358">
        <v>0</v>
      </c>
      <c r="W1358">
        <v>1</v>
      </c>
      <c r="X1358">
        <v>908.04</v>
      </c>
      <c r="Y1358">
        <v>1000</v>
      </c>
      <c r="Z1358">
        <f>AVERAGEIFS(Table1[FinalElo], Table1[Country], Table1[[#This Row],[Country]])</f>
        <v>963.06500000000005</v>
      </c>
      <c r="AA1358" cm="1">
        <f t="array" ref="AA1358">IF(COUNTIFS(Table1[Country],Table1[[#This Row],[Country]])=1,0, _xlfn.STDEV.S(IF(Table1[Country]=Table1[[#This Row],[Country]],Table1[FinalElo])))</f>
        <v>123.22301205537823</v>
      </c>
      <c r="AB1358">
        <f>IF(Table1[[#This Row],[CStd]]=0,0, (Table1[[#This Row],[FinalElo]]-Table1[[#This Row],[CAvg]]) / Table1[[#This Row],[CStd]])</f>
        <v>-0.44654808450284472</v>
      </c>
      <c r="AC1358" t="str">
        <f>IF(Table1[[#This Row],[CStd]]=0,"Normal", IF(ABS(Table1[[#This Row],[CZscore]])&gt;2,"Outlier","Normal"))</f>
        <v>Normal</v>
      </c>
    </row>
    <row r="1359" spans="1:29" x14ac:dyDescent="0.35">
      <c r="A1359" t="s">
        <v>483</v>
      </c>
      <c r="B1359">
        <v>76.3</v>
      </c>
      <c r="C1359">
        <v>180</v>
      </c>
      <c r="D1359" t="s">
        <v>321</v>
      </c>
      <c r="E1359">
        <v>28</v>
      </c>
      <c r="F1359" t="s">
        <v>484</v>
      </c>
      <c r="G1359" t="s">
        <v>28</v>
      </c>
      <c r="H1359" t="s">
        <v>29</v>
      </c>
      <c r="I1359" t="s">
        <v>30</v>
      </c>
      <c r="J1359">
        <v>2</v>
      </c>
      <c r="K1359">
        <v>1</v>
      </c>
      <c r="L1359">
        <v>0</v>
      </c>
      <c r="M1359">
        <v>1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1</v>
      </c>
      <c r="W1359">
        <v>3</v>
      </c>
      <c r="X1359">
        <v>1106.7</v>
      </c>
      <c r="Y1359">
        <v>1218.8499999999999</v>
      </c>
      <c r="Z1359">
        <f>AVERAGEIFS(Table1[FinalElo], Table1[Country], Table1[[#This Row],[Country]])</f>
        <v>961.33999999999992</v>
      </c>
      <c r="AA1359" cm="1">
        <f t="array" ref="AA1359">IF(COUNTIFS(Table1[Country],Table1[[#This Row],[Country]])=1,0, _xlfn.STDEV.S(IF(Table1[Country]=Table1[[#This Row],[Country]],Table1[FinalElo])))</f>
        <v>86.427762032809824</v>
      </c>
      <c r="AB1359">
        <f>IF(Table1[[#This Row],[CStd]]=0,0, (Table1[[#This Row],[FinalElo]]-Table1[[#This Row],[CAvg]]) / Table1[[#This Row],[CStd]])</f>
        <v>1.68186699020181</v>
      </c>
      <c r="AC1359" t="str">
        <f>IF(Table1[[#This Row],[CStd]]=0,"Normal", IF(ABS(Table1[[#This Row],[CZscore]])&gt;2,"Outlier","Normal"))</f>
        <v>Normal</v>
      </c>
    </row>
    <row r="1360" spans="1:29" x14ac:dyDescent="0.35">
      <c r="A1360" t="s">
        <v>481</v>
      </c>
      <c r="B1360">
        <v>56.7</v>
      </c>
      <c r="C1360">
        <v>174</v>
      </c>
      <c r="D1360" t="s">
        <v>384</v>
      </c>
      <c r="E1360">
        <v>26</v>
      </c>
      <c r="F1360" t="s">
        <v>482</v>
      </c>
      <c r="G1360" t="s">
        <v>34</v>
      </c>
      <c r="H1360" t="s">
        <v>29</v>
      </c>
      <c r="I1360" t="s">
        <v>58</v>
      </c>
      <c r="J1360">
        <v>0</v>
      </c>
      <c r="K1360">
        <v>1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1</v>
      </c>
      <c r="X1360">
        <v>937.23</v>
      </c>
      <c r="Y1360">
        <v>1000</v>
      </c>
      <c r="Z1360">
        <f>AVERAGEIFS(Table1[FinalElo], Table1[Country], Table1[[#This Row],[Country]])</f>
        <v>1054.6869565217391</v>
      </c>
      <c r="AA1360" cm="1">
        <f t="array" ref="AA1360">IF(COUNTIFS(Table1[Country],Table1[[#This Row],[Country]])=1,0, _xlfn.STDEV.S(IF(Table1[Country]=Table1[[#This Row],[Country]],Table1[FinalElo])))</f>
        <v>191.2923801275472</v>
      </c>
      <c r="AB1360">
        <f>IF(Table1[[#This Row],[CStd]]=0,0, (Table1[[#This Row],[FinalElo]]-Table1[[#This Row],[CAvg]]) / Table1[[#This Row],[CStd]])</f>
        <v>-0.6140179574503849</v>
      </c>
      <c r="AC1360" t="str">
        <f>IF(Table1[[#This Row],[CStd]]=0,"Normal", IF(ABS(Table1[[#This Row],[CZscore]])&gt;2,"Outlier","Normal"))</f>
        <v>Normal</v>
      </c>
    </row>
    <row r="1361" spans="1:29" x14ac:dyDescent="0.35">
      <c r="A1361" t="s">
        <v>479</v>
      </c>
      <c r="B1361">
        <v>83.9</v>
      </c>
      <c r="C1361">
        <v>182</v>
      </c>
      <c r="D1361" t="s">
        <v>116</v>
      </c>
      <c r="E1361">
        <v>32</v>
      </c>
      <c r="F1361" t="s">
        <v>480</v>
      </c>
      <c r="G1361" t="s">
        <v>28</v>
      </c>
      <c r="H1361" t="s">
        <v>29</v>
      </c>
      <c r="I1361" t="s">
        <v>50</v>
      </c>
      <c r="J1361">
        <v>1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1</v>
      </c>
      <c r="X1361">
        <v>1100</v>
      </c>
      <c r="Y1361">
        <v>1100</v>
      </c>
      <c r="Z1361">
        <f>AVERAGEIFS(Table1[FinalElo], Table1[Country], Table1[[#This Row],[Country]])</f>
        <v>980.88090909090931</v>
      </c>
      <c r="AA1361" cm="1">
        <f t="array" ref="AA1361">IF(COUNTIFS(Table1[Country],Table1[[#This Row],[Country]])=1,0, _xlfn.STDEV.S(IF(Table1[Country]=Table1[[#This Row],[Country]],Table1[FinalElo])))</f>
        <v>133.41794796376408</v>
      </c>
      <c r="AB1361">
        <f>IF(Table1[[#This Row],[CStd]]=0,0, (Table1[[#This Row],[FinalElo]]-Table1[[#This Row],[CAvg]]) / Table1[[#This Row],[CStd]])</f>
        <v>0.89282658538147419</v>
      </c>
      <c r="AC1361" t="str">
        <f>IF(Table1[[#This Row],[CStd]]=0,"Normal", IF(ABS(Table1[[#This Row],[CZscore]])&gt;2,"Outlier","Normal"))</f>
        <v>Normal</v>
      </c>
    </row>
    <row r="1362" spans="1:29" x14ac:dyDescent="0.35">
      <c r="A1362" t="s">
        <v>478</v>
      </c>
      <c r="B1362">
        <v>55.338223999999997</v>
      </c>
      <c r="C1362">
        <v>171</v>
      </c>
      <c r="D1362" t="s">
        <v>89</v>
      </c>
      <c r="E1362">
        <v>21</v>
      </c>
      <c r="F1362" t="s">
        <v>110</v>
      </c>
      <c r="G1362" t="s">
        <v>34</v>
      </c>
      <c r="H1362" t="s">
        <v>29</v>
      </c>
      <c r="I1362" t="s">
        <v>36</v>
      </c>
      <c r="J1362">
        <v>1</v>
      </c>
      <c r="K1362">
        <v>2</v>
      </c>
      <c r="L1362">
        <v>0</v>
      </c>
      <c r="M1362">
        <v>0</v>
      </c>
      <c r="N1362">
        <v>0</v>
      </c>
      <c r="O1362">
        <v>0</v>
      </c>
      <c r="P1362">
        <v>1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3</v>
      </c>
      <c r="X1362">
        <v>889.87</v>
      </c>
      <c r="Y1362">
        <v>1028.01</v>
      </c>
      <c r="Z1362">
        <f>AVERAGEIFS(Table1[FinalElo], Table1[Country], Table1[[#This Row],[Country]])</f>
        <v>1012.0629025423733</v>
      </c>
      <c r="AA1362" cm="1">
        <f t="array" ref="AA1362">IF(COUNTIFS(Table1[Country],Table1[[#This Row],[Country]])=1,0, _xlfn.STDEV.S(IF(Table1[Country]=Table1[[#This Row],[Country]],Table1[FinalElo])))</f>
        <v>148.42180446198614</v>
      </c>
      <c r="AB1362">
        <f>IF(Table1[[#This Row],[CStd]]=0,0, (Table1[[#This Row],[FinalElo]]-Table1[[#This Row],[CAvg]]) / Table1[[#This Row],[CStd]])</f>
        <v>-0.82328134323194679</v>
      </c>
      <c r="AC1362" t="str">
        <f>IF(Table1[[#This Row],[CStd]]=0,"Normal", IF(ABS(Table1[[#This Row],[CZscore]])&gt;2,"Outlier","Normal"))</f>
        <v>Normal</v>
      </c>
    </row>
    <row r="1363" spans="1:29" x14ac:dyDescent="0.35">
      <c r="A1363" t="s">
        <v>477</v>
      </c>
      <c r="B1363">
        <v>75.900000000000006</v>
      </c>
      <c r="C1363">
        <v>170</v>
      </c>
      <c r="D1363" t="s">
        <v>52</v>
      </c>
      <c r="E1363">
        <v>28</v>
      </c>
      <c r="F1363">
        <v>0</v>
      </c>
      <c r="G1363" t="s">
        <v>40</v>
      </c>
      <c r="H1363" t="s">
        <v>29</v>
      </c>
      <c r="I1363" t="s">
        <v>30</v>
      </c>
      <c r="J1363">
        <v>0</v>
      </c>
      <c r="K1363">
        <v>2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1</v>
      </c>
      <c r="S1363">
        <v>1</v>
      </c>
      <c r="T1363">
        <v>0</v>
      </c>
      <c r="U1363">
        <v>0</v>
      </c>
      <c r="V1363">
        <v>0</v>
      </c>
      <c r="W1363">
        <v>2</v>
      </c>
      <c r="X1363">
        <v>872.66</v>
      </c>
      <c r="Y1363">
        <v>1000</v>
      </c>
      <c r="Z1363">
        <f>AVERAGEIFS(Table1[FinalElo], Table1[Country], Table1[[#This Row],[Country]])</f>
        <v>1039.8985714285714</v>
      </c>
      <c r="AA1363" cm="1">
        <f t="array" ref="AA1363">IF(COUNTIFS(Table1[Country],Table1[[#This Row],[Country]])=1,0, _xlfn.STDEV.S(IF(Table1[Country]=Table1[[#This Row],[Country]],Table1[FinalElo])))</f>
        <v>194.01778111336392</v>
      </c>
      <c r="AB1363">
        <f>IF(Table1[[#This Row],[CStd]]=0,0, (Table1[[#This Row],[FinalElo]]-Table1[[#This Row],[CAvg]]) / Table1[[#This Row],[CStd]])</f>
        <v>-0.86197548734388663</v>
      </c>
      <c r="AC1363" t="str">
        <f>IF(Table1[[#This Row],[CStd]]=0,"Normal", IF(ABS(Table1[[#This Row],[CZscore]])&gt;2,"Outlier","Normal"))</f>
        <v>Normal</v>
      </c>
    </row>
    <row r="1364" spans="1:29" x14ac:dyDescent="0.35">
      <c r="A1364" t="s">
        <v>476</v>
      </c>
      <c r="B1364">
        <v>56.7</v>
      </c>
      <c r="C1364">
        <v>175</v>
      </c>
      <c r="D1364" t="s">
        <v>174</v>
      </c>
      <c r="E1364">
        <v>19</v>
      </c>
      <c r="F1364" t="s">
        <v>133</v>
      </c>
      <c r="G1364" t="s">
        <v>34</v>
      </c>
      <c r="H1364" t="s">
        <v>29</v>
      </c>
      <c r="I1364" t="s">
        <v>58</v>
      </c>
      <c r="J1364">
        <v>0</v>
      </c>
      <c r="K1364">
        <v>1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1</v>
      </c>
      <c r="V1364">
        <v>0</v>
      </c>
      <c r="W1364">
        <v>1</v>
      </c>
      <c r="X1364">
        <v>928.01</v>
      </c>
      <c r="Y1364">
        <v>1000</v>
      </c>
      <c r="Z1364">
        <f>AVERAGEIFS(Table1[FinalElo], Table1[Country], Table1[[#This Row],[Country]])</f>
        <v>980.52444444444427</v>
      </c>
      <c r="AA1364" cm="1">
        <f t="array" ref="AA1364">IF(COUNTIFS(Table1[Country],Table1[[#This Row],[Country]])=1,0, _xlfn.STDEV.S(IF(Table1[Country]=Table1[[#This Row],[Country]],Table1[FinalElo])))</f>
        <v>143.66034832022171</v>
      </c>
      <c r="AB1364">
        <f>IF(Table1[[#This Row],[CStd]]=0,0, (Table1[[#This Row],[FinalElo]]-Table1[[#This Row],[CAvg]]) / Table1[[#This Row],[CStd]])</f>
        <v>-0.36554585213303648</v>
      </c>
      <c r="AC1364" t="str">
        <f>IF(Table1[[#This Row],[CStd]]=0,"Normal", IF(ABS(Table1[[#This Row],[CZscore]])&gt;2,"Outlier","Normal"))</f>
        <v>Normal</v>
      </c>
    </row>
    <row r="1365" spans="1:29" x14ac:dyDescent="0.35">
      <c r="A1365" t="s">
        <v>475</v>
      </c>
      <c r="B1365">
        <v>63.049287999999997</v>
      </c>
      <c r="C1365">
        <v>168</v>
      </c>
      <c r="D1365" t="s">
        <v>89</v>
      </c>
      <c r="E1365">
        <v>25</v>
      </c>
      <c r="F1365" t="s">
        <v>87</v>
      </c>
      <c r="G1365" t="s">
        <v>34</v>
      </c>
      <c r="H1365" t="s">
        <v>29</v>
      </c>
      <c r="I1365" t="s">
        <v>73</v>
      </c>
      <c r="J1365">
        <v>3</v>
      </c>
      <c r="K1365">
        <v>1</v>
      </c>
      <c r="L1365">
        <v>0</v>
      </c>
      <c r="M1365">
        <v>0</v>
      </c>
      <c r="N1365">
        <v>0</v>
      </c>
      <c r="O1365">
        <v>0</v>
      </c>
      <c r="P1365">
        <v>1</v>
      </c>
      <c r="Q1365">
        <v>1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4</v>
      </c>
      <c r="X1365">
        <v>1260.24</v>
      </c>
      <c r="Y1365">
        <v>1260.24</v>
      </c>
      <c r="Z1365">
        <f>AVERAGEIFS(Table1[FinalElo], Table1[Country], Table1[[#This Row],[Country]])</f>
        <v>1012.0629025423733</v>
      </c>
      <c r="AA1365" cm="1">
        <f t="array" ref="AA1365">IF(COUNTIFS(Table1[Country],Table1[[#This Row],[Country]])=1,0, _xlfn.STDEV.S(IF(Table1[Country]=Table1[[#This Row],[Country]],Table1[FinalElo])))</f>
        <v>148.42180446198614</v>
      </c>
      <c r="AB1365">
        <f>IF(Table1[[#This Row],[CStd]]=0,0, (Table1[[#This Row],[FinalElo]]-Table1[[#This Row],[CAvg]]) / Table1[[#This Row],[CStd]])</f>
        <v>1.6721067255397095</v>
      </c>
      <c r="AC1365" t="str">
        <f>IF(Table1[[#This Row],[CStd]]=0,"Normal", IF(ABS(Table1[[#This Row],[CZscore]])&gt;2,"Outlier","Normal"))</f>
        <v>Normal</v>
      </c>
    </row>
    <row r="1366" spans="1:29" x14ac:dyDescent="0.35">
      <c r="A1366" t="s">
        <v>474</v>
      </c>
      <c r="B1366">
        <v>77.11</v>
      </c>
      <c r="C1366">
        <v>183</v>
      </c>
      <c r="D1366" t="s">
        <v>32</v>
      </c>
      <c r="E1366">
        <v>31</v>
      </c>
      <c r="F1366" t="s">
        <v>90</v>
      </c>
      <c r="G1366" t="s">
        <v>40</v>
      </c>
      <c r="H1366" t="s">
        <v>29</v>
      </c>
      <c r="I1366" t="s">
        <v>50</v>
      </c>
      <c r="J1366">
        <v>1</v>
      </c>
      <c r="K1366">
        <v>1</v>
      </c>
      <c r="L1366">
        <v>0</v>
      </c>
      <c r="M1366">
        <v>0</v>
      </c>
      <c r="N1366">
        <v>1</v>
      </c>
      <c r="O1366">
        <v>0</v>
      </c>
      <c r="P1366">
        <v>0</v>
      </c>
      <c r="Q1366">
        <v>0</v>
      </c>
      <c r="R1366">
        <v>0</v>
      </c>
      <c r="S1366">
        <v>1</v>
      </c>
      <c r="T1366">
        <v>0</v>
      </c>
      <c r="U1366">
        <v>0</v>
      </c>
      <c r="V1366">
        <v>0</v>
      </c>
      <c r="W1366">
        <v>2</v>
      </c>
      <c r="X1366">
        <v>971.99</v>
      </c>
      <c r="Y1366">
        <v>1100</v>
      </c>
      <c r="Z1366">
        <f>AVERAGEIFS(Table1[FinalElo], Table1[Country], Table1[[#This Row],[Country]])</f>
        <v>1025.3786885245902</v>
      </c>
      <c r="AA1366" cm="1">
        <f t="array" ref="AA1366">IF(COUNTIFS(Table1[Country],Table1[[#This Row],[Country]])=1,0, _xlfn.STDEV.S(IF(Table1[Country]=Table1[[#This Row],[Country]],Table1[FinalElo])))</f>
        <v>144.71595558743479</v>
      </c>
      <c r="AB1366">
        <f>IF(Table1[[#This Row],[CStd]]=0,0, (Table1[[#This Row],[FinalElo]]-Table1[[#This Row],[CAvg]]) / Table1[[#This Row],[CStd]])</f>
        <v>-0.36892054029476862</v>
      </c>
      <c r="AC1366" t="str">
        <f>IF(Table1[[#This Row],[CStd]]=0,"Normal", IF(ABS(Table1[[#This Row],[CZscore]])&gt;2,"Outlier","Normal"))</f>
        <v>Normal</v>
      </c>
    </row>
    <row r="1367" spans="1:29" x14ac:dyDescent="0.35">
      <c r="A1367" t="s">
        <v>472</v>
      </c>
      <c r="B1367">
        <v>55.791815999999997</v>
      </c>
      <c r="C1367">
        <v>164</v>
      </c>
      <c r="D1367" t="s">
        <v>89</v>
      </c>
      <c r="E1367">
        <v>25</v>
      </c>
      <c r="F1367" t="s">
        <v>473</v>
      </c>
      <c r="G1367" t="s">
        <v>34</v>
      </c>
      <c r="H1367" t="s">
        <v>29</v>
      </c>
      <c r="I1367" t="s">
        <v>36</v>
      </c>
      <c r="J1367">
        <v>0</v>
      </c>
      <c r="K1367">
        <v>2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1</v>
      </c>
      <c r="S1367">
        <v>0</v>
      </c>
      <c r="T1367">
        <v>0</v>
      </c>
      <c r="U1367">
        <v>0</v>
      </c>
      <c r="V1367">
        <v>0</v>
      </c>
      <c r="W1367">
        <v>2</v>
      </c>
      <c r="X1367">
        <v>854.93</v>
      </c>
      <c r="Y1367">
        <v>1000</v>
      </c>
      <c r="Z1367">
        <f>AVERAGEIFS(Table1[FinalElo], Table1[Country], Table1[[#This Row],[Country]])</f>
        <v>1012.0629025423733</v>
      </c>
      <c r="AA1367" cm="1">
        <f t="array" ref="AA1367">IF(COUNTIFS(Table1[Country],Table1[[#This Row],[Country]])=1,0, _xlfn.STDEV.S(IF(Table1[Country]=Table1[[#This Row],[Country]],Table1[FinalElo])))</f>
        <v>148.42180446198614</v>
      </c>
      <c r="AB1367">
        <f>IF(Table1[[#This Row],[CStd]]=0,0, (Table1[[#This Row],[FinalElo]]-Table1[[#This Row],[CAvg]]) / Table1[[#This Row],[CStd]])</f>
        <v>-1.0586914982738826</v>
      </c>
      <c r="AC1367" t="str">
        <f>IF(Table1[[#This Row],[CStd]]=0,"Normal", IF(ABS(Table1[[#This Row],[CZscore]])&gt;2,"Outlier","Normal"))</f>
        <v>Normal</v>
      </c>
    </row>
    <row r="1368" spans="1:29" x14ac:dyDescent="0.35">
      <c r="A1368" t="s">
        <v>470</v>
      </c>
      <c r="B1368">
        <v>69.900000000000006</v>
      </c>
      <c r="C1368">
        <v>178</v>
      </c>
      <c r="D1368" t="s">
        <v>193</v>
      </c>
      <c r="E1368">
        <v>23</v>
      </c>
      <c r="F1368" t="s">
        <v>471</v>
      </c>
      <c r="G1368" t="s">
        <v>40</v>
      </c>
      <c r="H1368" t="s">
        <v>29</v>
      </c>
      <c r="I1368" t="s">
        <v>48</v>
      </c>
      <c r="J1368">
        <v>0</v>
      </c>
      <c r="K1368">
        <v>1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1</v>
      </c>
      <c r="T1368">
        <v>0</v>
      </c>
      <c r="U1368">
        <v>0</v>
      </c>
      <c r="V1368">
        <v>0</v>
      </c>
      <c r="W1368">
        <v>1</v>
      </c>
      <c r="X1368">
        <v>918.63</v>
      </c>
      <c r="Y1368">
        <v>1000</v>
      </c>
      <c r="Z1368">
        <f>AVERAGEIFS(Table1[FinalElo], Table1[Country], Table1[[#This Row],[Country]])</f>
        <v>997.06500000000005</v>
      </c>
      <c r="AA1368" cm="1">
        <f t="array" ref="AA1368">IF(COUNTIFS(Table1[Country],Table1[[#This Row],[Country]])=1,0, _xlfn.STDEV.S(IF(Table1[Country]=Table1[[#This Row],[Country]],Table1[FinalElo])))</f>
        <v>135.83076329441192</v>
      </c>
      <c r="AB1368">
        <f>IF(Table1[[#This Row],[CStd]]=0,0, (Table1[[#This Row],[FinalElo]]-Table1[[#This Row],[CAvg]]) / Table1[[#This Row],[CStd]])</f>
        <v>-0.57744650841719058</v>
      </c>
      <c r="AC1368" t="str">
        <f>IF(Table1[[#This Row],[CStd]]=0,"Normal", IF(ABS(Table1[[#This Row],[CZscore]])&gt;2,"Outlier","Normal"))</f>
        <v>Normal</v>
      </c>
    </row>
    <row r="1369" spans="1:29" x14ac:dyDescent="0.35">
      <c r="A1369" t="s">
        <v>467</v>
      </c>
      <c r="B1369">
        <v>66.8</v>
      </c>
      <c r="C1369">
        <v>170</v>
      </c>
      <c r="D1369" t="s">
        <v>468</v>
      </c>
      <c r="E1369">
        <v>45</v>
      </c>
      <c r="F1369" t="s">
        <v>469</v>
      </c>
      <c r="G1369" t="s">
        <v>40</v>
      </c>
      <c r="H1369" t="s">
        <v>29</v>
      </c>
      <c r="I1369" t="s">
        <v>48</v>
      </c>
      <c r="J1369">
        <v>12</v>
      </c>
      <c r="K1369">
        <v>4</v>
      </c>
      <c r="L1369">
        <v>0</v>
      </c>
      <c r="M1369">
        <v>0</v>
      </c>
      <c r="N1369">
        <v>4</v>
      </c>
      <c r="O1369">
        <v>1</v>
      </c>
      <c r="P1369">
        <v>3</v>
      </c>
      <c r="Q1369">
        <v>3</v>
      </c>
      <c r="R1369">
        <v>0</v>
      </c>
      <c r="S1369">
        <v>0</v>
      </c>
      <c r="T1369">
        <v>0</v>
      </c>
      <c r="U1369">
        <v>2</v>
      </c>
      <c r="V1369">
        <v>1</v>
      </c>
      <c r="W1369">
        <v>16</v>
      </c>
      <c r="X1369">
        <v>1356.01</v>
      </c>
      <c r="Y1369">
        <v>1662.78</v>
      </c>
      <c r="Z1369">
        <f>AVERAGEIFS(Table1[FinalElo], Table1[Country], Table1[[#This Row],[Country]])</f>
        <v>1128.0050000000001</v>
      </c>
      <c r="AA1369" cm="1">
        <f t="array" ref="AA1369">IF(COUNTIFS(Table1[Country],Table1[[#This Row],[Country]])=1,0, _xlfn.STDEV.S(IF(Table1[Country]=Table1[[#This Row],[Country]],Table1[FinalElo])))</f>
        <v>322.44776328887679</v>
      </c>
      <c r="AB1369">
        <f>IF(Table1[[#This Row],[CStd]]=0,0, (Table1[[#This Row],[FinalElo]]-Table1[[#This Row],[CAvg]]) / Table1[[#This Row],[CStd]])</f>
        <v>0.70710678118654879</v>
      </c>
      <c r="AC1369" t="str">
        <f>IF(Table1[[#This Row],[CStd]]=0,"Normal", IF(ABS(Table1[[#This Row],[CZscore]])&gt;2,"Outlier","Normal"))</f>
        <v>Normal</v>
      </c>
    </row>
    <row r="1370" spans="1:29" x14ac:dyDescent="0.35">
      <c r="A1370" t="s">
        <v>463</v>
      </c>
      <c r="B1370">
        <v>56.7</v>
      </c>
      <c r="C1370">
        <v>169</v>
      </c>
      <c r="D1370" t="s">
        <v>116</v>
      </c>
      <c r="E1370">
        <v>34</v>
      </c>
      <c r="F1370" t="s">
        <v>464</v>
      </c>
      <c r="G1370" t="s">
        <v>40</v>
      </c>
      <c r="H1370" t="s">
        <v>29</v>
      </c>
      <c r="I1370" t="s">
        <v>58</v>
      </c>
      <c r="J1370">
        <v>2</v>
      </c>
      <c r="K1370">
        <v>0</v>
      </c>
      <c r="L1370">
        <v>0</v>
      </c>
      <c r="M1370">
        <v>1</v>
      </c>
      <c r="N1370">
        <v>0</v>
      </c>
      <c r="O1370">
        <v>0</v>
      </c>
      <c r="P1370">
        <v>1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2</v>
      </c>
      <c r="X1370">
        <v>1139.48</v>
      </c>
      <c r="Y1370">
        <v>1139.48</v>
      </c>
      <c r="Z1370">
        <f>AVERAGEIFS(Table1[FinalElo], Table1[Country], Table1[[#This Row],[Country]])</f>
        <v>980.88090909090931</v>
      </c>
      <c r="AA1370" cm="1">
        <f t="array" ref="AA1370">IF(COUNTIFS(Table1[Country],Table1[[#This Row],[Country]])=1,0, _xlfn.STDEV.S(IF(Table1[Country]=Table1[[#This Row],[Country]],Table1[FinalElo])))</f>
        <v>133.41794796376408</v>
      </c>
      <c r="AB1370">
        <f>IF(Table1[[#This Row],[CStd]]=0,0, (Table1[[#This Row],[FinalElo]]-Table1[[#This Row],[CAvg]]) / Table1[[#This Row],[CStd]])</f>
        <v>1.1887387966135243</v>
      </c>
      <c r="AC1370" t="str">
        <f>IF(Table1[[#This Row],[CStd]]=0,"Normal", IF(ABS(Table1[[#This Row],[CZscore]])&gt;2,"Outlier","Normal"))</f>
        <v>Normal</v>
      </c>
    </row>
    <row r="1371" spans="1:29" x14ac:dyDescent="0.35">
      <c r="A1371" t="s">
        <v>461</v>
      </c>
      <c r="B1371">
        <v>52.1</v>
      </c>
      <c r="C1371">
        <v>150</v>
      </c>
      <c r="D1371" t="s">
        <v>120</v>
      </c>
      <c r="E1371">
        <v>35</v>
      </c>
      <c r="F1371" t="s">
        <v>462</v>
      </c>
      <c r="G1371" t="s">
        <v>40</v>
      </c>
      <c r="H1371" t="s">
        <v>29</v>
      </c>
      <c r="I1371" t="s">
        <v>55</v>
      </c>
      <c r="J1371">
        <v>3</v>
      </c>
      <c r="K1371">
        <v>5</v>
      </c>
      <c r="L1371">
        <v>0</v>
      </c>
      <c r="M1371">
        <v>1</v>
      </c>
      <c r="N1371">
        <v>0</v>
      </c>
      <c r="O1371">
        <v>0</v>
      </c>
      <c r="P1371">
        <v>0</v>
      </c>
      <c r="Q1371">
        <v>2</v>
      </c>
      <c r="R1371">
        <v>0</v>
      </c>
      <c r="S1371">
        <v>0</v>
      </c>
      <c r="T1371">
        <v>0</v>
      </c>
      <c r="U1371">
        <v>4</v>
      </c>
      <c r="V1371">
        <v>1</v>
      </c>
      <c r="W1371">
        <v>8</v>
      </c>
      <c r="X1371">
        <v>871.52</v>
      </c>
      <c r="Y1371">
        <v>1100</v>
      </c>
      <c r="Z1371">
        <f>AVERAGEIFS(Table1[FinalElo], Table1[Country], Table1[[#This Row],[Country]])</f>
        <v>1123.29</v>
      </c>
      <c r="AA1371" cm="1">
        <f t="array" ref="AA1371">IF(COUNTIFS(Table1[Country],Table1[[#This Row],[Country]])=1,0, _xlfn.STDEV.S(IF(Table1[Country]=Table1[[#This Row],[Country]],Table1[FinalElo])))</f>
        <v>356.0565485986744</v>
      </c>
      <c r="AB1371">
        <f>IF(Table1[[#This Row],[CStd]]=0,0, (Table1[[#This Row],[FinalElo]]-Table1[[#This Row],[CAvg]]) / Table1[[#This Row],[CStd]])</f>
        <v>-0.70710678118654702</v>
      </c>
      <c r="AC1371" t="str">
        <f>IF(Table1[[#This Row],[CStd]]=0,"Normal", IF(ABS(Table1[[#This Row],[CZscore]])&gt;2,"Outlier","Normal"))</f>
        <v>Normal</v>
      </c>
    </row>
    <row r="1372" spans="1:29" x14ac:dyDescent="0.35">
      <c r="A1372" t="s">
        <v>460</v>
      </c>
      <c r="B1372">
        <v>55.7</v>
      </c>
      <c r="C1372">
        <v>170</v>
      </c>
      <c r="D1372" t="s">
        <v>89</v>
      </c>
      <c r="E1372">
        <v>23</v>
      </c>
      <c r="F1372" t="s">
        <v>99</v>
      </c>
      <c r="G1372" t="s">
        <v>34</v>
      </c>
      <c r="H1372" t="s">
        <v>29</v>
      </c>
      <c r="I1372" t="s">
        <v>36</v>
      </c>
      <c r="J1372">
        <v>1</v>
      </c>
      <c r="K1372">
        <v>1</v>
      </c>
      <c r="L1372">
        <v>0</v>
      </c>
      <c r="M1372">
        <v>1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1</v>
      </c>
      <c r="V1372">
        <v>0</v>
      </c>
      <c r="W1372">
        <v>2</v>
      </c>
      <c r="X1372">
        <v>1065.8499999999999</v>
      </c>
      <c r="Y1372">
        <v>1065.8499999999999</v>
      </c>
      <c r="Z1372">
        <f>AVERAGEIFS(Table1[FinalElo], Table1[Country], Table1[[#This Row],[Country]])</f>
        <v>1012.0629025423733</v>
      </c>
      <c r="AA1372" cm="1">
        <f t="array" ref="AA1372">IF(COUNTIFS(Table1[Country],Table1[[#This Row],[Country]])=1,0, _xlfn.STDEV.S(IF(Table1[Country]=Table1[[#This Row],[Country]],Table1[FinalElo])))</f>
        <v>148.42180446198614</v>
      </c>
      <c r="AB1372">
        <f>IF(Table1[[#This Row],[CStd]]=0,0, (Table1[[#This Row],[FinalElo]]-Table1[[#This Row],[CAvg]]) / Table1[[#This Row],[CStd]])</f>
        <v>0.36239350176747498</v>
      </c>
      <c r="AC1372" t="str">
        <f>IF(Table1[[#This Row],[CStd]]=0,"Normal", IF(ABS(Table1[[#This Row],[CZscore]])&gt;2,"Outlier","Normal"))</f>
        <v>Normal</v>
      </c>
    </row>
    <row r="1373" spans="1:29" x14ac:dyDescent="0.35">
      <c r="A1373" t="s">
        <v>458</v>
      </c>
      <c r="B1373">
        <v>101.8</v>
      </c>
      <c r="C1373">
        <v>190</v>
      </c>
      <c r="D1373" t="s">
        <v>38</v>
      </c>
      <c r="E1373">
        <v>31</v>
      </c>
      <c r="F1373" t="s">
        <v>459</v>
      </c>
      <c r="G1373" t="s">
        <v>34</v>
      </c>
      <c r="H1373" t="s">
        <v>29</v>
      </c>
      <c r="I1373" t="s">
        <v>297</v>
      </c>
      <c r="J1373">
        <v>4</v>
      </c>
      <c r="K1373">
        <v>2</v>
      </c>
      <c r="L1373">
        <v>0</v>
      </c>
      <c r="M1373">
        <v>1</v>
      </c>
      <c r="N1373">
        <v>0</v>
      </c>
      <c r="O1373">
        <v>0</v>
      </c>
      <c r="P1373">
        <v>2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6</v>
      </c>
      <c r="X1373">
        <v>1159.8699999999999</v>
      </c>
      <c r="Y1373">
        <v>1159.8699999999999</v>
      </c>
      <c r="Z1373">
        <f>AVERAGEIFS(Table1[FinalElo], Table1[Country], Table1[[#This Row],[Country]])</f>
        <v>1057.4495402298851</v>
      </c>
      <c r="AA1373" cm="1">
        <f t="array" ref="AA1373">IF(COUNTIFS(Table1[Country],Table1[[#This Row],[Country]])=1,0, _xlfn.STDEV.S(IF(Table1[Country]=Table1[[#This Row],[Country]],Table1[FinalElo])))</f>
        <v>156.98667602259493</v>
      </c>
      <c r="AB1373">
        <f>IF(Table1[[#This Row],[CStd]]=0,0, (Table1[[#This Row],[FinalElo]]-Table1[[#This Row],[CAvg]]) / Table1[[#This Row],[CStd]])</f>
        <v>0.65241498428423017</v>
      </c>
      <c r="AC1373" t="str">
        <f>IF(Table1[[#This Row],[CStd]]=0,"Normal", IF(ABS(Table1[[#This Row],[CZscore]])&gt;2,"Outlier","Normal"))</f>
        <v>Normal</v>
      </c>
    </row>
    <row r="1374" spans="1:29" x14ac:dyDescent="0.35">
      <c r="A1374" t="s">
        <v>456</v>
      </c>
      <c r="B1374">
        <v>47.63</v>
      </c>
      <c r="C1374">
        <v>165</v>
      </c>
      <c r="D1374" t="s">
        <v>89</v>
      </c>
      <c r="E1374">
        <v>17</v>
      </c>
      <c r="F1374" t="s">
        <v>457</v>
      </c>
      <c r="G1374" t="s">
        <v>34</v>
      </c>
      <c r="H1374" t="s">
        <v>29</v>
      </c>
      <c r="I1374" t="s">
        <v>55</v>
      </c>
      <c r="J1374">
        <v>1</v>
      </c>
      <c r="K1374">
        <v>1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2</v>
      </c>
      <c r="X1374">
        <v>1036.04</v>
      </c>
      <c r="Y1374">
        <v>1115.47</v>
      </c>
      <c r="Z1374">
        <f>AVERAGEIFS(Table1[FinalElo], Table1[Country], Table1[[#This Row],[Country]])</f>
        <v>1012.0629025423733</v>
      </c>
      <c r="AA1374" cm="1">
        <f t="array" ref="AA1374">IF(COUNTIFS(Table1[Country],Table1[[#This Row],[Country]])=1,0, _xlfn.STDEV.S(IF(Table1[Country]=Table1[[#This Row],[Country]],Table1[FinalElo])))</f>
        <v>148.42180446198614</v>
      </c>
      <c r="AB1374">
        <f>IF(Table1[[#This Row],[CStd]]=0,0, (Table1[[#This Row],[FinalElo]]-Table1[[#This Row],[CAvg]]) / Table1[[#This Row],[CStd]])</f>
        <v>0.1615470014297507</v>
      </c>
      <c r="AC1374" t="str">
        <f>IF(Table1[[#This Row],[CStd]]=0,"Normal", IF(ABS(Table1[[#This Row],[CZscore]])&gt;2,"Outlier","Normal"))</f>
        <v>Normal</v>
      </c>
    </row>
    <row r="1375" spans="1:29" x14ac:dyDescent="0.35">
      <c r="A1375" t="s">
        <v>454</v>
      </c>
      <c r="B1375">
        <v>83.2</v>
      </c>
      <c r="C1375">
        <v>175</v>
      </c>
      <c r="D1375" t="s">
        <v>52</v>
      </c>
      <c r="E1375">
        <v>36</v>
      </c>
      <c r="F1375" t="s">
        <v>455</v>
      </c>
      <c r="G1375" t="s">
        <v>40</v>
      </c>
      <c r="H1375" t="s">
        <v>29</v>
      </c>
      <c r="I1375" t="s">
        <v>50</v>
      </c>
      <c r="J1375">
        <v>0</v>
      </c>
      <c r="K1375">
        <v>2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1</v>
      </c>
      <c r="T1375">
        <v>0</v>
      </c>
      <c r="U1375">
        <v>1</v>
      </c>
      <c r="V1375">
        <v>0</v>
      </c>
      <c r="W1375">
        <v>2</v>
      </c>
      <c r="X1375">
        <v>826.72</v>
      </c>
      <c r="Y1375">
        <v>1000</v>
      </c>
      <c r="Z1375">
        <f>AVERAGEIFS(Table1[FinalElo], Table1[Country], Table1[[#This Row],[Country]])</f>
        <v>1039.8985714285714</v>
      </c>
      <c r="AA1375" cm="1">
        <f t="array" ref="AA1375">IF(COUNTIFS(Table1[Country],Table1[[#This Row],[Country]])=1,0, _xlfn.STDEV.S(IF(Table1[Country]=Table1[[#This Row],[Country]],Table1[FinalElo])))</f>
        <v>194.01778111336392</v>
      </c>
      <c r="AB1375">
        <f>IF(Table1[[#This Row],[CStd]]=0,0, (Table1[[#This Row],[FinalElo]]-Table1[[#This Row],[CAvg]]) / Table1[[#This Row],[CStd]])</f>
        <v>-1.0987579087094694</v>
      </c>
      <c r="AC1375" t="str">
        <f>IF(Table1[[#This Row],[CStd]]=0,"Normal", IF(ABS(Table1[[#This Row],[CZscore]])&gt;2,"Outlier","Normal"))</f>
        <v>Normal</v>
      </c>
    </row>
    <row r="1376" spans="1:29" x14ac:dyDescent="0.35">
      <c r="A1376" t="s">
        <v>451</v>
      </c>
      <c r="B1376">
        <v>102.06</v>
      </c>
      <c r="C1376">
        <v>191</v>
      </c>
      <c r="D1376" t="s">
        <v>452</v>
      </c>
      <c r="E1376">
        <v>31</v>
      </c>
      <c r="F1376" t="s">
        <v>453</v>
      </c>
      <c r="G1376" t="s">
        <v>40</v>
      </c>
      <c r="H1376" t="s">
        <v>29</v>
      </c>
      <c r="I1376" t="s">
        <v>94</v>
      </c>
      <c r="J1376">
        <v>1</v>
      </c>
      <c r="K1376">
        <v>1</v>
      </c>
      <c r="L1376">
        <v>1</v>
      </c>
      <c r="M1376">
        <v>0</v>
      </c>
      <c r="N1376">
        <v>1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1</v>
      </c>
      <c r="V1376">
        <v>0</v>
      </c>
      <c r="W1376">
        <v>3</v>
      </c>
      <c r="X1376">
        <v>1058.73</v>
      </c>
      <c r="Y1376">
        <v>1137.18</v>
      </c>
      <c r="Z1376">
        <f>AVERAGEIFS(Table1[FinalElo], Table1[Country], Table1[[#This Row],[Country]])</f>
        <v>1035.0040000000001</v>
      </c>
      <c r="AA1376" cm="1">
        <f t="array" ref="AA1376">IF(COUNTIFS(Table1[Country],Table1[[#This Row],[Country]])=1,0, _xlfn.STDEV.S(IF(Table1[Country]=Table1[[#This Row],[Country]],Table1[FinalElo])))</f>
        <v>97.988999790792832</v>
      </c>
      <c r="AB1376">
        <f>IF(Table1[[#This Row],[CStd]]=0,0, (Table1[[#This Row],[FinalElo]]-Table1[[#This Row],[CAvg]]) / Table1[[#This Row],[CStd]])</f>
        <v>0.24212921910270596</v>
      </c>
      <c r="AC1376" t="str">
        <f>IF(Table1[[#This Row],[CStd]]=0,"Normal", IF(ABS(Table1[[#This Row],[CZscore]])&gt;2,"Outlier","Normal"))</f>
        <v>Normal</v>
      </c>
    </row>
    <row r="1377" spans="1:29" x14ac:dyDescent="0.35">
      <c r="A1377" t="s">
        <v>449</v>
      </c>
      <c r="B1377">
        <v>102.06</v>
      </c>
      <c r="C1377">
        <v>188</v>
      </c>
      <c r="D1377" t="s">
        <v>52</v>
      </c>
      <c r="E1377">
        <v>42</v>
      </c>
      <c r="F1377" t="s">
        <v>450</v>
      </c>
      <c r="G1377" t="s">
        <v>40</v>
      </c>
      <c r="H1377" t="s">
        <v>29</v>
      </c>
      <c r="I1377" t="s">
        <v>94</v>
      </c>
      <c r="J1377">
        <v>0</v>
      </c>
      <c r="K1377">
        <v>1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1</v>
      </c>
      <c r="X1377">
        <v>900</v>
      </c>
      <c r="Y1377">
        <v>1000</v>
      </c>
      <c r="Z1377">
        <f>AVERAGEIFS(Table1[FinalElo], Table1[Country], Table1[[#This Row],[Country]])</f>
        <v>1039.8985714285714</v>
      </c>
      <c r="AA1377" cm="1">
        <f t="array" ref="AA1377">IF(COUNTIFS(Table1[Country],Table1[[#This Row],[Country]])=1,0, _xlfn.STDEV.S(IF(Table1[Country]=Table1[[#This Row],[Country]],Table1[FinalElo])))</f>
        <v>194.01778111336392</v>
      </c>
      <c r="AB1377">
        <f>IF(Table1[[#This Row],[CStd]]=0,0, (Table1[[#This Row],[FinalElo]]-Table1[[#This Row],[CAvg]]) / Table1[[#This Row],[CStd]])</f>
        <v>-0.72106056788078154</v>
      </c>
      <c r="AC1377" t="str">
        <f>IF(Table1[[#This Row],[CStd]]=0,"Normal", IF(ABS(Table1[[#This Row],[CZscore]])&gt;2,"Outlier","Normal"))</f>
        <v>Normal</v>
      </c>
    </row>
    <row r="1378" spans="1:29" x14ac:dyDescent="0.35">
      <c r="A1378" t="s">
        <v>447</v>
      </c>
      <c r="B1378">
        <v>58.96696</v>
      </c>
      <c r="C1378">
        <v>162</v>
      </c>
      <c r="D1378" t="s">
        <v>140</v>
      </c>
      <c r="E1378">
        <v>25</v>
      </c>
      <c r="F1378" t="s">
        <v>448</v>
      </c>
      <c r="G1378" t="s">
        <v>40</v>
      </c>
      <c r="H1378" t="s">
        <v>29</v>
      </c>
      <c r="I1378" t="s">
        <v>58</v>
      </c>
      <c r="J1378">
        <v>1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1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1</v>
      </c>
      <c r="X1378">
        <v>1168.23</v>
      </c>
      <c r="Y1378">
        <v>1168.23</v>
      </c>
      <c r="Z1378">
        <f>AVERAGEIFS(Table1[FinalElo], Table1[Country], Table1[[#This Row],[Country]])</f>
        <v>1002.675294117647</v>
      </c>
      <c r="AA1378" cm="1">
        <f t="array" ref="AA1378">IF(COUNTIFS(Table1[Country],Table1[[#This Row],[Country]])=1,0, _xlfn.STDEV.S(IF(Table1[Country]=Table1[[#This Row],[Country]],Table1[FinalElo])))</f>
        <v>171.59712028169514</v>
      </c>
      <c r="AB1378">
        <f>IF(Table1[[#This Row],[CStd]]=0,0, (Table1[[#This Row],[FinalElo]]-Table1[[#This Row],[CAvg]]) / Table1[[#This Row],[CStd]])</f>
        <v>0.96478720394944351</v>
      </c>
      <c r="AC1378" t="str">
        <f>IF(Table1[[#This Row],[CStd]]=0,"Normal", IF(ABS(Table1[[#This Row],[CZscore]])&gt;2,"Outlier","Normal"))</f>
        <v>Normal</v>
      </c>
    </row>
    <row r="1379" spans="1:29" x14ac:dyDescent="0.35">
      <c r="A1379" t="s">
        <v>444</v>
      </c>
      <c r="B1379">
        <v>72.574719999999999</v>
      </c>
      <c r="C1379">
        <v>178</v>
      </c>
      <c r="D1379" t="s">
        <v>445</v>
      </c>
      <c r="E1379">
        <v>29</v>
      </c>
      <c r="F1379" t="s">
        <v>446</v>
      </c>
      <c r="G1379" t="s">
        <v>34</v>
      </c>
      <c r="H1379" t="s">
        <v>29</v>
      </c>
      <c r="I1379" t="s">
        <v>30</v>
      </c>
      <c r="J1379">
        <v>1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1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1</v>
      </c>
      <c r="X1379">
        <v>1128.01</v>
      </c>
      <c r="Y1379">
        <v>1128.01</v>
      </c>
      <c r="Z1379">
        <f>AVERAGEIFS(Table1[FinalElo], Table1[Country], Table1[[#This Row],[Country]])</f>
        <v>1128.01</v>
      </c>
      <c r="AA1379" cm="1">
        <f t="array" ref="AA1379">IF(COUNTIFS(Table1[Country],Table1[[#This Row],[Country]])=1,0, _xlfn.STDEV.S(IF(Table1[Country]=Table1[[#This Row],[Country]],Table1[FinalElo])))</f>
        <v>0</v>
      </c>
      <c r="AB1379">
        <f>IF(Table1[[#This Row],[CStd]]=0,0, (Table1[[#This Row],[FinalElo]]-Table1[[#This Row],[CAvg]]) / Table1[[#This Row],[CStd]])</f>
        <v>0</v>
      </c>
      <c r="AC1379" t="str">
        <f>IF(Table1[[#This Row],[CStd]]=0,"Normal", IF(ABS(Table1[[#This Row],[CZscore]])&gt;2,"Outlier","Normal"))</f>
        <v>Normal</v>
      </c>
    </row>
    <row r="1380" spans="1:29" x14ac:dyDescent="0.35">
      <c r="A1380" t="s">
        <v>442</v>
      </c>
      <c r="B1380">
        <v>104</v>
      </c>
      <c r="C1380">
        <v>185</v>
      </c>
      <c r="D1380" t="s">
        <v>38</v>
      </c>
      <c r="E1380">
        <v>33</v>
      </c>
      <c r="F1380" t="s">
        <v>443</v>
      </c>
      <c r="G1380" t="s">
        <v>40</v>
      </c>
      <c r="H1380" t="s">
        <v>29</v>
      </c>
      <c r="I1380" t="s">
        <v>94</v>
      </c>
      <c r="J1380">
        <v>0</v>
      </c>
      <c r="K1380">
        <v>1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1</v>
      </c>
      <c r="S1380">
        <v>0</v>
      </c>
      <c r="T1380">
        <v>0</v>
      </c>
      <c r="U1380">
        <v>0</v>
      </c>
      <c r="V1380">
        <v>0</v>
      </c>
      <c r="W1380">
        <v>1</v>
      </c>
      <c r="X1380">
        <v>901.64</v>
      </c>
      <c r="Y1380">
        <v>1000</v>
      </c>
      <c r="Z1380">
        <f>AVERAGEIFS(Table1[FinalElo], Table1[Country], Table1[[#This Row],[Country]])</f>
        <v>1057.4495402298851</v>
      </c>
      <c r="AA1380" cm="1">
        <f t="array" ref="AA1380">IF(COUNTIFS(Table1[Country],Table1[[#This Row],[Country]])=1,0, _xlfn.STDEV.S(IF(Table1[Country]=Table1[[#This Row],[Country]],Table1[FinalElo])))</f>
        <v>156.98667602259493</v>
      </c>
      <c r="AB1380">
        <f>IF(Table1[[#This Row],[CStd]]=0,0, (Table1[[#This Row],[FinalElo]]-Table1[[#This Row],[CAvg]]) / Table1[[#This Row],[CStd]])</f>
        <v>-0.99250168343878808</v>
      </c>
      <c r="AC1380" t="str">
        <f>IF(Table1[[#This Row],[CStd]]=0,"Normal", IF(ABS(Table1[[#This Row],[CZscore]])&gt;2,"Outlier","Normal"))</f>
        <v>Normal</v>
      </c>
    </row>
    <row r="1381" spans="1:29" x14ac:dyDescent="0.35">
      <c r="A1381" t="s">
        <v>440</v>
      </c>
      <c r="B1381">
        <v>61.23</v>
      </c>
      <c r="C1381">
        <v>176</v>
      </c>
      <c r="D1381" t="s">
        <v>270</v>
      </c>
      <c r="E1381">
        <v>24</v>
      </c>
      <c r="F1381" t="s">
        <v>441</v>
      </c>
      <c r="G1381" t="s">
        <v>40</v>
      </c>
      <c r="H1381" t="s">
        <v>29</v>
      </c>
      <c r="I1381" t="s">
        <v>73</v>
      </c>
      <c r="J1381">
        <v>1</v>
      </c>
      <c r="K1381">
        <v>0</v>
      </c>
      <c r="L1381">
        <v>0</v>
      </c>
      <c r="M1381">
        <v>1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1</v>
      </c>
      <c r="X1381">
        <v>1100</v>
      </c>
      <c r="Y1381">
        <v>1100</v>
      </c>
      <c r="Z1381">
        <f>AVERAGEIFS(Table1[FinalElo], Table1[Country], Table1[[#This Row],[Country]])</f>
        <v>1084.24</v>
      </c>
      <c r="AA1381" cm="1">
        <f t="array" ref="AA1381">IF(COUNTIFS(Table1[Country],Table1[[#This Row],[Country]])=1,0, _xlfn.STDEV.S(IF(Table1[Country]=Table1[[#This Row],[Country]],Table1[FinalElo])))</f>
        <v>156.18548191173187</v>
      </c>
      <c r="AB1381">
        <f>IF(Table1[[#This Row],[CStd]]=0,0, (Table1[[#This Row],[FinalElo]]-Table1[[#This Row],[CAvg]]) / Table1[[#This Row],[CStd]])</f>
        <v>0.10090566554007079</v>
      </c>
      <c r="AC1381" t="str">
        <f>IF(Table1[[#This Row],[CStd]]=0,"Normal", IF(ABS(Table1[[#This Row],[CZscore]])&gt;2,"Outlier","Normal"))</f>
        <v>Normal</v>
      </c>
    </row>
    <row r="1382" spans="1:29" x14ac:dyDescent="0.35">
      <c r="A1382" t="s">
        <v>438</v>
      </c>
      <c r="B1382">
        <v>61.688512000000003</v>
      </c>
      <c r="C1382">
        <v>173</v>
      </c>
      <c r="D1382" t="s">
        <v>89</v>
      </c>
      <c r="E1382">
        <v>30</v>
      </c>
      <c r="F1382" t="s">
        <v>439</v>
      </c>
      <c r="G1382" t="s">
        <v>34</v>
      </c>
      <c r="H1382" t="s">
        <v>29</v>
      </c>
      <c r="I1382" t="s">
        <v>73</v>
      </c>
      <c r="J1382">
        <v>1</v>
      </c>
      <c r="K1382">
        <v>2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1</v>
      </c>
      <c r="V1382">
        <v>0</v>
      </c>
      <c r="W1382">
        <v>3</v>
      </c>
      <c r="X1382">
        <v>948.44</v>
      </c>
      <c r="Y1382">
        <v>1000</v>
      </c>
      <c r="Z1382">
        <f>AVERAGEIFS(Table1[FinalElo], Table1[Country], Table1[[#This Row],[Country]])</f>
        <v>1012.0629025423733</v>
      </c>
      <c r="AA1382" cm="1">
        <f t="array" ref="AA1382">IF(COUNTIFS(Table1[Country],Table1[[#This Row],[Country]])=1,0, _xlfn.STDEV.S(IF(Table1[Country]=Table1[[#This Row],[Country]],Table1[FinalElo])))</f>
        <v>148.42180446198614</v>
      </c>
      <c r="AB1382">
        <f>IF(Table1[[#This Row],[CStd]]=0,0, (Table1[[#This Row],[FinalElo]]-Table1[[#This Row],[CAvg]]) / Table1[[#This Row],[CStd]])</f>
        <v>-0.42866277480589704</v>
      </c>
      <c r="AC1382" t="str">
        <f>IF(Table1[[#This Row],[CStd]]=0,"Normal", IF(ABS(Table1[[#This Row],[CZscore]])&gt;2,"Outlier","Normal"))</f>
        <v>Normal</v>
      </c>
    </row>
    <row r="1383" spans="1:29" x14ac:dyDescent="0.35">
      <c r="A1383" t="s">
        <v>435</v>
      </c>
      <c r="B1383">
        <v>65.77</v>
      </c>
      <c r="C1383">
        <v>175</v>
      </c>
      <c r="D1383" t="s">
        <v>436</v>
      </c>
      <c r="E1383">
        <v>32</v>
      </c>
      <c r="F1383" t="s">
        <v>437</v>
      </c>
      <c r="G1383" t="s">
        <v>40</v>
      </c>
      <c r="H1383" t="s">
        <v>29</v>
      </c>
      <c r="I1383" t="s">
        <v>48</v>
      </c>
      <c r="J1383">
        <v>0</v>
      </c>
      <c r="K1383">
        <v>0</v>
      </c>
      <c r="L1383">
        <v>1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1</v>
      </c>
      <c r="X1383">
        <v>1000</v>
      </c>
      <c r="Y1383">
        <v>1000</v>
      </c>
      <c r="Z1383">
        <f>AVERAGEIFS(Table1[FinalElo], Table1[Country], Table1[[#This Row],[Country]])</f>
        <v>1053.6925000000001</v>
      </c>
      <c r="AA1383" cm="1">
        <f t="array" ref="AA1383">IF(COUNTIFS(Table1[Country],Table1[[#This Row],[Country]])=1,0, _xlfn.STDEV.S(IF(Table1[Country]=Table1[[#This Row],[Country]],Table1[FinalElo])))</f>
        <v>84.046811311712901</v>
      </c>
      <c r="AB1383">
        <f>IF(Table1[[#This Row],[CStd]]=0,0, (Table1[[#This Row],[FinalElo]]-Table1[[#This Row],[CAvg]]) / Table1[[#This Row],[CStd]])</f>
        <v>-0.63884041716782458</v>
      </c>
      <c r="AC1383" t="str">
        <f>IF(Table1[[#This Row],[CStd]]=0,"Normal", IF(ABS(Table1[[#This Row],[CZscore]])&gt;2,"Outlier","Normal"))</f>
        <v>Normal</v>
      </c>
    </row>
    <row r="1384" spans="1:29" x14ac:dyDescent="0.35">
      <c r="A1384" t="s">
        <v>434</v>
      </c>
      <c r="B1384">
        <v>52.16</v>
      </c>
      <c r="C1384">
        <v>166</v>
      </c>
      <c r="D1384" t="s">
        <v>32</v>
      </c>
      <c r="E1384">
        <v>29</v>
      </c>
      <c r="F1384" t="s">
        <v>33</v>
      </c>
      <c r="G1384" t="s">
        <v>34</v>
      </c>
      <c r="H1384" t="s">
        <v>29</v>
      </c>
      <c r="I1384" t="s">
        <v>36</v>
      </c>
      <c r="J1384">
        <v>0</v>
      </c>
      <c r="K1384">
        <v>1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1</v>
      </c>
      <c r="V1384">
        <v>0</v>
      </c>
      <c r="W1384">
        <v>1</v>
      </c>
      <c r="X1384">
        <v>900</v>
      </c>
      <c r="Y1384">
        <v>1000</v>
      </c>
      <c r="Z1384">
        <f>AVERAGEIFS(Table1[FinalElo], Table1[Country], Table1[[#This Row],[Country]])</f>
        <v>1025.3786885245902</v>
      </c>
      <c r="AA1384" cm="1">
        <f t="array" ref="AA1384">IF(COUNTIFS(Table1[Country],Table1[[#This Row],[Country]])=1,0, _xlfn.STDEV.S(IF(Table1[Country]=Table1[[#This Row],[Country]],Table1[FinalElo])))</f>
        <v>144.71595558743479</v>
      </c>
      <c r="AB1384">
        <f>IF(Table1[[#This Row],[CStd]]=0,0, (Table1[[#This Row],[FinalElo]]-Table1[[#This Row],[CAvg]]) / Table1[[#This Row],[CStd]])</f>
        <v>-0.86637778132791055</v>
      </c>
      <c r="AC1384" t="str">
        <f>IF(Table1[[#This Row],[CStd]]=0,"Normal", IF(ABS(Table1[[#This Row],[CZscore]])&gt;2,"Outlier","Normal"))</f>
        <v>Normal</v>
      </c>
    </row>
    <row r="1385" spans="1:29" x14ac:dyDescent="0.35">
      <c r="A1385" t="s">
        <v>432</v>
      </c>
      <c r="B1385">
        <v>62.4</v>
      </c>
      <c r="C1385">
        <v>169</v>
      </c>
      <c r="D1385" t="s">
        <v>89</v>
      </c>
      <c r="E1385">
        <v>25</v>
      </c>
      <c r="F1385" t="s">
        <v>433</v>
      </c>
      <c r="G1385" t="s">
        <v>34</v>
      </c>
      <c r="H1385" t="s">
        <v>29</v>
      </c>
      <c r="I1385" t="s">
        <v>73</v>
      </c>
      <c r="J1385">
        <v>1</v>
      </c>
      <c r="K1385">
        <v>1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2</v>
      </c>
      <c r="X1385">
        <v>1013.74</v>
      </c>
      <c r="Y1385">
        <v>1100</v>
      </c>
      <c r="Z1385">
        <f>AVERAGEIFS(Table1[FinalElo], Table1[Country], Table1[[#This Row],[Country]])</f>
        <v>1012.0629025423733</v>
      </c>
      <c r="AA1385" cm="1">
        <f t="array" ref="AA1385">IF(COUNTIFS(Table1[Country],Table1[[#This Row],[Country]])=1,0, _xlfn.STDEV.S(IF(Table1[Country]=Table1[[#This Row],[Country]],Table1[FinalElo])))</f>
        <v>148.42180446198614</v>
      </c>
      <c r="AB1385">
        <f>IF(Table1[[#This Row],[CStd]]=0,0, (Table1[[#This Row],[FinalElo]]-Table1[[#This Row],[CAvg]]) / Table1[[#This Row],[CStd]])</f>
        <v>1.1299535561543721E-2</v>
      </c>
      <c r="AC1385" t="str">
        <f>IF(Table1[[#This Row],[CStd]]=0,"Normal", IF(ABS(Table1[[#This Row],[CZscore]])&gt;2,"Outlier","Normal"))</f>
        <v>Normal</v>
      </c>
    </row>
    <row r="1386" spans="1:29" x14ac:dyDescent="0.35">
      <c r="A1386" t="s">
        <v>430</v>
      </c>
      <c r="B1386">
        <v>76.3</v>
      </c>
      <c r="C1386">
        <v>180</v>
      </c>
      <c r="D1386" t="s">
        <v>89</v>
      </c>
      <c r="E1386">
        <v>30</v>
      </c>
      <c r="F1386" t="s">
        <v>431</v>
      </c>
      <c r="G1386" t="s">
        <v>54</v>
      </c>
      <c r="H1386" t="s">
        <v>29</v>
      </c>
      <c r="I1386" t="s">
        <v>30</v>
      </c>
      <c r="J1386">
        <v>0</v>
      </c>
      <c r="K1386">
        <v>1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1</v>
      </c>
      <c r="T1386">
        <v>0</v>
      </c>
      <c r="U1386">
        <v>0</v>
      </c>
      <c r="V1386">
        <v>0</v>
      </c>
      <c r="W1386">
        <v>1</v>
      </c>
      <c r="X1386">
        <v>900</v>
      </c>
      <c r="Y1386">
        <v>1000</v>
      </c>
      <c r="Z1386">
        <f>AVERAGEIFS(Table1[FinalElo], Table1[Country], Table1[[#This Row],[Country]])</f>
        <v>1012.0629025423733</v>
      </c>
      <c r="AA1386" cm="1">
        <f t="array" ref="AA1386">IF(COUNTIFS(Table1[Country],Table1[[#This Row],[Country]])=1,0, _xlfn.STDEV.S(IF(Table1[Country]=Table1[[#This Row],[Country]],Table1[FinalElo])))</f>
        <v>148.42180446198614</v>
      </c>
      <c r="AB1386">
        <f>IF(Table1[[#This Row],[CStd]]=0,0, (Table1[[#This Row],[FinalElo]]-Table1[[#This Row],[CAvg]]) / Table1[[#This Row],[CStd]])</f>
        <v>-0.75502991591154589</v>
      </c>
      <c r="AC1386" t="str">
        <f>IF(Table1[[#This Row],[CStd]]=0,"Normal", IF(ABS(Table1[[#This Row],[CZscore]])&gt;2,"Outlier","Normal"))</f>
        <v>Normal</v>
      </c>
    </row>
    <row r="1387" spans="1:29" x14ac:dyDescent="0.35">
      <c r="A1387" t="s">
        <v>428</v>
      </c>
      <c r="B1387">
        <v>57</v>
      </c>
      <c r="C1387">
        <v>170</v>
      </c>
      <c r="D1387" t="s">
        <v>82</v>
      </c>
      <c r="E1387">
        <v>21</v>
      </c>
      <c r="F1387" t="s">
        <v>429</v>
      </c>
      <c r="G1387" t="s">
        <v>34</v>
      </c>
      <c r="H1387" t="s">
        <v>29</v>
      </c>
      <c r="I1387" t="s">
        <v>58</v>
      </c>
      <c r="J1387">
        <v>1</v>
      </c>
      <c r="K1387">
        <v>1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1</v>
      </c>
      <c r="V1387">
        <v>0</v>
      </c>
      <c r="W1387">
        <v>2</v>
      </c>
      <c r="X1387">
        <v>942.7</v>
      </c>
      <c r="Y1387">
        <v>1100</v>
      </c>
      <c r="Z1387">
        <f>AVERAGEIFS(Table1[FinalElo], Table1[Country], Table1[[#This Row],[Country]])</f>
        <v>1012.5275373134326</v>
      </c>
      <c r="AA1387" cm="1">
        <f t="array" ref="AA1387">IF(COUNTIFS(Table1[Country],Table1[[#This Row],[Country]])=1,0, _xlfn.STDEV.S(IF(Table1[Country]=Table1[[#This Row],[Country]],Table1[FinalElo])))</f>
        <v>135.61062237674741</v>
      </c>
      <c r="AB1387">
        <f>IF(Table1[[#This Row],[CStd]]=0,0, (Table1[[#This Row],[FinalElo]]-Table1[[#This Row],[CAvg]]) / Table1[[#This Row],[CStd]])</f>
        <v>-0.51491200386530789</v>
      </c>
      <c r="AC1387" t="str">
        <f>IF(Table1[[#This Row],[CStd]]=0,"Normal", IF(ABS(Table1[[#This Row],[CZscore]])&gt;2,"Outlier","Normal"))</f>
        <v>Normal</v>
      </c>
    </row>
    <row r="1388" spans="1:29" x14ac:dyDescent="0.35">
      <c r="A1388" t="s">
        <v>426</v>
      </c>
      <c r="B1388">
        <v>60.6</v>
      </c>
      <c r="C1388">
        <v>173</v>
      </c>
      <c r="D1388" t="s">
        <v>116</v>
      </c>
      <c r="E1388">
        <v>28</v>
      </c>
      <c r="F1388" t="s">
        <v>427</v>
      </c>
      <c r="G1388" t="s">
        <v>40</v>
      </c>
      <c r="H1388" t="s">
        <v>29</v>
      </c>
      <c r="I1388" t="s">
        <v>58</v>
      </c>
      <c r="J1388">
        <v>1</v>
      </c>
      <c r="K1388">
        <v>2</v>
      </c>
      <c r="L1388">
        <v>1</v>
      </c>
      <c r="M1388">
        <v>0</v>
      </c>
      <c r="N1388">
        <v>0</v>
      </c>
      <c r="O1388">
        <v>0</v>
      </c>
      <c r="P1388">
        <v>1</v>
      </c>
      <c r="Q1388">
        <v>0</v>
      </c>
      <c r="R1388">
        <v>1</v>
      </c>
      <c r="S1388">
        <v>0</v>
      </c>
      <c r="T1388">
        <v>0</v>
      </c>
      <c r="U1388">
        <v>1</v>
      </c>
      <c r="V1388">
        <v>0</v>
      </c>
      <c r="W1388">
        <v>4</v>
      </c>
      <c r="X1388">
        <v>893.86</v>
      </c>
      <c r="Y1388">
        <v>1002.98</v>
      </c>
      <c r="Z1388">
        <f>AVERAGEIFS(Table1[FinalElo], Table1[Country], Table1[[#This Row],[Country]])</f>
        <v>980.88090909090931</v>
      </c>
      <c r="AA1388" cm="1">
        <f t="array" ref="AA1388">IF(COUNTIFS(Table1[Country],Table1[[#This Row],[Country]])=1,0, _xlfn.STDEV.S(IF(Table1[Country]=Table1[[#This Row],[Country]],Table1[FinalElo])))</f>
        <v>133.41794796376408</v>
      </c>
      <c r="AB1388">
        <f>IF(Table1[[#This Row],[CStd]]=0,0, (Table1[[#This Row],[FinalElo]]-Table1[[#This Row],[CAvg]]) / Table1[[#This Row],[CStd]])</f>
        <v>-0.65224289849326655</v>
      </c>
      <c r="AC1388" t="str">
        <f>IF(Table1[[#This Row],[CStd]]=0,"Normal", IF(ABS(Table1[[#This Row],[CZscore]])&gt;2,"Outlier","Normal"))</f>
        <v>Normal</v>
      </c>
    </row>
    <row r="1389" spans="1:29" x14ac:dyDescent="0.35">
      <c r="A1389" t="s">
        <v>424</v>
      </c>
      <c r="B1389">
        <v>47.63</v>
      </c>
      <c r="C1389">
        <v>159</v>
      </c>
      <c r="D1389" t="s">
        <v>89</v>
      </c>
      <c r="E1389">
        <v>28</v>
      </c>
      <c r="F1389" t="s">
        <v>425</v>
      </c>
      <c r="G1389" t="s">
        <v>34</v>
      </c>
      <c r="H1389" t="s">
        <v>29</v>
      </c>
      <c r="I1389" t="s">
        <v>55</v>
      </c>
      <c r="J1389">
        <v>3</v>
      </c>
      <c r="K1389">
        <v>1</v>
      </c>
      <c r="L1389">
        <v>0</v>
      </c>
      <c r="M1389">
        <v>1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1</v>
      </c>
      <c r="V1389">
        <v>0</v>
      </c>
      <c r="W1389">
        <v>4</v>
      </c>
      <c r="X1389">
        <v>1161.8</v>
      </c>
      <c r="Y1389">
        <v>1305.08</v>
      </c>
      <c r="Z1389">
        <f>AVERAGEIFS(Table1[FinalElo], Table1[Country], Table1[[#This Row],[Country]])</f>
        <v>1012.0629025423733</v>
      </c>
      <c r="AA1389" cm="1">
        <f t="array" ref="AA1389">IF(COUNTIFS(Table1[Country],Table1[[#This Row],[Country]])=1,0, _xlfn.STDEV.S(IF(Table1[Country]=Table1[[#This Row],[Country]],Table1[FinalElo])))</f>
        <v>148.42180446198614</v>
      </c>
      <c r="AB1389">
        <f>IF(Table1[[#This Row],[CStd]]=0,0, (Table1[[#This Row],[FinalElo]]-Table1[[#This Row],[CAvg]]) / Table1[[#This Row],[CStd]])</f>
        <v>1.0088618582721609</v>
      </c>
      <c r="AC1389" t="str">
        <f>IF(Table1[[#This Row],[CStd]]=0,"Normal", IF(ABS(Table1[[#This Row],[CZscore]])&gt;2,"Outlier","Normal"))</f>
        <v>Normal</v>
      </c>
    </row>
    <row r="1390" spans="1:29" x14ac:dyDescent="0.35">
      <c r="A1390" t="s">
        <v>422</v>
      </c>
      <c r="B1390">
        <v>65.77</v>
      </c>
      <c r="C1390">
        <v>187</v>
      </c>
      <c r="D1390" t="s">
        <v>423</v>
      </c>
      <c r="E1390">
        <v>30</v>
      </c>
      <c r="F1390" t="s">
        <v>87</v>
      </c>
      <c r="G1390" t="s">
        <v>34</v>
      </c>
      <c r="H1390" t="s">
        <v>29</v>
      </c>
      <c r="I1390" t="s">
        <v>48</v>
      </c>
      <c r="J1390">
        <v>2</v>
      </c>
      <c r="K1390">
        <v>1</v>
      </c>
      <c r="L1390">
        <v>0</v>
      </c>
      <c r="M1390">
        <v>2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1</v>
      </c>
      <c r="V1390">
        <v>0</v>
      </c>
      <c r="W1390">
        <v>3</v>
      </c>
      <c r="X1390">
        <v>1129.94</v>
      </c>
      <c r="Y1390">
        <v>1129.94</v>
      </c>
      <c r="Z1390">
        <f>AVERAGEIFS(Table1[FinalElo], Table1[Country], Table1[[#This Row],[Country]])</f>
        <v>1129.94</v>
      </c>
      <c r="AA1390" cm="1">
        <f t="array" ref="AA1390">IF(COUNTIFS(Table1[Country],Table1[[#This Row],[Country]])=1,0, _xlfn.STDEV.S(IF(Table1[Country]=Table1[[#This Row],[Country]],Table1[FinalElo])))</f>
        <v>0</v>
      </c>
      <c r="AB1390">
        <f>IF(Table1[[#This Row],[CStd]]=0,0, (Table1[[#This Row],[FinalElo]]-Table1[[#This Row],[CAvg]]) / Table1[[#This Row],[CStd]])</f>
        <v>0</v>
      </c>
      <c r="AC1390" t="str">
        <f>IF(Table1[[#This Row],[CStd]]=0,"Normal", IF(ABS(Table1[[#This Row],[CZscore]])&gt;2,"Outlier","Normal"))</f>
        <v>Normal</v>
      </c>
    </row>
    <row r="1391" spans="1:29" hidden="1" x14ac:dyDescent="0.35">
      <c r="A1391" t="s">
        <v>2434</v>
      </c>
      <c r="B1391">
        <v>55.9</v>
      </c>
      <c r="C1391">
        <v>165</v>
      </c>
      <c r="D1391" t="s">
        <v>52</v>
      </c>
      <c r="E1391">
        <v>31</v>
      </c>
      <c r="F1391" t="s">
        <v>660</v>
      </c>
      <c r="G1391" t="s">
        <v>2435</v>
      </c>
      <c r="H1391" t="s">
        <v>35</v>
      </c>
      <c r="I1391" t="s">
        <v>36</v>
      </c>
      <c r="J1391">
        <v>2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2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2</v>
      </c>
      <c r="X1391">
        <v>1192.75</v>
      </c>
      <c r="Y1391">
        <v>1192.75</v>
      </c>
      <c r="Z1391">
        <f>AVERAGEIFS(Table1[FinalElo], Table1[Country], Table1[[#This Row],[Country]])</f>
        <v>1039.8985714285714</v>
      </c>
      <c r="AA1391" cm="1">
        <f t="array" ref="AA1391">IF(COUNTIFS(Table1[Country],Table1[[#This Row],[Country]])=1,0, _xlfn.STDEV.S(IF(Table1[Country]=Table1[[#This Row],[Country]],Table1[FinalElo])))</f>
        <v>194.01778111336392</v>
      </c>
      <c r="AB1391">
        <f>IF(Table1[[#This Row],[CStd]]=0,0, (Table1[[#This Row],[FinalElo]]-Table1[[#This Row],[CAvg]]) / Table1[[#This Row],[CStd]])</f>
        <v>0.78782175372945884</v>
      </c>
      <c r="AC1391" t="str">
        <f>IF(Table1[[#This Row],[CStd]]=0,"Normal", IF(ABS(Table1[[#This Row],[CZscore]])&gt;2,"Outlier","Normal"))</f>
        <v>Normal</v>
      </c>
    </row>
    <row r="1392" spans="1:29" x14ac:dyDescent="0.35">
      <c r="A1392" t="s">
        <v>420</v>
      </c>
      <c r="B1392">
        <v>52.16</v>
      </c>
      <c r="C1392">
        <v>156</v>
      </c>
      <c r="D1392" t="s">
        <v>140</v>
      </c>
      <c r="E1392">
        <v>21</v>
      </c>
      <c r="F1392" t="s">
        <v>421</v>
      </c>
      <c r="G1392" t="s">
        <v>40</v>
      </c>
      <c r="H1392" t="s">
        <v>29</v>
      </c>
      <c r="I1392" t="s">
        <v>36</v>
      </c>
      <c r="J1392">
        <v>0</v>
      </c>
      <c r="K1392">
        <v>1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1</v>
      </c>
      <c r="V1392">
        <v>0</v>
      </c>
      <c r="W1392">
        <v>1</v>
      </c>
      <c r="X1392">
        <v>900</v>
      </c>
      <c r="Y1392">
        <v>1000</v>
      </c>
      <c r="Z1392">
        <f>AVERAGEIFS(Table1[FinalElo], Table1[Country], Table1[[#This Row],[Country]])</f>
        <v>1002.675294117647</v>
      </c>
      <c r="AA1392" cm="1">
        <f t="array" ref="AA1392">IF(COUNTIFS(Table1[Country],Table1[[#This Row],[Country]])=1,0, _xlfn.STDEV.S(IF(Table1[Country]=Table1[[#This Row],[Country]],Table1[FinalElo])))</f>
        <v>171.59712028169514</v>
      </c>
      <c r="AB1392">
        <f>IF(Table1[[#This Row],[CStd]]=0,0, (Table1[[#This Row],[FinalElo]]-Table1[[#This Row],[CAvg]]) / Table1[[#This Row],[CStd]])</f>
        <v>-0.59835091608235891</v>
      </c>
      <c r="AC1392" t="str">
        <f>IF(Table1[[#This Row],[CStd]]=0,"Normal", IF(ABS(Table1[[#This Row],[CZscore]])&gt;2,"Outlier","Normal"))</f>
        <v>Normal</v>
      </c>
    </row>
    <row r="1393" spans="1:29" x14ac:dyDescent="0.35">
      <c r="A1393" t="s">
        <v>1715</v>
      </c>
      <c r="B1393">
        <v>83.9</v>
      </c>
      <c r="C1393">
        <v>181</v>
      </c>
      <c r="D1393" t="s">
        <v>513</v>
      </c>
      <c r="E1393">
        <v>38</v>
      </c>
      <c r="F1393" t="s">
        <v>1323</v>
      </c>
      <c r="G1393" t="s">
        <v>40</v>
      </c>
      <c r="H1393" t="s">
        <v>29</v>
      </c>
      <c r="I1393" t="s">
        <v>50</v>
      </c>
      <c r="J1393">
        <v>0</v>
      </c>
      <c r="K1393">
        <v>1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1</v>
      </c>
      <c r="S1393">
        <v>0</v>
      </c>
      <c r="T1393">
        <v>0</v>
      </c>
      <c r="U1393">
        <v>0</v>
      </c>
      <c r="V1393">
        <v>0</v>
      </c>
      <c r="W1393">
        <v>1</v>
      </c>
      <c r="X1393">
        <v>900</v>
      </c>
      <c r="Y1393">
        <v>1000</v>
      </c>
      <c r="Z1393">
        <f>AVERAGEIFS(Table1[FinalElo], Table1[Country], Table1[[#This Row],[Country]])</f>
        <v>991.92857142857144</v>
      </c>
      <c r="AA1393" cm="1">
        <f t="array" ref="AA1393">IF(COUNTIFS(Table1[Country],Table1[[#This Row],[Country]])=1,0, _xlfn.STDEV.S(IF(Table1[Country]=Table1[[#This Row],[Country]],Table1[FinalElo])))</f>
        <v>154.84924955929111</v>
      </c>
      <c r="AB1393">
        <f>IF(Table1[[#This Row],[CStd]]=0,0, (Table1[[#This Row],[FinalElo]]-Table1[[#This Row],[CAvg]]) / Table1[[#This Row],[CStd]])</f>
        <v>-0.59366494632815381</v>
      </c>
      <c r="AC1393" t="str">
        <f>IF(Table1[[#This Row],[CStd]]=0,"Normal", IF(ABS(Table1[[#This Row],[CZscore]])&gt;2,"Outlier","Normal"))</f>
        <v>Normal</v>
      </c>
    </row>
    <row r="1394" spans="1:29" x14ac:dyDescent="0.35">
      <c r="A1394" t="s">
        <v>418</v>
      </c>
      <c r="B1394">
        <v>56.7</v>
      </c>
      <c r="C1394">
        <v>175</v>
      </c>
      <c r="D1394" t="s">
        <v>185</v>
      </c>
      <c r="E1394">
        <v>23</v>
      </c>
      <c r="F1394" t="s">
        <v>419</v>
      </c>
      <c r="G1394" t="s">
        <v>40</v>
      </c>
      <c r="H1394" t="s">
        <v>29</v>
      </c>
      <c r="I1394" t="s">
        <v>58</v>
      </c>
      <c r="J1394">
        <v>1</v>
      </c>
      <c r="K1394">
        <v>1</v>
      </c>
      <c r="L1394">
        <v>0</v>
      </c>
      <c r="M1394">
        <v>0</v>
      </c>
      <c r="N1394">
        <v>0</v>
      </c>
      <c r="O1394">
        <v>0</v>
      </c>
      <c r="P1394">
        <v>1</v>
      </c>
      <c r="Q1394">
        <v>0</v>
      </c>
      <c r="R1394">
        <v>0</v>
      </c>
      <c r="S1394">
        <v>0</v>
      </c>
      <c r="T1394">
        <v>0</v>
      </c>
      <c r="U1394">
        <v>1</v>
      </c>
      <c r="V1394">
        <v>0</v>
      </c>
      <c r="W1394">
        <v>2</v>
      </c>
      <c r="X1394">
        <v>1064.95</v>
      </c>
      <c r="Y1394">
        <v>1145.82</v>
      </c>
      <c r="Z1394">
        <f>AVERAGEIFS(Table1[FinalElo], Table1[Country], Table1[[#This Row],[Country]])</f>
        <v>998.10500000000002</v>
      </c>
      <c r="AA1394" cm="1">
        <f t="array" ref="AA1394">IF(COUNTIFS(Table1[Country],Table1[[#This Row],[Country]])=1,0, _xlfn.STDEV.S(IF(Table1[Country]=Table1[[#This Row],[Country]],Table1[FinalElo])))</f>
        <v>94.533105576829584</v>
      </c>
      <c r="AB1394">
        <f>IF(Table1[[#This Row],[CStd]]=0,0, (Table1[[#This Row],[FinalElo]]-Table1[[#This Row],[CAvg]]) / Table1[[#This Row],[CStd]])</f>
        <v>0.70710678118654746</v>
      </c>
      <c r="AC1394" t="str">
        <f>IF(Table1[[#This Row],[CStd]]=0,"Normal", IF(ABS(Table1[[#This Row],[CZscore]])&gt;2,"Outlier","Normal"))</f>
        <v>Normal</v>
      </c>
    </row>
    <row r="1395" spans="1:29" x14ac:dyDescent="0.35">
      <c r="A1395" t="s">
        <v>417</v>
      </c>
      <c r="B1395">
        <v>65.8</v>
      </c>
      <c r="C1395">
        <v>180</v>
      </c>
      <c r="D1395" t="s">
        <v>135</v>
      </c>
      <c r="E1395">
        <v>35</v>
      </c>
      <c r="F1395" t="s">
        <v>408</v>
      </c>
      <c r="G1395" t="s">
        <v>34</v>
      </c>
      <c r="H1395" t="s">
        <v>29</v>
      </c>
      <c r="I1395" t="s">
        <v>48</v>
      </c>
      <c r="J1395">
        <v>0</v>
      </c>
      <c r="K1395">
        <v>1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1</v>
      </c>
      <c r="V1395">
        <v>0</v>
      </c>
      <c r="W1395">
        <v>1</v>
      </c>
      <c r="X1395">
        <v>900</v>
      </c>
      <c r="Y1395">
        <v>1000</v>
      </c>
      <c r="Z1395">
        <f>AVERAGEIFS(Table1[FinalElo], Table1[Country], Table1[[#This Row],[Country]])</f>
        <v>1008.644</v>
      </c>
      <c r="AA1395" cm="1">
        <f t="array" ref="AA1395">IF(COUNTIFS(Table1[Country],Table1[[#This Row],[Country]])=1,0, _xlfn.STDEV.S(IF(Table1[Country]=Table1[[#This Row],[Country]],Table1[FinalElo])))</f>
        <v>73.31330002121031</v>
      </c>
      <c r="AB1395">
        <f>IF(Table1[[#This Row],[CStd]]=0,0, (Table1[[#This Row],[FinalElo]]-Table1[[#This Row],[CAvg]]) / Table1[[#This Row],[CStd]])</f>
        <v>-1.4819139224201905</v>
      </c>
      <c r="AC1395" t="str">
        <f>IF(Table1[[#This Row],[CStd]]=0,"Normal", IF(ABS(Table1[[#This Row],[CZscore]])&gt;2,"Outlier","Normal"))</f>
        <v>Normal</v>
      </c>
    </row>
    <row r="1396" spans="1:29" x14ac:dyDescent="0.35">
      <c r="A1396" t="s">
        <v>415</v>
      </c>
      <c r="B1396">
        <v>71.213943999999998</v>
      </c>
      <c r="C1396">
        <v>180</v>
      </c>
      <c r="D1396" t="s">
        <v>135</v>
      </c>
      <c r="E1396">
        <v>20</v>
      </c>
      <c r="F1396" t="s">
        <v>416</v>
      </c>
      <c r="G1396" t="s">
        <v>34</v>
      </c>
      <c r="H1396" t="s">
        <v>29</v>
      </c>
      <c r="I1396" t="s">
        <v>30</v>
      </c>
      <c r="J1396">
        <v>1</v>
      </c>
      <c r="K1396">
        <v>0</v>
      </c>
      <c r="L1396">
        <v>0</v>
      </c>
      <c r="M1396">
        <v>1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1</v>
      </c>
      <c r="X1396">
        <v>1071.99</v>
      </c>
      <c r="Y1396">
        <v>1071.99</v>
      </c>
      <c r="Z1396">
        <f>AVERAGEIFS(Table1[FinalElo], Table1[Country], Table1[[#This Row],[Country]])</f>
        <v>1008.644</v>
      </c>
      <c r="AA1396" cm="1">
        <f t="array" ref="AA1396">IF(COUNTIFS(Table1[Country],Table1[[#This Row],[Country]])=1,0, _xlfn.STDEV.S(IF(Table1[Country]=Table1[[#This Row],[Country]],Table1[FinalElo])))</f>
        <v>73.31330002121031</v>
      </c>
      <c r="AB1396">
        <f>IF(Table1[[#This Row],[CStd]]=0,0, (Table1[[#This Row],[FinalElo]]-Table1[[#This Row],[CAvg]]) / Table1[[#This Row],[CStd]])</f>
        <v>0.86404513207935452</v>
      </c>
      <c r="AC1396" t="str">
        <f>IF(Table1[[#This Row],[CStd]]=0,"Normal", IF(ABS(Table1[[#This Row],[CZscore]])&gt;2,"Outlier","Normal"))</f>
        <v>Normal</v>
      </c>
    </row>
    <row r="1397" spans="1:29" x14ac:dyDescent="0.35">
      <c r="A1397" t="s">
        <v>413</v>
      </c>
      <c r="B1397">
        <v>75.749864000000002</v>
      </c>
      <c r="C1397">
        <v>193</v>
      </c>
      <c r="D1397" t="s">
        <v>414</v>
      </c>
      <c r="E1397">
        <v>22</v>
      </c>
      <c r="F1397" t="s">
        <v>154</v>
      </c>
      <c r="G1397" t="s">
        <v>34</v>
      </c>
      <c r="H1397" t="s">
        <v>29</v>
      </c>
      <c r="I1397" t="s">
        <v>30</v>
      </c>
      <c r="J1397">
        <v>0</v>
      </c>
      <c r="K1397">
        <v>1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1</v>
      </c>
      <c r="V1397">
        <v>0</v>
      </c>
      <c r="W1397">
        <v>1</v>
      </c>
      <c r="X1397">
        <v>931.95</v>
      </c>
      <c r="Y1397">
        <v>1000</v>
      </c>
      <c r="Z1397">
        <f>AVERAGEIFS(Table1[FinalElo], Table1[Country], Table1[[#This Row],[Country]])</f>
        <v>1049.6228571428571</v>
      </c>
      <c r="AA1397" cm="1">
        <f t="array" ref="AA1397">IF(COUNTIFS(Table1[Country],Table1[[#This Row],[Country]])=1,0, _xlfn.STDEV.S(IF(Table1[Country]=Table1[[#This Row],[Country]],Table1[FinalElo])))</f>
        <v>104.38751437381221</v>
      </c>
      <c r="AB1397">
        <f>IF(Table1[[#This Row],[CStd]]=0,0, (Table1[[#This Row],[FinalElo]]-Table1[[#This Row],[CAvg]]) / Table1[[#This Row],[CStd]])</f>
        <v>-1.1272694617621606</v>
      </c>
      <c r="AC1397" t="str">
        <f>IF(Table1[[#This Row],[CStd]]=0,"Normal", IF(ABS(Table1[[#This Row],[CZscore]])&gt;2,"Outlier","Normal"))</f>
        <v>Normal</v>
      </c>
    </row>
    <row r="1398" spans="1:29" x14ac:dyDescent="0.35">
      <c r="A1398" t="s">
        <v>195</v>
      </c>
      <c r="B1398">
        <v>77.099999999999994</v>
      </c>
      <c r="C1398">
        <v>180</v>
      </c>
      <c r="D1398" t="s">
        <v>116</v>
      </c>
      <c r="E1398">
        <v>30</v>
      </c>
      <c r="F1398" t="s">
        <v>196</v>
      </c>
      <c r="G1398" t="s">
        <v>40</v>
      </c>
      <c r="H1398" t="s">
        <v>29</v>
      </c>
      <c r="I1398" t="s">
        <v>30</v>
      </c>
      <c r="J1398">
        <v>0</v>
      </c>
      <c r="K1398">
        <v>1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1</v>
      </c>
      <c r="S1398">
        <v>0</v>
      </c>
      <c r="T1398">
        <v>0</v>
      </c>
      <c r="U1398">
        <v>0</v>
      </c>
      <c r="V1398">
        <v>0</v>
      </c>
      <c r="W1398">
        <v>1</v>
      </c>
      <c r="X1398">
        <v>871.99</v>
      </c>
      <c r="Y1398">
        <v>1000</v>
      </c>
      <c r="Z1398">
        <f>AVERAGEIFS(Table1[FinalElo], Table1[Country], Table1[[#This Row],[Country]])</f>
        <v>980.88090909090931</v>
      </c>
      <c r="AA1398" cm="1">
        <f t="array" ref="AA1398">IF(COUNTIFS(Table1[Country],Table1[[#This Row],[Country]])=1,0, _xlfn.STDEV.S(IF(Table1[Country]=Table1[[#This Row],[Country]],Table1[FinalElo])))</f>
        <v>133.41794796376408</v>
      </c>
      <c r="AB1398">
        <f>IF(Table1[[#This Row],[CStd]]=0,0, (Table1[[#This Row],[FinalElo]]-Table1[[#This Row],[CAvg]]) / Table1[[#This Row],[CStd]])</f>
        <v>-0.81616387264840673</v>
      </c>
      <c r="AC1398" t="str">
        <f>IF(Table1[[#This Row],[CStd]]=0,"Normal", IF(ABS(Table1[[#This Row],[CZscore]])&gt;2,"Outlier","Normal"))</f>
        <v>Normal</v>
      </c>
    </row>
    <row r="1399" spans="1:29" x14ac:dyDescent="0.35">
      <c r="A1399" t="s">
        <v>412</v>
      </c>
      <c r="B1399">
        <v>70.3</v>
      </c>
      <c r="C1399">
        <v>175</v>
      </c>
      <c r="D1399" t="s">
        <v>116</v>
      </c>
      <c r="E1399">
        <v>31</v>
      </c>
      <c r="F1399" t="s">
        <v>196</v>
      </c>
      <c r="G1399" t="s">
        <v>40</v>
      </c>
      <c r="H1399" t="s">
        <v>29</v>
      </c>
      <c r="I1399" t="s">
        <v>48</v>
      </c>
      <c r="J1399">
        <v>1</v>
      </c>
      <c r="K1399">
        <v>1</v>
      </c>
      <c r="L1399">
        <v>0</v>
      </c>
      <c r="M1399">
        <v>0</v>
      </c>
      <c r="N1399">
        <v>0</v>
      </c>
      <c r="O1399">
        <v>0</v>
      </c>
      <c r="P1399">
        <v>1</v>
      </c>
      <c r="Q1399">
        <v>0</v>
      </c>
      <c r="R1399">
        <v>0</v>
      </c>
      <c r="S1399">
        <v>0</v>
      </c>
      <c r="T1399">
        <v>0</v>
      </c>
      <c r="U1399">
        <v>1</v>
      </c>
      <c r="V1399">
        <v>0</v>
      </c>
      <c r="W1399">
        <v>2</v>
      </c>
      <c r="X1399">
        <v>1001.98</v>
      </c>
      <c r="Y1399">
        <v>1140.3</v>
      </c>
      <c r="Z1399">
        <f>AVERAGEIFS(Table1[FinalElo], Table1[Country], Table1[[#This Row],[Country]])</f>
        <v>980.88090909090931</v>
      </c>
      <c r="AA1399" cm="1">
        <f t="array" ref="AA1399">IF(COUNTIFS(Table1[Country],Table1[[#This Row],[Country]])=1,0, _xlfn.STDEV.S(IF(Table1[Country]=Table1[[#This Row],[Country]],Table1[FinalElo])))</f>
        <v>133.41794796376408</v>
      </c>
      <c r="AB1399">
        <f>IF(Table1[[#This Row],[CStd]]=0,0, (Table1[[#This Row],[FinalElo]]-Table1[[#This Row],[CAvg]]) / Table1[[#This Row],[CStd]])</f>
        <v>0.15814282284435341</v>
      </c>
      <c r="AC1399" t="str">
        <f>IF(Table1[[#This Row],[CStd]]=0,"Normal", IF(ABS(Table1[[#This Row],[CZscore]])&gt;2,"Outlier","Normal"))</f>
        <v>Normal</v>
      </c>
    </row>
    <row r="1400" spans="1:29" x14ac:dyDescent="0.35">
      <c r="A1400" t="s">
        <v>410</v>
      </c>
      <c r="B1400">
        <v>65.8</v>
      </c>
      <c r="C1400">
        <v>173</v>
      </c>
      <c r="D1400" t="s">
        <v>116</v>
      </c>
      <c r="E1400">
        <v>33</v>
      </c>
      <c r="F1400" t="s">
        <v>411</v>
      </c>
      <c r="G1400" t="s">
        <v>40</v>
      </c>
      <c r="H1400" t="s">
        <v>29</v>
      </c>
      <c r="I1400" t="s">
        <v>48</v>
      </c>
      <c r="J1400">
        <v>0</v>
      </c>
      <c r="K1400">
        <v>2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1</v>
      </c>
      <c r="S1400">
        <v>0</v>
      </c>
      <c r="T1400">
        <v>0</v>
      </c>
      <c r="U1400">
        <v>1</v>
      </c>
      <c r="V1400">
        <v>0</v>
      </c>
      <c r="W1400">
        <v>2</v>
      </c>
      <c r="X1400">
        <v>843.64</v>
      </c>
      <c r="Y1400">
        <v>1000</v>
      </c>
      <c r="Z1400">
        <f>AVERAGEIFS(Table1[FinalElo], Table1[Country], Table1[[#This Row],[Country]])</f>
        <v>980.88090909090931</v>
      </c>
      <c r="AA1400" cm="1">
        <f t="array" ref="AA1400">IF(COUNTIFS(Table1[Country],Table1[[#This Row],[Country]])=1,0, _xlfn.STDEV.S(IF(Table1[Country]=Table1[[#This Row],[Country]],Table1[FinalElo])))</f>
        <v>133.41794796376408</v>
      </c>
      <c r="AB1400">
        <f>IF(Table1[[#This Row],[CStd]]=0,0, (Table1[[#This Row],[FinalElo]]-Table1[[#This Row],[CAvg]]) / Table1[[#This Row],[CStd]])</f>
        <v>-1.0286540243309961</v>
      </c>
      <c r="AC1400" t="str">
        <f>IF(Table1[[#This Row],[CStd]]=0,"Normal", IF(ABS(Table1[[#This Row],[CZscore]])&gt;2,"Outlier","Normal"))</f>
        <v>Normal</v>
      </c>
    </row>
    <row r="1401" spans="1:29" x14ac:dyDescent="0.35">
      <c r="A1401" t="s">
        <v>406</v>
      </c>
      <c r="B1401">
        <v>52.16</v>
      </c>
      <c r="C1401">
        <v>172</v>
      </c>
      <c r="D1401" t="s">
        <v>407</v>
      </c>
      <c r="E1401">
        <v>23</v>
      </c>
      <c r="F1401" t="s">
        <v>408</v>
      </c>
      <c r="G1401" t="s">
        <v>34</v>
      </c>
      <c r="H1401" t="s">
        <v>29</v>
      </c>
      <c r="I1401" t="s">
        <v>36</v>
      </c>
      <c r="J1401">
        <v>1</v>
      </c>
      <c r="K1401">
        <v>2</v>
      </c>
      <c r="L1401">
        <v>0</v>
      </c>
      <c r="M1401">
        <v>0</v>
      </c>
      <c r="N1401">
        <v>0</v>
      </c>
      <c r="O1401">
        <v>0</v>
      </c>
      <c r="P1401">
        <v>1</v>
      </c>
      <c r="Q1401">
        <v>0</v>
      </c>
      <c r="R1401">
        <v>0</v>
      </c>
      <c r="S1401">
        <v>0</v>
      </c>
      <c r="T1401">
        <v>0</v>
      </c>
      <c r="U1401">
        <v>2</v>
      </c>
      <c r="V1401">
        <v>0</v>
      </c>
      <c r="W1401">
        <v>3</v>
      </c>
      <c r="X1401">
        <v>1030.77</v>
      </c>
      <c r="Y1401">
        <v>1030.77</v>
      </c>
      <c r="Z1401">
        <f>AVERAGEIFS(Table1[FinalElo], Table1[Country], Table1[[#This Row],[Country]])</f>
        <v>1015.375</v>
      </c>
      <c r="AA1401" cm="1">
        <f t="array" ref="AA1401">IF(COUNTIFS(Table1[Country],Table1[[#This Row],[Country]])=1,0, _xlfn.STDEV.S(IF(Table1[Country]=Table1[[#This Row],[Country]],Table1[FinalElo])))</f>
        <v>114.73350760203692</v>
      </c>
      <c r="AB1401">
        <f>IF(Table1[[#This Row],[CStd]]=0,0, (Table1[[#This Row],[FinalElo]]-Table1[[#This Row],[CAvg]]) / Table1[[#This Row],[CStd]])</f>
        <v>0.13418050508312593</v>
      </c>
      <c r="AC1401" t="str">
        <f>IF(Table1[[#This Row],[CStd]]=0,"Normal", IF(ABS(Table1[[#This Row],[CZscore]])&gt;2,"Outlier","Normal"))</f>
        <v>Normal</v>
      </c>
    </row>
    <row r="1402" spans="1:29" x14ac:dyDescent="0.35">
      <c r="A1402" t="s">
        <v>403</v>
      </c>
      <c r="B1402">
        <v>63.049287999999997</v>
      </c>
      <c r="C1402">
        <v>177</v>
      </c>
      <c r="D1402" t="s">
        <v>404</v>
      </c>
      <c r="E1402">
        <v>26</v>
      </c>
      <c r="F1402" t="s">
        <v>405</v>
      </c>
      <c r="G1402" t="s">
        <v>34</v>
      </c>
      <c r="H1402" t="s">
        <v>29</v>
      </c>
      <c r="I1402" t="s">
        <v>73</v>
      </c>
      <c r="J1402">
        <v>0</v>
      </c>
      <c r="K1402">
        <v>1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1</v>
      </c>
      <c r="V1402">
        <v>0</v>
      </c>
      <c r="W1402">
        <v>1</v>
      </c>
      <c r="X1402">
        <v>958.79</v>
      </c>
      <c r="Y1402">
        <v>1000</v>
      </c>
      <c r="Z1402">
        <f>AVERAGEIFS(Table1[FinalElo], Table1[Country], Table1[[#This Row],[Country]])</f>
        <v>958.79</v>
      </c>
      <c r="AA1402" cm="1">
        <f t="array" ref="AA1402">IF(COUNTIFS(Table1[Country],Table1[[#This Row],[Country]])=1,0, _xlfn.STDEV.S(IF(Table1[Country]=Table1[[#This Row],[Country]],Table1[FinalElo])))</f>
        <v>0</v>
      </c>
      <c r="AB1402">
        <f>IF(Table1[[#This Row],[CStd]]=0,0, (Table1[[#This Row],[FinalElo]]-Table1[[#This Row],[CAvg]]) / Table1[[#This Row],[CStd]])</f>
        <v>0</v>
      </c>
      <c r="AC1402" t="str">
        <f>IF(Table1[[#This Row],[CStd]]=0,"Normal", IF(ABS(Table1[[#This Row],[CZscore]])&gt;2,"Outlier","Normal"))</f>
        <v>Normal</v>
      </c>
    </row>
    <row r="1403" spans="1:29" x14ac:dyDescent="0.35">
      <c r="A1403" t="s">
        <v>401</v>
      </c>
      <c r="B1403">
        <v>61.23</v>
      </c>
      <c r="C1403">
        <v>169</v>
      </c>
      <c r="D1403" t="s">
        <v>384</v>
      </c>
      <c r="E1403">
        <v>34</v>
      </c>
      <c r="F1403" t="s">
        <v>402</v>
      </c>
      <c r="G1403" t="s">
        <v>40</v>
      </c>
      <c r="H1403" t="s">
        <v>29</v>
      </c>
      <c r="I1403" t="s">
        <v>73</v>
      </c>
      <c r="J1403">
        <v>0</v>
      </c>
      <c r="K1403">
        <v>1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1</v>
      </c>
      <c r="S1403">
        <v>0</v>
      </c>
      <c r="T1403">
        <v>0</v>
      </c>
      <c r="U1403">
        <v>0</v>
      </c>
      <c r="V1403">
        <v>0</v>
      </c>
      <c r="W1403">
        <v>1</v>
      </c>
      <c r="X1403">
        <v>900</v>
      </c>
      <c r="Y1403">
        <v>1000</v>
      </c>
      <c r="Z1403">
        <f>AVERAGEIFS(Table1[FinalElo], Table1[Country], Table1[[#This Row],[Country]])</f>
        <v>1054.6869565217391</v>
      </c>
      <c r="AA1403" cm="1">
        <f t="array" ref="AA1403">IF(COUNTIFS(Table1[Country],Table1[[#This Row],[Country]])=1,0, _xlfn.STDEV.S(IF(Table1[Country]=Table1[[#This Row],[Country]],Table1[FinalElo])))</f>
        <v>191.2923801275472</v>
      </c>
      <c r="AB1403">
        <f>IF(Table1[[#This Row],[CStd]]=0,0, (Table1[[#This Row],[FinalElo]]-Table1[[#This Row],[CAvg]]) / Table1[[#This Row],[CStd]])</f>
        <v>-0.80864149642865646</v>
      </c>
      <c r="AC1403" t="str">
        <f>IF(Table1[[#This Row],[CStd]]=0,"Normal", IF(ABS(Table1[[#This Row],[CZscore]])&gt;2,"Outlier","Normal"))</f>
        <v>Normal</v>
      </c>
    </row>
    <row r="1404" spans="1:29" x14ac:dyDescent="0.35">
      <c r="A1404" t="s">
        <v>399</v>
      </c>
      <c r="B1404">
        <v>56.7</v>
      </c>
      <c r="C1404">
        <v>175</v>
      </c>
      <c r="D1404" t="s">
        <v>384</v>
      </c>
      <c r="E1404">
        <v>24</v>
      </c>
      <c r="F1404" t="s">
        <v>400</v>
      </c>
      <c r="G1404" t="s">
        <v>40</v>
      </c>
      <c r="H1404" t="s">
        <v>29</v>
      </c>
      <c r="I1404" t="s">
        <v>58</v>
      </c>
      <c r="J1404">
        <v>7</v>
      </c>
      <c r="K1404">
        <v>1</v>
      </c>
      <c r="L1404">
        <v>0</v>
      </c>
      <c r="M1404">
        <v>2</v>
      </c>
      <c r="N1404">
        <v>4</v>
      </c>
      <c r="O1404">
        <v>0</v>
      </c>
      <c r="P1404">
        <v>1</v>
      </c>
      <c r="Q1404">
        <v>0</v>
      </c>
      <c r="R1404">
        <v>0</v>
      </c>
      <c r="S1404">
        <v>0</v>
      </c>
      <c r="T1404">
        <v>0</v>
      </c>
      <c r="U1404">
        <v>1</v>
      </c>
      <c r="V1404">
        <v>0</v>
      </c>
      <c r="W1404">
        <v>8</v>
      </c>
      <c r="X1404">
        <v>1393.82</v>
      </c>
      <c r="Y1404">
        <v>1393.82</v>
      </c>
      <c r="Z1404">
        <f>AVERAGEIFS(Table1[FinalElo], Table1[Country], Table1[[#This Row],[Country]])</f>
        <v>1054.6869565217391</v>
      </c>
      <c r="AA1404" cm="1">
        <f t="array" ref="AA1404">IF(COUNTIFS(Table1[Country],Table1[[#This Row],[Country]])=1,0, _xlfn.STDEV.S(IF(Table1[Country]=Table1[[#This Row],[Country]],Table1[FinalElo])))</f>
        <v>191.2923801275472</v>
      </c>
      <c r="AB1404">
        <f>IF(Table1[[#This Row],[CStd]]=0,0, (Table1[[#This Row],[FinalElo]]-Table1[[#This Row],[CAvg]]) / Table1[[#This Row],[CStd]])</f>
        <v>1.7728518159068254</v>
      </c>
      <c r="AC1404" t="str">
        <f>IF(Table1[[#This Row],[CStd]]=0,"Normal", IF(ABS(Table1[[#This Row],[CZscore]])&gt;2,"Outlier","Normal"))</f>
        <v>Normal</v>
      </c>
    </row>
    <row r="1405" spans="1:29" x14ac:dyDescent="0.35">
      <c r="A1405" t="s">
        <v>398</v>
      </c>
      <c r="B1405">
        <v>61.23</v>
      </c>
      <c r="C1405">
        <v>172</v>
      </c>
      <c r="D1405" t="s">
        <v>89</v>
      </c>
      <c r="E1405">
        <v>31</v>
      </c>
      <c r="F1405" t="s">
        <v>99</v>
      </c>
      <c r="G1405" t="s">
        <v>34</v>
      </c>
      <c r="H1405" t="s">
        <v>29</v>
      </c>
      <c r="I1405" t="s">
        <v>73</v>
      </c>
      <c r="J1405">
        <v>5</v>
      </c>
      <c r="K1405">
        <v>4</v>
      </c>
      <c r="L1405">
        <v>0</v>
      </c>
      <c r="M1405">
        <v>0</v>
      </c>
      <c r="N1405">
        <v>0</v>
      </c>
      <c r="O1405">
        <v>0</v>
      </c>
      <c r="P1405">
        <v>3</v>
      </c>
      <c r="Q1405">
        <v>1</v>
      </c>
      <c r="R1405">
        <v>0</v>
      </c>
      <c r="S1405">
        <v>0</v>
      </c>
      <c r="T1405">
        <v>0</v>
      </c>
      <c r="U1405">
        <v>1</v>
      </c>
      <c r="V1405">
        <v>1</v>
      </c>
      <c r="W1405">
        <v>9</v>
      </c>
      <c r="X1405">
        <v>1178.07</v>
      </c>
      <c r="Y1405">
        <v>1261.67</v>
      </c>
      <c r="Z1405">
        <f>AVERAGEIFS(Table1[FinalElo], Table1[Country], Table1[[#This Row],[Country]])</f>
        <v>1012.0629025423733</v>
      </c>
      <c r="AA1405" cm="1">
        <f t="array" ref="AA1405">IF(COUNTIFS(Table1[Country],Table1[[#This Row],[Country]])=1,0, _xlfn.STDEV.S(IF(Table1[Country]=Table1[[#This Row],[Country]],Table1[FinalElo])))</f>
        <v>148.42180446198614</v>
      </c>
      <c r="AB1405">
        <f>IF(Table1[[#This Row],[CStd]]=0,0, (Table1[[#This Row],[FinalElo]]-Table1[[#This Row],[CAvg]]) / Table1[[#This Row],[CStd]])</f>
        <v>1.118481870365243</v>
      </c>
      <c r="AC1405" t="str">
        <f>IF(Table1[[#This Row],[CStd]]=0,"Normal", IF(ABS(Table1[[#This Row],[CZscore]])&gt;2,"Outlier","Normal"))</f>
        <v>Normal</v>
      </c>
    </row>
    <row r="1406" spans="1:29" x14ac:dyDescent="0.35">
      <c r="A1406" t="s">
        <v>395</v>
      </c>
      <c r="B1406">
        <v>92.2</v>
      </c>
      <c r="C1406">
        <v>185</v>
      </c>
      <c r="D1406" t="s">
        <v>396</v>
      </c>
      <c r="E1406">
        <v>40</v>
      </c>
      <c r="F1406" t="s">
        <v>397</v>
      </c>
      <c r="G1406" t="s">
        <v>40</v>
      </c>
      <c r="H1406" t="s">
        <v>29</v>
      </c>
      <c r="I1406" t="s">
        <v>41</v>
      </c>
      <c r="J1406">
        <v>14</v>
      </c>
      <c r="K1406">
        <v>5</v>
      </c>
      <c r="L1406">
        <v>0</v>
      </c>
      <c r="M1406">
        <v>5</v>
      </c>
      <c r="N1406">
        <v>4</v>
      </c>
      <c r="O1406">
        <v>0</v>
      </c>
      <c r="P1406">
        <v>2</v>
      </c>
      <c r="Q1406">
        <v>0</v>
      </c>
      <c r="R1406">
        <v>1</v>
      </c>
      <c r="S1406">
        <v>1</v>
      </c>
      <c r="T1406">
        <v>0</v>
      </c>
      <c r="U1406">
        <v>2</v>
      </c>
      <c r="V1406">
        <v>0</v>
      </c>
      <c r="W1406">
        <v>19</v>
      </c>
      <c r="X1406">
        <v>1052.78</v>
      </c>
      <c r="Y1406">
        <v>1474.58</v>
      </c>
      <c r="Z1406">
        <f>AVERAGEIFS(Table1[FinalElo], Table1[Country], Table1[[#This Row],[Country]])</f>
        <v>998.29391304347814</v>
      </c>
      <c r="AA1406" cm="1">
        <f t="array" ref="AA1406">IF(COUNTIFS(Table1[Country],Table1[[#This Row],[Country]])=1,0, _xlfn.STDEV.S(IF(Table1[Country]=Table1[[#This Row],[Country]],Table1[FinalElo])))</f>
        <v>125.31531828802386</v>
      </c>
      <c r="AB1406">
        <f>IF(Table1[[#This Row],[CStd]]=0,0, (Table1[[#This Row],[FinalElo]]-Table1[[#This Row],[CAvg]]) / Table1[[#This Row],[CStd]])</f>
        <v>0.43479191291914837</v>
      </c>
      <c r="AC1406" t="str">
        <f>IF(Table1[[#This Row],[CStd]]=0,"Normal", IF(ABS(Table1[[#This Row],[CZscore]])&gt;2,"Outlier","Normal"))</f>
        <v>Normal</v>
      </c>
    </row>
    <row r="1407" spans="1:29" x14ac:dyDescent="0.35">
      <c r="A1407" t="s">
        <v>393</v>
      </c>
      <c r="B1407">
        <v>54.8</v>
      </c>
      <c r="C1407">
        <v>168</v>
      </c>
      <c r="D1407" t="s">
        <v>89</v>
      </c>
      <c r="E1407">
        <v>22</v>
      </c>
      <c r="F1407" t="s">
        <v>394</v>
      </c>
      <c r="G1407" t="s">
        <v>34</v>
      </c>
      <c r="H1407" t="s">
        <v>29</v>
      </c>
      <c r="I1407" t="s">
        <v>36</v>
      </c>
      <c r="J1407">
        <v>1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1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1</v>
      </c>
      <c r="X1407">
        <v>1100</v>
      </c>
      <c r="Y1407">
        <v>1100</v>
      </c>
      <c r="Z1407">
        <f>AVERAGEIFS(Table1[FinalElo], Table1[Country], Table1[[#This Row],[Country]])</f>
        <v>1012.0629025423733</v>
      </c>
      <c r="AA1407" cm="1">
        <f t="array" ref="AA1407">IF(COUNTIFS(Table1[Country],Table1[[#This Row],[Country]])=1,0, _xlfn.STDEV.S(IF(Table1[Country]=Table1[[#This Row],[Country]],Table1[FinalElo])))</f>
        <v>148.42180446198614</v>
      </c>
      <c r="AB1407">
        <f>IF(Table1[[#This Row],[CStd]]=0,0, (Table1[[#This Row],[FinalElo]]-Table1[[#This Row],[CAvg]]) / Table1[[#This Row],[CStd]])</f>
        <v>0.59248098873605315</v>
      </c>
      <c r="AC1407" t="str">
        <f>IF(Table1[[#This Row],[CStd]]=0,"Normal", IF(ABS(Table1[[#This Row],[CZscore]])&gt;2,"Outlier","Normal"))</f>
        <v>Normal</v>
      </c>
    </row>
    <row r="1408" spans="1:29" x14ac:dyDescent="0.35">
      <c r="A1408" t="s">
        <v>391</v>
      </c>
      <c r="B1408">
        <v>70.3</v>
      </c>
      <c r="C1408">
        <v>173</v>
      </c>
      <c r="D1408" t="s">
        <v>82</v>
      </c>
      <c r="E1408">
        <v>29</v>
      </c>
      <c r="F1408" t="s">
        <v>392</v>
      </c>
      <c r="G1408" t="s">
        <v>40</v>
      </c>
      <c r="H1408" t="s">
        <v>29</v>
      </c>
      <c r="I1408" t="s">
        <v>48</v>
      </c>
      <c r="J1408">
        <v>2</v>
      </c>
      <c r="K1408">
        <v>0</v>
      </c>
      <c r="L1408">
        <v>0</v>
      </c>
      <c r="M1408">
        <v>1</v>
      </c>
      <c r="N1408">
        <v>0</v>
      </c>
      <c r="O1408">
        <v>0</v>
      </c>
      <c r="P1408">
        <v>1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2</v>
      </c>
      <c r="X1408">
        <v>1171.99</v>
      </c>
      <c r="Y1408">
        <v>1171.99</v>
      </c>
      <c r="Z1408">
        <f>AVERAGEIFS(Table1[FinalElo], Table1[Country], Table1[[#This Row],[Country]])</f>
        <v>1012.5275373134326</v>
      </c>
      <c r="AA1408" cm="1">
        <f t="array" ref="AA1408">IF(COUNTIFS(Table1[Country],Table1[[#This Row],[Country]])=1,0, _xlfn.STDEV.S(IF(Table1[Country]=Table1[[#This Row],[Country]],Table1[FinalElo])))</f>
        <v>135.61062237674741</v>
      </c>
      <c r="AB1408">
        <f>IF(Table1[[#This Row],[CStd]]=0,0, (Table1[[#This Row],[FinalElo]]-Table1[[#This Row],[CAvg]]) / Table1[[#This Row],[CStd]])</f>
        <v>1.1758847492311912</v>
      </c>
      <c r="AC1408" t="str">
        <f>IF(Table1[[#This Row],[CStd]]=0,"Normal", IF(ABS(Table1[[#This Row],[CZscore]])&gt;2,"Outlier","Normal"))</f>
        <v>Normal</v>
      </c>
    </row>
    <row r="1409" spans="1:29" x14ac:dyDescent="0.35">
      <c r="A1409" t="s">
        <v>390</v>
      </c>
      <c r="B1409">
        <v>64.8</v>
      </c>
      <c r="C1409">
        <v>173</v>
      </c>
      <c r="D1409" t="s">
        <v>244</v>
      </c>
      <c r="E1409">
        <v>25</v>
      </c>
      <c r="F1409" t="s">
        <v>133</v>
      </c>
      <c r="G1409" t="s">
        <v>40</v>
      </c>
      <c r="H1409" t="s">
        <v>29</v>
      </c>
      <c r="I1409" t="s">
        <v>73</v>
      </c>
      <c r="J1409">
        <v>0</v>
      </c>
      <c r="K1409">
        <v>1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1</v>
      </c>
      <c r="V1409">
        <v>0</v>
      </c>
      <c r="W1409">
        <v>1</v>
      </c>
      <c r="X1409">
        <v>900</v>
      </c>
      <c r="Y1409">
        <v>1000</v>
      </c>
      <c r="Z1409">
        <f>AVERAGEIFS(Table1[FinalElo], Table1[Country], Table1[[#This Row],[Country]])</f>
        <v>1041.2214285714285</v>
      </c>
      <c r="AA1409" cm="1">
        <f t="array" ref="AA1409">IF(COUNTIFS(Table1[Country],Table1[[#This Row],[Country]])=1,0, _xlfn.STDEV.S(IF(Table1[Country]=Table1[[#This Row],[Country]],Table1[FinalElo])))</f>
        <v>242.01065578665347</v>
      </c>
      <c r="AB1409">
        <f>IF(Table1[[#This Row],[CStd]]=0,0, (Table1[[#This Row],[FinalElo]]-Table1[[#This Row],[CAvg]]) / Table1[[#This Row],[CStd]])</f>
        <v>-0.58353392792722103</v>
      </c>
      <c r="AC1409" t="str">
        <f>IF(Table1[[#This Row],[CStd]]=0,"Normal", IF(ABS(Table1[[#This Row],[CZscore]])&gt;2,"Outlier","Normal"))</f>
        <v>Normal</v>
      </c>
    </row>
    <row r="1410" spans="1:29" x14ac:dyDescent="0.35">
      <c r="A1410" t="s">
        <v>388</v>
      </c>
      <c r="B1410">
        <v>69.900000000000006</v>
      </c>
      <c r="C1410">
        <v>170</v>
      </c>
      <c r="D1410" t="s">
        <v>384</v>
      </c>
      <c r="E1410">
        <v>27</v>
      </c>
      <c r="F1410" t="s">
        <v>389</v>
      </c>
      <c r="G1410" t="s">
        <v>40</v>
      </c>
      <c r="H1410" t="s">
        <v>29</v>
      </c>
      <c r="I1410" t="s">
        <v>48</v>
      </c>
      <c r="J1410">
        <v>1</v>
      </c>
      <c r="K1410">
        <v>0</v>
      </c>
      <c r="L1410">
        <v>0</v>
      </c>
      <c r="M1410">
        <v>0</v>
      </c>
      <c r="N1410">
        <v>1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1</v>
      </c>
      <c r="X1410">
        <v>1100</v>
      </c>
      <c r="Y1410">
        <v>1100</v>
      </c>
      <c r="Z1410">
        <f>AVERAGEIFS(Table1[FinalElo], Table1[Country], Table1[[#This Row],[Country]])</f>
        <v>1054.6869565217391</v>
      </c>
      <c r="AA1410" cm="1">
        <f t="array" ref="AA1410">IF(COUNTIFS(Table1[Country],Table1[[#This Row],[Country]])=1,0, _xlfn.STDEV.S(IF(Table1[Country]=Table1[[#This Row],[Country]],Table1[FinalElo])))</f>
        <v>191.2923801275472</v>
      </c>
      <c r="AB1410">
        <f>IF(Table1[[#This Row],[CStd]]=0,0, (Table1[[#This Row],[FinalElo]]-Table1[[#This Row],[CAvg]]) / Table1[[#This Row],[CStd]])</f>
        <v>0.23687845510651112</v>
      </c>
      <c r="AC1410" t="str">
        <f>IF(Table1[[#This Row],[CStd]]=0,"Normal", IF(ABS(Table1[[#This Row],[CZscore]])&gt;2,"Outlier","Normal"))</f>
        <v>Normal</v>
      </c>
    </row>
    <row r="1411" spans="1:29" x14ac:dyDescent="0.35">
      <c r="A1411" t="s">
        <v>386</v>
      </c>
      <c r="B1411">
        <v>56.5</v>
      </c>
      <c r="C1411">
        <v>165</v>
      </c>
      <c r="D1411" t="s">
        <v>38</v>
      </c>
      <c r="E1411">
        <v>29</v>
      </c>
      <c r="F1411" t="s">
        <v>387</v>
      </c>
      <c r="G1411" t="s">
        <v>28</v>
      </c>
      <c r="H1411" t="s">
        <v>29</v>
      </c>
      <c r="I1411" t="s">
        <v>36</v>
      </c>
      <c r="J1411">
        <v>2</v>
      </c>
      <c r="K1411">
        <v>3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2</v>
      </c>
      <c r="R1411">
        <v>0</v>
      </c>
      <c r="S1411">
        <v>0</v>
      </c>
      <c r="T1411">
        <v>0</v>
      </c>
      <c r="U1411">
        <v>2</v>
      </c>
      <c r="V1411">
        <v>1</v>
      </c>
      <c r="W1411">
        <v>5</v>
      </c>
      <c r="X1411">
        <v>865.92</v>
      </c>
      <c r="Y1411">
        <v>1081.3800000000001</v>
      </c>
      <c r="Z1411">
        <f>AVERAGEIFS(Table1[FinalElo], Table1[Country], Table1[[#This Row],[Country]])</f>
        <v>1057.4495402298851</v>
      </c>
      <c r="AA1411" cm="1">
        <f t="array" ref="AA1411">IF(COUNTIFS(Table1[Country],Table1[[#This Row],[Country]])=1,0, _xlfn.STDEV.S(IF(Table1[Country]=Table1[[#This Row],[Country]],Table1[FinalElo])))</f>
        <v>156.98667602259493</v>
      </c>
      <c r="AB1411">
        <f>IF(Table1[[#This Row],[CStd]]=0,0, (Table1[[#This Row],[FinalElo]]-Table1[[#This Row],[CAvg]]) / Table1[[#This Row],[CStd]])</f>
        <v>-1.2200369170331276</v>
      </c>
      <c r="AC1411" t="str">
        <f>IF(Table1[[#This Row],[CStd]]=0,"Normal", IF(ABS(Table1[[#This Row],[CZscore]])&gt;2,"Outlier","Normal"))</f>
        <v>Normal</v>
      </c>
    </row>
    <row r="1412" spans="1:29" x14ac:dyDescent="0.35">
      <c r="A1412" t="s">
        <v>383</v>
      </c>
      <c r="B1412">
        <v>57.7</v>
      </c>
      <c r="C1412">
        <v>174</v>
      </c>
      <c r="D1412" t="s">
        <v>384</v>
      </c>
      <c r="E1412">
        <v>22</v>
      </c>
      <c r="F1412" t="s">
        <v>385</v>
      </c>
      <c r="G1412" t="s">
        <v>34</v>
      </c>
      <c r="H1412" t="s">
        <v>29</v>
      </c>
      <c r="I1412" t="s">
        <v>58</v>
      </c>
      <c r="J1412">
        <v>8</v>
      </c>
      <c r="K1412">
        <v>0</v>
      </c>
      <c r="L1412">
        <v>0</v>
      </c>
      <c r="M1412">
        <v>1</v>
      </c>
      <c r="N1412">
        <v>0</v>
      </c>
      <c r="O1412">
        <v>0</v>
      </c>
      <c r="P1412">
        <v>4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8</v>
      </c>
      <c r="X1412">
        <v>1490.09</v>
      </c>
      <c r="Y1412">
        <v>1490.09</v>
      </c>
      <c r="Z1412">
        <f>AVERAGEIFS(Table1[FinalElo], Table1[Country], Table1[[#This Row],[Country]])</f>
        <v>1054.6869565217391</v>
      </c>
      <c r="AA1412" cm="1">
        <f t="array" ref="AA1412">IF(COUNTIFS(Table1[Country],Table1[[#This Row],[Country]])=1,0, _xlfn.STDEV.S(IF(Table1[Country]=Table1[[#This Row],[Country]],Table1[FinalElo])))</f>
        <v>191.2923801275472</v>
      </c>
      <c r="AB1412">
        <f>IF(Table1[[#This Row],[CStd]]=0,0, (Table1[[#This Row],[FinalElo]]-Table1[[#This Row],[CAvg]]) / Table1[[#This Row],[CStd]])</f>
        <v>2.2761128445782783</v>
      </c>
      <c r="AC1412" t="str">
        <f>IF(Table1[[#This Row],[CStd]]=0,"Normal", IF(ABS(Table1[[#This Row],[CZscore]])&gt;2,"Outlier","Normal"))</f>
        <v>Outlier</v>
      </c>
    </row>
    <row r="1413" spans="1:29" x14ac:dyDescent="0.35">
      <c r="A1413" t="s">
        <v>379</v>
      </c>
      <c r="B1413">
        <v>65.77</v>
      </c>
      <c r="C1413">
        <v>178</v>
      </c>
      <c r="D1413" t="s">
        <v>71</v>
      </c>
      <c r="E1413">
        <v>33</v>
      </c>
      <c r="F1413" t="s">
        <v>380</v>
      </c>
      <c r="G1413" t="s">
        <v>54</v>
      </c>
      <c r="H1413" t="s">
        <v>29</v>
      </c>
      <c r="I1413" t="s">
        <v>48</v>
      </c>
      <c r="J1413">
        <v>0</v>
      </c>
      <c r="K1413">
        <v>1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1</v>
      </c>
      <c r="V1413">
        <v>0</v>
      </c>
      <c r="W1413">
        <v>1</v>
      </c>
      <c r="X1413">
        <v>900</v>
      </c>
      <c r="Y1413">
        <v>1000</v>
      </c>
      <c r="Z1413">
        <f>AVERAGEIFS(Table1[FinalElo], Table1[Country], Table1[[#This Row],[Country]])</f>
        <v>991.47826086956536</v>
      </c>
      <c r="AA1413" cm="1">
        <f t="array" ref="AA1413">IF(COUNTIFS(Table1[Country],Table1[[#This Row],[Country]])=1,0, _xlfn.STDEV.S(IF(Table1[Country]=Table1[[#This Row],[Country]],Table1[FinalElo])))</f>
        <v>164.61500422203164</v>
      </c>
      <c r="AB1413">
        <f>IF(Table1[[#This Row],[CStd]]=0,0, (Table1[[#This Row],[FinalElo]]-Table1[[#This Row],[CAvg]]) / Table1[[#This Row],[CStd]])</f>
        <v>-0.55571034549305165</v>
      </c>
      <c r="AC1413" t="str">
        <f>IF(Table1[[#This Row],[CStd]]=0,"Normal", IF(ABS(Table1[[#This Row],[CZscore]])&gt;2,"Outlier","Normal"))</f>
        <v>Normal</v>
      </c>
    </row>
    <row r="1414" spans="1:29" x14ac:dyDescent="0.35">
      <c r="A1414" t="s">
        <v>376</v>
      </c>
      <c r="B1414">
        <v>52.2</v>
      </c>
      <c r="C1414">
        <v>159</v>
      </c>
      <c r="D1414" t="s">
        <v>377</v>
      </c>
      <c r="E1414">
        <v>26</v>
      </c>
      <c r="F1414" t="s">
        <v>378</v>
      </c>
      <c r="G1414" t="s">
        <v>40</v>
      </c>
      <c r="H1414" t="s">
        <v>29</v>
      </c>
      <c r="I1414" t="s">
        <v>36</v>
      </c>
      <c r="J1414">
        <v>0</v>
      </c>
      <c r="K1414">
        <v>3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2</v>
      </c>
      <c r="T1414">
        <v>0</v>
      </c>
      <c r="U1414">
        <v>1</v>
      </c>
      <c r="V1414">
        <v>0</v>
      </c>
      <c r="W1414">
        <v>3</v>
      </c>
      <c r="X1414">
        <v>817.14</v>
      </c>
      <c r="Y1414">
        <v>1000</v>
      </c>
      <c r="Z1414">
        <f>AVERAGEIFS(Table1[FinalElo], Table1[Country], Table1[[#This Row],[Country]])</f>
        <v>817.14</v>
      </c>
      <c r="AA1414" cm="1">
        <f t="array" ref="AA1414">IF(COUNTIFS(Table1[Country],Table1[[#This Row],[Country]])=1,0, _xlfn.STDEV.S(IF(Table1[Country]=Table1[[#This Row],[Country]],Table1[FinalElo])))</f>
        <v>0</v>
      </c>
      <c r="AB1414">
        <f>IF(Table1[[#This Row],[CStd]]=0,0, (Table1[[#This Row],[FinalElo]]-Table1[[#This Row],[CAvg]]) / Table1[[#This Row],[CStd]])</f>
        <v>0</v>
      </c>
      <c r="AC1414" t="str">
        <f>IF(Table1[[#This Row],[CStd]]=0,"Normal", IF(ABS(Table1[[#This Row],[CZscore]])&gt;2,"Outlier","Normal"))</f>
        <v>Normal</v>
      </c>
    </row>
    <row r="1415" spans="1:29" x14ac:dyDescent="0.35">
      <c r="A1415" t="s">
        <v>374</v>
      </c>
      <c r="B1415">
        <v>56.7</v>
      </c>
      <c r="C1415">
        <v>168</v>
      </c>
      <c r="D1415" t="s">
        <v>82</v>
      </c>
      <c r="E1415">
        <v>23</v>
      </c>
      <c r="F1415" t="s">
        <v>375</v>
      </c>
      <c r="G1415" t="s">
        <v>34</v>
      </c>
      <c r="H1415" t="s">
        <v>29</v>
      </c>
      <c r="I1415" t="s">
        <v>58</v>
      </c>
      <c r="J1415">
        <v>2</v>
      </c>
      <c r="K1415">
        <v>1</v>
      </c>
      <c r="L1415">
        <v>0</v>
      </c>
      <c r="M1415">
        <v>0</v>
      </c>
      <c r="N1415">
        <v>0</v>
      </c>
      <c r="O1415">
        <v>0</v>
      </c>
      <c r="P1415">
        <v>1</v>
      </c>
      <c r="Q1415">
        <v>1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3</v>
      </c>
      <c r="X1415">
        <v>1102.76</v>
      </c>
      <c r="Y1415">
        <v>1102.76</v>
      </c>
      <c r="Z1415">
        <f>AVERAGEIFS(Table1[FinalElo], Table1[Country], Table1[[#This Row],[Country]])</f>
        <v>1012.5275373134326</v>
      </c>
      <c r="AA1415" cm="1">
        <f t="array" ref="AA1415">IF(COUNTIFS(Table1[Country],Table1[[#This Row],[Country]])=1,0, _xlfn.STDEV.S(IF(Table1[Country]=Table1[[#This Row],[Country]],Table1[FinalElo])))</f>
        <v>135.61062237674741</v>
      </c>
      <c r="AB1415">
        <f>IF(Table1[[#This Row],[CStd]]=0,0, (Table1[[#This Row],[FinalElo]]-Table1[[#This Row],[CAvg]]) / Table1[[#This Row],[CStd]])</f>
        <v>0.66537901755135043</v>
      </c>
      <c r="AC1415" t="str">
        <f>IF(Table1[[#This Row],[CStd]]=0,"Normal", IF(ABS(Table1[[#This Row],[CZscore]])&gt;2,"Outlier","Normal"))</f>
        <v>Normal</v>
      </c>
    </row>
    <row r="1416" spans="1:29" x14ac:dyDescent="0.35">
      <c r="A1416" t="s">
        <v>373</v>
      </c>
      <c r="B1416">
        <v>60.2</v>
      </c>
      <c r="C1416">
        <v>180</v>
      </c>
      <c r="D1416" t="s">
        <v>38</v>
      </c>
      <c r="E1416">
        <v>22</v>
      </c>
      <c r="F1416" t="s">
        <v>87</v>
      </c>
      <c r="G1416" t="s">
        <v>34</v>
      </c>
      <c r="H1416" t="s">
        <v>29</v>
      </c>
      <c r="I1416" t="s">
        <v>58</v>
      </c>
      <c r="J1416">
        <v>5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1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5</v>
      </c>
      <c r="X1416">
        <v>1356.07</v>
      </c>
      <c r="Y1416">
        <v>1356.07</v>
      </c>
      <c r="Z1416">
        <f>AVERAGEIFS(Table1[FinalElo], Table1[Country], Table1[[#This Row],[Country]])</f>
        <v>1057.4495402298851</v>
      </c>
      <c r="AA1416" cm="1">
        <f t="array" ref="AA1416">IF(COUNTIFS(Table1[Country],Table1[[#This Row],[Country]])=1,0, _xlfn.STDEV.S(IF(Table1[Country]=Table1[[#This Row],[Country]],Table1[FinalElo])))</f>
        <v>156.98667602259493</v>
      </c>
      <c r="AB1416">
        <f>IF(Table1[[#This Row],[CStd]]=0,0, (Table1[[#This Row],[FinalElo]]-Table1[[#This Row],[CAvg]]) / Table1[[#This Row],[CStd]])</f>
        <v>1.9022025775431712</v>
      </c>
      <c r="AC1416" t="str">
        <f>IF(Table1[[#This Row],[CStd]]=0,"Normal", IF(ABS(Table1[[#This Row],[CZscore]])&gt;2,"Outlier","Normal"))</f>
        <v>Normal</v>
      </c>
    </row>
    <row r="1417" spans="1:29" x14ac:dyDescent="0.35">
      <c r="A1417" t="s">
        <v>371</v>
      </c>
      <c r="B1417">
        <v>65.400000000000006</v>
      </c>
      <c r="C1417">
        <v>173</v>
      </c>
      <c r="D1417" t="s">
        <v>52</v>
      </c>
      <c r="E1417">
        <v>35</v>
      </c>
      <c r="F1417" t="s">
        <v>372</v>
      </c>
      <c r="G1417" t="s">
        <v>34</v>
      </c>
      <c r="H1417" t="s">
        <v>29</v>
      </c>
      <c r="I1417" t="s">
        <v>73</v>
      </c>
      <c r="J1417">
        <v>3</v>
      </c>
      <c r="K1417">
        <v>2</v>
      </c>
      <c r="L1417">
        <v>0</v>
      </c>
      <c r="M1417">
        <v>2</v>
      </c>
      <c r="N1417">
        <v>0</v>
      </c>
      <c r="O1417">
        <v>0</v>
      </c>
      <c r="P1417">
        <v>0</v>
      </c>
      <c r="Q1417">
        <v>0</v>
      </c>
      <c r="R1417">
        <v>1</v>
      </c>
      <c r="S1417">
        <v>0</v>
      </c>
      <c r="T1417">
        <v>0</v>
      </c>
      <c r="U1417">
        <v>0</v>
      </c>
      <c r="V1417">
        <v>0</v>
      </c>
      <c r="W1417">
        <v>5</v>
      </c>
      <c r="X1417">
        <v>1241.3499999999999</v>
      </c>
      <c r="Y1417">
        <v>1241.3499999999999</v>
      </c>
      <c r="Z1417">
        <f>AVERAGEIFS(Table1[FinalElo], Table1[Country], Table1[[#This Row],[Country]])</f>
        <v>1039.8985714285714</v>
      </c>
      <c r="AA1417" cm="1">
        <f t="array" ref="AA1417">IF(COUNTIFS(Table1[Country],Table1[[#This Row],[Country]])=1,0, _xlfn.STDEV.S(IF(Table1[Country]=Table1[[#This Row],[Country]],Table1[FinalElo])))</f>
        <v>194.01778111336392</v>
      </c>
      <c r="AB1417">
        <f>IF(Table1[[#This Row],[CStd]]=0,0, (Table1[[#This Row],[FinalElo]]-Table1[[#This Row],[CAvg]]) / Table1[[#This Row],[CStd]])</f>
        <v>1.0383142587004497</v>
      </c>
      <c r="AC1417" t="str">
        <f>IF(Table1[[#This Row],[CStd]]=0,"Normal", IF(ABS(Table1[[#This Row],[CZscore]])&gt;2,"Outlier","Normal"))</f>
        <v>Normal</v>
      </c>
    </row>
    <row r="1418" spans="1:29" x14ac:dyDescent="0.35">
      <c r="A1418" t="s">
        <v>370</v>
      </c>
      <c r="B1418">
        <v>73.400000000000006</v>
      </c>
      <c r="C1418">
        <v>185</v>
      </c>
      <c r="D1418" t="s">
        <v>146</v>
      </c>
      <c r="E1418">
        <v>23</v>
      </c>
      <c r="F1418" t="s">
        <v>138</v>
      </c>
      <c r="G1418" t="s">
        <v>34</v>
      </c>
      <c r="H1418" t="s">
        <v>29</v>
      </c>
      <c r="I1418" t="s">
        <v>30</v>
      </c>
      <c r="J1418">
        <v>1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1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1</v>
      </c>
      <c r="X1418">
        <v>1100</v>
      </c>
      <c r="Y1418">
        <v>1100</v>
      </c>
      <c r="Z1418">
        <f>AVERAGEIFS(Table1[FinalElo], Table1[Country], Table1[[#This Row],[Country]])</f>
        <v>971.46103448275846</v>
      </c>
      <c r="AA1418" cm="1">
        <f t="array" ref="AA1418">IF(COUNTIFS(Table1[Country],Table1[[#This Row],[Country]])=1,0, _xlfn.STDEV.S(IF(Table1[Country]=Table1[[#This Row],[Country]],Table1[FinalElo])))</f>
        <v>107.62263899334665</v>
      </c>
      <c r="AB1418">
        <f>IF(Table1[[#This Row],[CStd]]=0,0, (Table1[[#This Row],[FinalElo]]-Table1[[#This Row],[CAvg]]) / Table1[[#This Row],[CStd]])</f>
        <v>1.1943487608140508</v>
      </c>
      <c r="AC1418" t="str">
        <f>IF(Table1[[#This Row],[CStd]]=0,"Normal", IF(ABS(Table1[[#This Row],[CZscore]])&gt;2,"Outlier","Normal"))</f>
        <v>Normal</v>
      </c>
    </row>
    <row r="1419" spans="1:29" x14ac:dyDescent="0.35">
      <c r="A1419" t="s">
        <v>367</v>
      </c>
      <c r="B1419">
        <v>51.4</v>
      </c>
      <c r="C1419">
        <v>160</v>
      </c>
      <c r="D1419" t="s">
        <v>368</v>
      </c>
      <c r="E1419">
        <v>29</v>
      </c>
      <c r="F1419" t="s">
        <v>369</v>
      </c>
      <c r="G1419" t="s">
        <v>40</v>
      </c>
      <c r="H1419" t="s">
        <v>29</v>
      </c>
      <c r="I1419" t="s">
        <v>55</v>
      </c>
      <c r="J1419">
        <v>0</v>
      </c>
      <c r="K1419">
        <v>1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1</v>
      </c>
      <c r="V1419">
        <v>0</v>
      </c>
      <c r="W1419">
        <v>1</v>
      </c>
      <c r="X1419">
        <v>874.99</v>
      </c>
      <c r="Y1419">
        <v>1000</v>
      </c>
      <c r="Z1419">
        <f>AVERAGEIFS(Table1[FinalElo], Table1[Country], Table1[[#This Row],[Country]])</f>
        <v>980.53583333333336</v>
      </c>
      <c r="AA1419" cm="1">
        <f t="array" ref="AA1419">IF(COUNTIFS(Table1[Country],Table1[[#This Row],[Country]])=1,0, _xlfn.STDEV.S(IF(Table1[Country]=Table1[[#This Row],[Country]],Table1[FinalElo])))</f>
        <v>85.643213227725752</v>
      </c>
      <c r="AB1419">
        <f>IF(Table1[[#This Row],[CStd]]=0,0, (Table1[[#This Row],[FinalElo]]-Table1[[#This Row],[CAvg]]) / Table1[[#This Row],[CStd]])</f>
        <v>-1.2323899274153391</v>
      </c>
      <c r="AC1419" t="str">
        <f>IF(Table1[[#This Row],[CStd]]=0,"Normal", IF(ABS(Table1[[#This Row],[CZscore]])&gt;2,"Outlier","Normal"))</f>
        <v>Normal</v>
      </c>
    </row>
    <row r="1420" spans="1:29" x14ac:dyDescent="0.35">
      <c r="A1420" t="s">
        <v>366</v>
      </c>
      <c r="B1420">
        <v>65.8</v>
      </c>
      <c r="C1420">
        <v>174</v>
      </c>
      <c r="D1420" t="s">
        <v>26</v>
      </c>
      <c r="E1420">
        <v>28</v>
      </c>
      <c r="F1420" t="s">
        <v>33</v>
      </c>
      <c r="G1420" t="s">
        <v>28</v>
      </c>
      <c r="H1420" t="s">
        <v>29</v>
      </c>
      <c r="I1420" t="s">
        <v>48</v>
      </c>
      <c r="J1420">
        <v>0</v>
      </c>
      <c r="K1420">
        <v>1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1</v>
      </c>
      <c r="W1420">
        <v>1</v>
      </c>
      <c r="X1420">
        <v>900</v>
      </c>
      <c r="Y1420">
        <v>1000</v>
      </c>
      <c r="Z1420">
        <f>AVERAGEIFS(Table1[FinalElo], Table1[Country], Table1[[#This Row],[Country]])</f>
        <v>979.07416666666666</v>
      </c>
      <c r="AA1420" cm="1">
        <f t="array" ref="AA1420">IF(COUNTIFS(Table1[Country],Table1[[#This Row],[Country]])=1,0, _xlfn.STDEV.S(IF(Table1[Country]=Table1[[#This Row],[Country]],Table1[FinalElo])))</f>
        <v>130.18126931728986</v>
      </c>
      <c r="AB1420">
        <f>IF(Table1[[#This Row],[CStd]]=0,0, (Table1[[#This Row],[FinalElo]]-Table1[[#This Row],[CAvg]]) / Table1[[#This Row],[CStd]])</f>
        <v>-0.60741585238303186</v>
      </c>
      <c r="AC1420" t="str">
        <f>IF(Table1[[#This Row],[CStd]]=0,"Normal", IF(ABS(Table1[[#This Row],[CZscore]])&gt;2,"Outlier","Normal"))</f>
        <v>Normal</v>
      </c>
    </row>
    <row r="1421" spans="1:29" x14ac:dyDescent="0.35">
      <c r="A1421" t="s">
        <v>364</v>
      </c>
      <c r="B1421">
        <v>65.8</v>
      </c>
      <c r="C1421">
        <v>173</v>
      </c>
      <c r="D1421" t="s">
        <v>38</v>
      </c>
      <c r="E1421">
        <v>29</v>
      </c>
      <c r="F1421" t="s">
        <v>365</v>
      </c>
      <c r="G1421" t="s">
        <v>40</v>
      </c>
      <c r="H1421" t="s">
        <v>29</v>
      </c>
      <c r="I1421" t="s">
        <v>48</v>
      </c>
      <c r="J1421">
        <v>2</v>
      </c>
      <c r="K1421">
        <v>1</v>
      </c>
      <c r="L1421">
        <v>0</v>
      </c>
      <c r="M1421">
        <v>1</v>
      </c>
      <c r="N1421">
        <v>0</v>
      </c>
      <c r="O1421">
        <v>0</v>
      </c>
      <c r="P1421">
        <v>1</v>
      </c>
      <c r="Q1421">
        <v>0</v>
      </c>
      <c r="R1421">
        <v>1</v>
      </c>
      <c r="S1421">
        <v>0</v>
      </c>
      <c r="T1421">
        <v>0</v>
      </c>
      <c r="U1421">
        <v>0</v>
      </c>
      <c r="V1421">
        <v>0</v>
      </c>
      <c r="W1421">
        <v>3</v>
      </c>
      <c r="X1421">
        <v>1201.47</v>
      </c>
      <c r="Y1421">
        <v>1201.47</v>
      </c>
      <c r="Z1421">
        <f>AVERAGEIFS(Table1[FinalElo], Table1[Country], Table1[[#This Row],[Country]])</f>
        <v>1057.4495402298851</v>
      </c>
      <c r="AA1421" cm="1">
        <f t="array" ref="AA1421">IF(COUNTIFS(Table1[Country],Table1[[#This Row],[Country]])=1,0, _xlfn.STDEV.S(IF(Table1[Country]=Table1[[#This Row],[Country]],Table1[FinalElo])))</f>
        <v>156.98667602259493</v>
      </c>
      <c r="AB1421">
        <f>IF(Table1[[#This Row],[CStd]]=0,0, (Table1[[#This Row],[FinalElo]]-Table1[[#This Row],[CAvg]]) / Table1[[#This Row],[CStd]])</f>
        <v>0.91740562587226337</v>
      </c>
      <c r="AC1421" t="str">
        <f>IF(Table1[[#This Row],[CStd]]=0,"Normal", IF(ABS(Table1[[#This Row],[CZscore]])&gt;2,"Outlier","Normal"))</f>
        <v>Normal</v>
      </c>
    </row>
    <row r="1422" spans="1:29" x14ac:dyDescent="0.35">
      <c r="A1422" t="s">
        <v>362</v>
      </c>
      <c r="B1422">
        <v>52.16</v>
      </c>
      <c r="C1422">
        <v>165</v>
      </c>
      <c r="D1422" t="s">
        <v>89</v>
      </c>
      <c r="E1422">
        <v>24</v>
      </c>
      <c r="F1422" t="s">
        <v>363</v>
      </c>
      <c r="G1422" t="s">
        <v>34</v>
      </c>
      <c r="H1422" t="s">
        <v>29</v>
      </c>
      <c r="I1422" t="s">
        <v>36</v>
      </c>
      <c r="J1422">
        <v>0</v>
      </c>
      <c r="K1422">
        <v>1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1</v>
      </c>
      <c r="X1422">
        <v>937.08</v>
      </c>
      <c r="Y1422">
        <v>1000</v>
      </c>
      <c r="Z1422">
        <f>AVERAGEIFS(Table1[FinalElo], Table1[Country], Table1[[#This Row],[Country]])</f>
        <v>1012.0629025423733</v>
      </c>
      <c r="AA1422" cm="1">
        <f t="array" ref="AA1422">IF(COUNTIFS(Table1[Country],Table1[[#This Row],[Country]])=1,0, _xlfn.STDEV.S(IF(Table1[Country]=Table1[[#This Row],[Country]],Table1[FinalElo])))</f>
        <v>148.42180446198614</v>
      </c>
      <c r="AB1422">
        <f>IF(Table1[[#This Row],[CStd]]=0,0, (Table1[[#This Row],[FinalElo]]-Table1[[#This Row],[CAvg]]) / Table1[[#This Row],[CStd]])</f>
        <v>-0.50520139418988075</v>
      </c>
      <c r="AC1422" t="str">
        <f>IF(Table1[[#This Row],[CStd]]=0,"Normal", IF(ABS(Table1[[#This Row],[CZscore]])&gt;2,"Outlier","Normal"))</f>
        <v>Normal</v>
      </c>
    </row>
    <row r="1423" spans="1:29" x14ac:dyDescent="0.35">
      <c r="A1423" t="s">
        <v>360</v>
      </c>
      <c r="B1423">
        <v>56.7</v>
      </c>
      <c r="C1423">
        <v>168</v>
      </c>
      <c r="D1423" t="s">
        <v>60</v>
      </c>
      <c r="E1423">
        <v>30</v>
      </c>
      <c r="F1423" t="s">
        <v>361</v>
      </c>
      <c r="G1423" t="s">
        <v>40</v>
      </c>
      <c r="H1423" t="s">
        <v>29</v>
      </c>
      <c r="I1423" t="s">
        <v>58</v>
      </c>
      <c r="J1423">
        <v>0</v>
      </c>
      <c r="K1423">
        <v>1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1</v>
      </c>
      <c r="S1423">
        <v>0</v>
      </c>
      <c r="T1423">
        <v>0</v>
      </c>
      <c r="U1423">
        <v>0</v>
      </c>
      <c r="V1423">
        <v>0</v>
      </c>
      <c r="W1423">
        <v>1</v>
      </c>
      <c r="X1423">
        <v>900</v>
      </c>
      <c r="Y1423">
        <v>1000</v>
      </c>
      <c r="Z1423">
        <f>AVERAGEIFS(Table1[FinalElo], Table1[Country], Table1[[#This Row],[Country]])</f>
        <v>1034.681315789474</v>
      </c>
      <c r="AA1423" cm="1">
        <f t="array" ref="AA1423">IF(COUNTIFS(Table1[Country],Table1[[#This Row],[Country]])=1,0, _xlfn.STDEV.S(IF(Table1[Country]=Table1[[#This Row],[Country]],Table1[FinalElo])))</f>
        <v>152.902810204692</v>
      </c>
      <c r="AB1423">
        <f>IF(Table1[[#This Row],[CStd]]=0,0, (Table1[[#This Row],[FinalElo]]-Table1[[#This Row],[CAvg]]) / Table1[[#This Row],[CStd]])</f>
        <v>-0.88082956493196685</v>
      </c>
      <c r="AC1423" t="str">
        <f>IF(Table1[[#This Row],[CStd]]=0,"Normal", IF(ABS(Table1[[#This Row],[CZscore]])&gt;2,"Outlier","Normal"))</f>
        <v>Normal</v>
      </c>
    </row>
    <row r="1424" spans="1:29" x14ac:dyDescent="0.35">
      <c r="A1424" t="s">
        <v>357</v>
      </c>
      <c r="B1424">
        <v>56.7</v>
      </c>
      <c r="C1424">
        <v>163</v>
      </c>
      <c r="D1424" t="s">
        <v>358</v>
      </c>
      <c r="E1424">
        <v>35</v>
      </c>
      <c r="F1424" t="s">
        <v>359</v>
      </c>
      <c r="G1424" t="s">
        <v>40</v>
      </c>
      <c r="H1424" t="s">
        <v>29</v>
      </c>
      <c r="I1424" t="s">
        <v>58</v>
      </c>
      <c r="J1424">
        <v>0</v>
      </c>
      <c r="K1424">
        <v>2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2</v>
      </c>
      <c r="S1424">
        <v>0</v>
      </c>
      <c r="T1424">
        <v>0</v>
      </c>
      <c r="U1424">
        <v>0</v>
      </c>
      <c r="V1424">
        <v>0</v>
      </c>
      <c r="W1424">
        <v>2</v>
      </c>
      <c r="X1424">
        <v>800</v>
      </c>
      <c r="Y1424">
        <v>1000</v>
      </c>
      <c r="Z1424">
        <f>AVERAGEIFS(Table1[FinalElo], Table1[Country], Table1[[#This Row],[Country]])</f>
        <v>974.61500000000012</v>
      </c>
      <c r="AA1424" cm="1">
        <f t="array" ref="AA1424">IF(COUNTIFS(Table1[Country],Table1[[#This Row],[Country]])=1,0, _xlfn.STDEV.S(IF(Table1[Country]=Table1[[#This Row],[Country]],Table1[FinalElo])))</f>
        <v>146.82246313768914</v>
      </c>
      <c r="AB1424">
        <f>IF(Table1[[#This Row],[CStd]]=0,0, (Table1[[#This Row],[FinalElo]]-Table1[[#This Row],[CAvg]]) / Table1[[#This Row],[CStd]])</f>
        <v>-1.1892934927555827</v>
      </c>
      <c r="AC1424" t="str">
        <f>IF(Table1[[#This Row],[CStd]]=0,"Normal", IF(ABS(Table1[[#This Row],[CZscore]])&gt;2,"Outlier","Normal"))</f>
        <v>Normal</v>
      </c>
    </row>
    <row r="1425" spans="1:29" x14ac:dyDescent="0.35">
      <c r="A1425" t="s">
        <v>354</v>
      </c>
      <c r="B1425">
        <v>75.7</v>
      </c>
      <c r="C1425">
        <v>178</v>
      </c>
      <c r="D1425" t="s">
        <v>355</v>
      </c>
      <c r="E1425">
        <v>43</v>
      </c>
      <c r="F1425" t="s">
        <v>356</v>
      </c>
      <c r="G1425" t="s">
        <v>40</v>
      </c>
      <c r="H1425" t="s">
        <v>29</v>
      </c>
      <c r="I1425" t="s">
        <v>30</v>
      </c>
      <c r="J1425">
        <v>5</v>
      </c>
      <c r="K1425">
        <v>3</v>
      </c>
      <c r="L1425">
        <v>0</v>
      </c>
      <c r="M1425">
        <v>1</v>
      </c>
      <c r="N1425">
        <v>4</v>
      </c>
      <c r="O1425">
        <v>0</v>
      </c>
      <c r="P1425">
        <v>0</v>
      </c>
      <c r="Q1425">
        <v>0</v>
      </c>
      <c r="R1425">
        <v>1</v>
      </c>
      <c r="S1425">
        <v>0</v>
      </c>
      <c r="T1425">
        <v>0</v>
      </c>
      <c r="U1425">
        <v>1</v>
      </c>
      <c r="V1425">
        <v>1</v>
      </c>
      <c r="W1425">
        <v>8</v>
      </c>
      <c r="X1425">
        <v>1122.5</v>
      </c>
      <c r="Y1425">
        <v>1274.81</v>
      </c>
      <c r="Z1425">
        <f>AVERAGEIFS(Table1[FinalElo], Table1[Country], Table1[[#This Row],[Country]])</f>
        <v>1122.5</v>
      </c>
      <c r="AA1425" cm="1">
        <f t="array" ref="AA1425">IF(COUNTIFS(Table1[Country],Table1[[#This Row],[Country]])=1,0, _xlfn.STDEV.S(IF(Table1[Country]=Table1[[#This Row],[Country]],Table1[FinalElo])))</f>
        <v>0</v>
      </c>
      <c r="AB1425">
        <f>IF(Table1[[#This Row],[CStd]]=0,0, (Table1[[#This Row],[FinalElo]]-Table1[[#This Row],[CAvg]]) / Table1[[#This Row],[CStd]])</f>
        <v>0</v>
      </c>
      <c r="AC1425" t="str">
        <f>IF(Table1[[#This Row],[CStd]]=0,"Normal", IF(ABS(Table1[[#This Row],[CZscore]])&gt;2,"Outlier","Normal"))</f>
        <v>Normal</v>
      </c>
    </row>
    <row r="1426" spans="1:29" x14ac:dyDescent="0.35">
      <c r="A1426" t="s">
        <v>351</v>
      </c>
      <c r="B1426">
        <v>76.7</v>
      </c>
      <c r="C1426">
        <v>181</v>
      </c>
      <c r="D1426" t="s">
        <v>352</v>
      </c>
      <c r="E1426">
        <v>30</v>
      </c>
      <c r="F1426" t="s">
        <v>353</v>
      </c>
      <c r="G1426" t="s">
        <v>28</v>
      </c>
      <c r="H1426" t="s">
        <v>29</v>
      </c>
      <c r="I1426" t="s">
        <v>30</v>
      </c>
      <c r="J1426">
        <v>2</v>
      </c>
      <c r="K1426">
        <v>1</v>
      </c>
      <c r="L1426">
        <v>0</v>
      </c>
      <c r="M1426">
        <v>0</v>
      </c>
      <c r="N1426">
        <v>0</v>
      </c>
      <c r="O1426">
        <v>0</v>
      </c>
      <c r="P1426">
        <v>2</v>
      </c>
      <c r="Q1426">
        <v>0</v>
      </c>
      <c r="R1426">
        <v>0</v>
      </c>
      <c r="S1426">
        <v>0</v>
      </c>
      <c r="T1426">
        <v>0</v>
      </c>
      <c r="U1426">
        <v>1</v>
      </c>
      <c r="V1426">
        <v>0</v>
      </c>
      <c r="W1426">
        <v>3</v>
      </c>
      <c r="X1426">
        <v>1154.6500000000001</v>
      </c>
      <c r="Y1426">
        <v>1154.6500000000001</v>
      </c>
      <c r="Z1426">
        <f>AVERAGEIFS(Table1[FinalElo], Table1[Country], Table1[[#This Row],[Country]])</f>
        <v>1154.6500000000001</v>
      </c>
      <c r="AA1426" cm="1">
        <f t="array" ref="AA1426">IF(COUNTIFS(Table1[Country],Table1[[#This Row],[Country]])=1,0, _xlfn.STDEV.S(IF(Table1[Country]=Table1[[#This Row],[Country]],Table1[FinalElo])))</f>
        <v>0</v>
      </c>
      <c r="AB1426">
        <f>IF(Table1[[#This Row],[CStd]]=0,0, (Table1[[#This Row],[FinalElo]]-Table1[[#This Row],[CAvg]]) / Table1[[#This Row],[CStd]])</f>
        <v>0</v>
      </c>
      <c r="AC1426" t="str">
        <f>IF(Table1[[#This Row],[CStd]]=0,"Normal", IF(ABS(Table1[[#This Row],[CZscore]])&gt;2,"Outlier","Normal"))</f>
        <v>Normal</v>
      </c>
    </row>
    <row r="1427" spans="1:29" x14ac:dyDescent="0.35">
      <c r="A1427" t="s">
        <v>349</v>
      </c>
      <c r="B1427">
        <v>65.77</v>
      </c>
      <c r="C1427">
        <v>175</v>
      </c>
      <c r="D1427" t="s">
        <v>52</v>
      </c>
      <c r="E1427">
        <v>22</v>
      </c>
      <c r="F1427" t="s">
        <v>350</v>
      </c>
      <c r="G1427" t="s">
        <v>34</v>
      </c>
      <c r="H1427" t="s">
        <v>29</v>
      </c>
      <c r="I1427" t="s">
        <v>48</v>
      </c>
      <c r="J1427">
        <v>1</v>
      </c>
      <c r="K1427">
        <v>1</v>
      </c>
      <c r="L1427">
        <v>0</v>
      </c>
      <c r="M1427">
        <v>0</v>
      </c>
      <c r="N1427">
        <v>0</v>
      </c>
      <c r="O1427">
        <v>0</v>
      </c>
      <c r="P1427">
        <v>1</v>
      </c>
      <c r="Q1427">
        <v>0</v>
      </c>
      <c r="R1427">
        <v>0</v>
      </c>
      <c r="S1427">
        <v>0</v>
      </c>
      <c r="T1427">
        <v>0</v>
      </c>
      <c r="U1427">
        <v>1</v>
      </c>
      <c r="V1427">
        <v>0</v>
      </c>
      <c r="W1427">
        <v>2</v>
      </c>
      <c r="X1427">
        <v>1092.17</v>
      </c>
      <c r="Y1427">
        <v>1092.17</v>
      </c>
      <c r="Z1427">
        <f>AVERAGEIFS(Table1[FinalElo], Table1[Country], Table1[[#This Row],[Country]])</f>
        <v>1039.8985714285714</v>
      </c>
      <c r="AA1427" cm="1">
        <f t="array" ref="AA1427">IF(COUNTIFS(Table1[Country],Table1[[#This Row],[Country]])=1,0, _xlfn.STDEV.S(IF(Table1[Country]=Table1[[#This Row],[Country]],Table1[FinalElo])))</f>
        <v>194.01778111336392</v>
      </c>
      <c r="AB1427">
        <f>IF(Table1[[#This Row],[CStd]]=0,0, (Table1[[#This Row],[FinalElo]]-Table1[[#This Row],[CAvg]]) / Table1[[#This Row],[CStd]])</f>
        <v>0.26941566010842427</v>
      </c>
      <c r="AC1427" t="str">
        <f>IF(Table1[[#This Row],[CStd]]=0,"Normal", IF(ABS(Table1[[#This Row],[CZscore]])&gt;2,"Outlier","Normal"))</f>
        <v>Normal</v>
      </c>
    </row>
    <row r="1428" spans="1:29" x14ac:dyDescent="0.35">
      <c r="A1428" t="s">
        <v>347</v>
      </c>
      <c r="B1428">
        <v>54.4</v>
      </c>
      <c r="C1428">
        <v>168</v>
      </c>
      <c r="D1428" t="s">
        <v>82</v>
      </c>
      <c r="E1428">
        <v>20</v>
      </c>
      <c r="F1428" t="s">
        <v>348</v>
      </c>
      <c r="G1428" t="s">
        <v>34</v>
      </c>
      <c r="H1428" t="s">
        <v>29</v>
      </c>
      <c r="I1428" t="s">
        <v>36</v>
      </c>
      <c r="J1428">
        <v>0</v>
      </c>
      <c r="K1428">
        <v>1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1</v>
      </c>
      <c r="X1428">
        <v>900</v>
      </c>
      <c r="Y1428">
        <v>1000</v>
      </c>
      <c r="Z1428">
        <f>AVERAGEIFS(Table1[FinalElo], Table1[Country], Table1[[#This Row],[Country]])</f>
        <v>1012.5275373134326</v>
      </c>
      <c r="AA1428" cm="1">
        <f t="array" ref="AA1428">IF(COUNTIFS(Table1[Country],Table1[[#This Row],[Country]])=1,0, _xlfn.STDEV.S(IF(Table1[Country]=Table1[[#This Row],[Country]],Table1[FinalElo])))</f>
        <v>135.61062237674741</v>
      </c>
      <c r="AB1428">
        <f>IF(Table1[[#This Row],[CStd]]=0,0, (Table1[[#This Row],[FinalElo]]-Table1[[#This Row],[CAvg]]) / Table1[[#This Row],[CStd]])</f>
        <v>-0.82978409317238888</v>
      </c>
      <c r="AC1428" t="str">
        <f>IF(Table1[[#This Row],[CStd]]=0,"Normal", IF(ABS(Table1[[#This Row],[CZscore]])&gt;2,"Outlier","Normal"))</f>
        <v>Normal</v>
      </c>
    </row>
    <row r="1429" spans="1:29" x14ac:dyDescent="0.35">
      <c r="A1429" t="s">
        <v>345</v>
      </c>
      <c r="B1429">
        <v>56.7</v>
      </c>
      <c r="C1429">
        <v>167</v>
      </c>
      <c r="D1429" t="s">
        <v>193</v>
      </c>
      <c r="E1429">
        <v>29</v>
      </c>
      <c r="F1429" t="s">
        <v>346</v>
      </c>
      <c r="G1429" t="s">
        <v>40</v>
      </c>
      <c r="H1429" t="s">
        <v>29</v>
      </c>
      <c r="I1429" t="s">
        <v>58</v>
      </c>
      <c r="J1429">
        <v>0</v>
      </c>
      <c r="K1429">
        <v>1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1</v>
      </c>
      <c r="S1429">
        <v>0</v>
      </c>
      <c r="T1429">
        <v>0</v>
      </c>
      <c r="U1429">
        <v>0</v>
      </c>
      <c r="V1429">
        <v>0</v>
      </c>
      <c r="W1429">
        <v>1</v>
      </c>
      <c r="X1429">
        <v>859.79</v>
      </c>
      <c r="Y1429">
        <v>1000</v>
      </c>
      <c r="Z1429">
        <f>AVERAGEIFS(Table1[FinalElo], Table1[Country], Table1[[#This Row],[Country]])</f>
        <v>997.06500000000005</v>
      </c>
      <c r="AA1429" cm="1">
        <f t="array" ref="AA1429">IF(COUNTIFS(Table1[Country],Table1[[#This Row],[Country]])=1,0, _xlfn.STDEV.S(IF(Table1[Country]=Table1[[#This Row],[Country]],Table1[FinalElo])))</f>
        <v>135.83076329441192</v>
      </c>
      <c r="AB1429">
        <f>IF(Table1[[#This Row],[CStd]]=0,0, (Table1[[#This Row],[FinalElo]]-Table1[[#This Row],[CAvg]]) / Table1[[#This Row],[CStd]])</f>
        <v>-1.0106326186392534</v>
      </c>
      <c r="AC1429" t="str">
        <f>IF(Table1[[#This Row],[CStd]]=0,"Normal", IF(ABS(Table1[[#This Row],[CZscore]])&gt;2,"Outlier","Normal"))</f>
        <v>Normal</v>
      </c>
    </row>
    <row r="1430" spans="1:29" x14ac:dyDescent="0.35">
      <c r="A1430" t="s">
        <v>343</v>
      </c>
      <c r="B1430">
        <v>58.8</v>
      </c>
      <c r="C1430">
        <v>165</v>
      </c>
      <c r="D1430" t="s">
        <v>89</v>
      </c>
      <c r="E1430">
        <v>32</v>
      </c>
      <c r="F1430" t="s">
        <v>344</v>
      </c>
      <c r="G1430" t="s">
        <v>34</v>
      </c>
      <c r="H1430" t="s">
        <v>29</v>
      </c>
      <c r="I1430" t="s">
        <v>58</v>
      </c>
      <c r="J1430">
        <v>4</v>
      </c>
      <c r="K1430">
        <v>3</v>
      </c>
      <c r="L1430">
        <v>0</v>
      </c>
      <c r="M1430">
        <v>0</v>
      </c>
      <c r="N1430">
        <v>0</v>
      </c>
      <c r="O1430">
        <v>0</v>
      </c>
      <c r="P1430">
        <v>2</v>
      </c>
      <c r="Q1430">
        <v>0</v>
      </c>
      <c r="R1430">
        <v>0</v>
      </c>
      <c r="S1430">
        <v>0</v>
      </c>
      <c r="T1430">
        <v>0</v>
      </c>
      <c r="U1430">
        <v>1</v>
      </c>
      <c r="V1430">
        <v>1</v>
      </c>
      <c r="W1430">
        <v>7</v>
      </c>
      <c r="X1430">
        <v>1182.04</v>
      </c>
      <c r="Y1430">
        <v>1182.04</v>
      </c>
      <c r="Z1430">
        <f>AVERAGEIFS(Table1[FinalElo], Table1[Country], Table1[[#This Row],[Country]])</f>
        <v>1012.0629025423733</v>
      </c>
      <c r="AA1430" cm="1">
        <f t="array" ref="AA1430">IF(COUNTIFS(Table1[Country],Table1[[#This Row],[Country]])=1,0, _xlfn.STDEV.S(IF(Table1[Country]=Table1[[#This Row],[Country]],Table1[FinalElo])))</f>
        <v>148.42180446198614</v>
      </c>
      <c r="AB1430">
        <f>IF(Table1[[#This Row],[CStd]]=0,0, (Table1[[#This Row],[FinalElo]]-Table1[[#This Row],[CAvg]]) / Table1[[#This Row],[CStd]])</f>
        <v>1.1452299618224979</v>
      </c>
      <c r="AC1430" t="str">
        <f>IF(Table1[[#This Row],[CStd]]=0,"Normal", IF(ABS(Table1[[#This Row],[CZscore]])&gt;2,"Outlier","Normal"))</f>
        <v>Normal</v>
      </c>
    </row>
    <row r="1431" spans="1:29" x14ac:dyDescent="0.35">
      <c r="A1431" t="s">
        <v>342</v>
      </c>
      <c r="B1431">
        <v>63.502879999999998</v>
      </c>
      <c r="C1431">
        <v>172</v>
      </c>
      <c r="D1431" t="s">
        <v>89</v>
      </c>
      <c r="E1431">
        <v>37</v>
      </c>
      <c r="F1431" t="s">
        <v>110</v>
      </c>
      <c r="G1431" t="s">
        <v>34</v>
      </c>
      <c r="H1431" t="s">
        <v>29</v>
      </c>
      <c r="I1431" t="s">
        <v>73</v>
      </c>
      <c r="J1431">
        <v>1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1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1</v>
      </c>
      <c r="X1431">
        <v>1128.01</v>
      </c>
      <c r="Y1431">
        <v>1128.01</v>
      </c>
      <c r="Z1431">
        <f>AVERAGEIFS(Table1[FinalElo], Table1[Country], Table1[[#This Row],[Country]])</f>
        <v>1012.0629025423733</v>
      </c>
      <c r="AA1431" cm="1">
        <f t="array" ref="AA1431">IF(COUNTIFS(Table1[Country],Table1[[#This Row],[Country]])=1,0, _xlfn.STDEV.S(IF(Table1[Country]=Table1[[#This Row],[Country]],Table1[FinalElo])))</f>
        <v>148.42180446198614</v>
      </c>
      <c r="AB1431">
        <f>IF(Table1[[#This Row],[CStd]]=0,0, (Table1[[#This Row],[FinalElo]]-Table1[[#This Row],[CAvg]]) / Table1[[#This Row],[CStd]])</f>
        <v>0.7811998909319493</v>
      </c>
      <c r="AC1431" t="str">
        <f>IF(Table1[[#This Row],[CStd]]=0,"Normal", IF(ABS(Table1[[#This Row],[CZscore]])&gt;2,"Outlier","Normal"))</f>
        <v>Normal</v>
      </c>
    </row>
    <row r="1432" spans="1:29" x14ac:dyDescent="0.35">
      <c r="A1432" t="s">
        <v>340</v>
      </c>
      <c r="B1432">
        <v>53</v>
      </c>
      <c r="C1432">
        <v>169</v>
      </c>
      <c r="D1432" t="s">
        <v>89</v>
      </c>
      <c r="E1432">
        <v>-1</v>
      </c>
      <c r="F1432" t="s">
        <v>341</v>
      </c>
      <c r="G1432" t="s">
        <v>34</v>
      </c>
      <c r="H1432" t="s">
        <v>29</v>
      </c>
      <c r="I1432" t="s">
        <v>36</v>
      </c>
      <c r="J1432">
        <v>0</v>
      </c>
      <c r="K1432">
        <v>1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1</v>
      </c>
      <c r="V1432">
        <v>0</v>
      </c>
      <c r="W1432">
        <v>1</v>
      </c>
      <c r="X1432">
        <v>900</v>
      </c>
      <c r="Y1432">
        <v>1000</v>
      </c>
      <c r="Z1432">
        <f>AVERAGEIFS(Table1[FinalElo], Table1[Country], Table1[[#This Row],[Country]])</f>
        <v>1012.0629025423733</v>
      </c>
      <c r="AA1432" cm="1">
        <f t="array" ref="AA1432">IF(COUNTIFS(Table1[Country],Table1[[#This Row],[Country]])=1,0, _xlfn.STDEV.S(IF(Table1[Country]=Table1[[#This Row],[Country]],Table1[FinalElo])))</f>
        <v>148.42180446198614</v>
      </c>
      <c r="AB1432">
        <f>IF(Table1[[#This Row],[CStd]]=0,0, (Table1[[#This Row],[FinalElo]]-Table1[[#This Row],[CAvg]]) / Table1[[#This Row],[CStd]])</f>
        <v>-0.75502991591154589</v>
      </c>
      <c r="AC1432" t="str">
        <f>IF(Table1[[#This Row],[CStd]]=0,"Normal", IF(ABS(Table1[[#This Row],[CZscore]])&gt;2,"Outlier","Normal"))</f>
        <v>Normal</v>
      </c>
    </row>
    <row r="1433" spans="1:29" x14ac:dyDescent="0.35">
      <c r="A1433" t="s">
        <v>338</v>
      </c>
      <c r="B1433">
        <v>55</v>
      </c>
      <c r="C1433">
        <v>175</v>
      </c>
      <c r="D1433" t="s">
        <v>89</v>
      </c>
      <c r="E1433">
        <v>19</v>
      </c>
      <c r="F1433" t="s">
        <v>339</v>
      </c>
      <c r="G1433" t="s">
        <v>34</v>
      </c>
      <c r="H1433" t="s">
        <v>29</v>
      </c>
      <c r="I1433" t="s">
        <v>36</v>
      </c>
      <c r="J1433">
        <v>1</v>
      </c>
      <c r="K1433">
        <v>1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1</v>
      </c>
      <c r="W1433">
        <v>2</v>
      </c>
      <c r="X1433">
        <v>1000</v>
      </c>
      <c r="Y1433">
        <v>1100</v>
      </c>
      <c r="Z1433">
        <f>AVERAGEIFS(Table1[FinalElo], Table1[Country], Table1[[#This Row],[Country]])</f>
        <v>1012.0629025423733</v>
      </c>
      <c r="AA1433" cm="1">
        <f t="array" ref="AA1433">IF(COUNTIFS(Table1[Country],Table1[[#This Row],[Country]])=1,0, _xlfn.STDEV.S(IF(Table1[Country]=Table1[[#This Row],[Country]],Table1[FinalElo])))</f>
        <v>148.42180446198614</v>
      </c>
      <c r="AB1433">
        <f>IF(Table1[[#This Row],[CStd]]=0,0, (Table1[[#This Row],[FinalElo]]-Table1[[#This Row],[CAvg]]) / Table1[[#This Row],[CStd]])</f>
        <v>-8.1274463587746398E-2</v>
      </c>
      <c r="AC1433" t="str">
        <f>IF(Table1[[#This Row],[CStd]]=0,"Normal", IF(ABS(Table1[[#This Row],[CZscore]])&gt;2,"Outlier","Normal"))</f>
        <v>Normal</v>
      </c>
    </row>
    <row r="1434" spans="1:29" x14ac:dyDescent="0.35">
      <c r="A1434" t="s">
        <v>336</v>
      </c>
      <c r="B1434">
        <v>63.502879999999998</v>
      </c>
      <c r="C1434">
        <v>170</v>
      </c>
      <c r="D1434" t="s">
        <v>89</v>
      </c>
      <c r="E1434">
        <v>24</v>
      </c>
      <c r="F1434" t="s">
        <v>337</v>
      </c>
      <c r="G1434" t="s">
        <v>34</v>
      </c>
      <c r="H1434" t="s">
        <v>29</v>
      </c>
      <c r="I1434" t="s">
        <v>73</v>
      </c>
      <c r="J1434">
        <v>0</v>
      </c>
      <c r="K1434">
        <v>1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1</v>
      </c>
      <c r="S1434">
        <v>0</v>
      </c>
      <c r="T1434">
        <v>0</v>
      </c>
      <c r="U1434">
        <v>0</v>
      </c>
      <c r="V1434">
        <v>0</v>
      </c>
      <c r="W1434">
        <v>1</v>
      </c>
      <c r="X1434">
        <v>886.89</v>
      </c>
      <c r="Y1434">
        <v>1000</v>
      </c>
      <c r="Z1434">
        <f>AVERAGEIFS(Table1[FinalElo], Table1[Country], Table1[[#This Row],[Country]])</f>
        <v>1012.0629025423733</v>
      </c>
      <c r="AA1434" cm="1">
        <f t="array" ref="AA1434">IF(COUNTIFS(Table1[Country],Table1[[#This Row],[Country]])=1,0, _xlfn.STDEV.S(IF(Table1[Country]=Table1[[#This Row],[Country]],Table1[FinalElo])))</f>
        <v>148.42180446198614</v>
      </c>
      <c r="AB1434">
        <f>IF(Table1[[#This Row],[CStd]]=0,0, (Table1[[#This Row],[FinalElo]]-Table1[[#This Row],[CAvg]]) / Table1[[#This Row],[CStd]])</f>
        <v>-0.84335925571119619</v>
      </c>
      <c r="AC1434" t="str">
        <f>IF(Table1[[#This Row],[CStd]]=0,"Normal", IF(ABS(Table1[[#This Row],[CZscore]])&gt;2,"Outlier","Normal"))</f>
        <v>Normal</v>
      </c>
    </row>
    <row r="1435" spans="1:29" x14ac:dyDescent="0.35">
      <c r="A1435" t="s">
        <v>334</v>
      </c>
      <c r="B1435">
        <v>47.63</v>
      </c>
      <c r="C1435">
        <v>162</v>
      </c>
      <c r="D1435" t="s">
        <v>226</v>
      </c>
      <c r="E1435">
        <v>26</v>
      </c>
      <c r="F1435" t="s">
        <v>335</v>
      </c>
      <c r="G1435" t="s">
        <v>34</v>
      </c>
      <c r="H1435" t="s">
        <v>29</v>
      </c>
      <c r="I1435" t="s">
        <v>55</v>
      </c>
      <c r="J1435">
        <v>0</v>
      </c>
      <c r="K1435">
        <v>2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1</v>
      </c>
      <c r="S1435">
        <v>0</v>
      </c>
      <c r="T1435">
        <v>0</v>
      </c>
      <c r="U1435">
        <v>1</v>
      </c>
      <c r="V1435">
        <v>0</v>
      </c>
      <c r="W1435">
        <v>2</v>
      </c>
      <c r="X1435">
        <v>828.01</v>
      </c>
      <c r="Y1435">
        <v>1000</v>
      </c>
      <c r="Z1435">
        <f>AVERAGEIFS(Table1[FinalElo], Table1[Country], Table1[[#This Row],[Country]])</f>
        <v>961.00176470588235</v>
      </c>
      <c r="AA1435" cm="1">
        <f t="array" ref="AA1435">IF(COUNTIFS(Table1[Country],Table1[[#This Row],[Country]])=1,0, _xlfn.STDEV.S(IF(Table1[Country]=Table1[[#This Row],[Country]],Table1[FinalElo])))</f>
        <v>117.15877454523515</v>
      </c>
      <c r="AB1435">
        <f>IF(Table1[[#This Row],[CStd]]=0,0, (Table1[[#This Row],[FinalElo]]-Table1[[#This Row],[CAvg]]) / Table1[[#This Row],[CStd]])</f>
        <v>-1.1351413090663054</v>
      </c>
      <c r="AC1435" t="str">
        <f>IF(Table1[[#This Row],[CStd]]=0,"Normal", IF(ABS(Table1[[#This Row],[CZscore]])&gt;2,"Outlier","Normal"))</f>
        <v>Normal</v>
      </c>
    </row>
    <row r="1436" spans="1:29" x14ac:dyDescent="0.35">
      <c r="A1436" t="s">
        <v>331</v>
      </c>
      <c r="B1436">
        <v>56.2</v>
      </c>
      <c r="C1436">
        <v>172</v>
      </c>
      <c r="D1436" t="s">
        <v>332</v>
      </c>
      <c r="E1436">
        <v>33</v>
      </c>
      <c r="F1436" t="s">
        <v>333</v>
      </c>
      <c r="G1436" t="s">
        <v>34</v>
      </c>
      <c r="H1436" t="s">
        <v>29</v>
      </c>
      <c r="I1436" t="s">
        <v>36</v>
      </c>
      <c r="J1436">
        <v>1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1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1</v>
      </c>
      <c r="X1436">
        <v>1109.3</v>
      </c>
      <c r="Y1436">
        <v>1109.3</v>
      </c>
      <c r="Z1436">
        <f>AVERAGEIFS(Table1[FinalElo], Table1[Country], Table1[[#This Row],[Country]])</f>
        <v>975.5858333333332</v>
      </c>
      <c r="AA1436" cm="1">
        <f t="array" ref="AA1436">IF(COUNTIFS(Table1[Country],Table1[[#This Row],[Country]])=1,0, _xlfn.STDEV.S(IF(Table1[Country]=Table1[[#This Row],[Country]],Table1[FinalElo])))</f>
        <v>72.69168633948992</v>
      </c>
      <c r="AB1436">
        <f>IF(Table1[[#This Row],[CStd]]=0,0, (Table1[[#This Row],[FinalElo]]-Table1[[#This Row],[CAvg]]) / Table1[[#This Row],[CStd]])</f>
        <v>1.8394698678771226</v>
      </c>
      <c r="AC1436" t="str">
        <f>IF(Table1[[#This Row],[CStd]]=0,"Normal", IF(ABS(Table1[[#This Row],[CZscore]])&gt;2,"Outlier","Normal"))</f>
        <v>Normal</v>
      </c>
    </row>
    <row r="1437" spans="1:29" x14ac:dyDescent="0.35">
      <c r="A1437" t="s">
        <v>329</v>
      </c>
      <c r="B1437">
        <v>70.31</v>
      </c>
      <c r="C1437">
        <v>183</v>
      </c>
      <c r="D1437" t="s">
        <v>174</v>
      </c>
      <c r="E1437">
        <v>25</v>
      </c>
      <c r="F1437" t="s">
        <v>330</v>
      </c>
      <c r="G1437" t="s">
        <v>40</v>
      </c>
      <c r="H1437" t="s">
        <v>29</v>
      </c>
      <c r="I1437" t="s">
        <v>30</v>
      </c>
      <c r="J1437">
        <v>0</v>
      </c>
      <c r="K1437">
        <v>2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1</v>
      </c>
      <c r="T1437">
        <v>0</v>
      </c>
      <c r="U1437">
        <v>1</v>
      </c>
      <c r="V1437">
        <v>0</v>
      </c>
      <c r="W1437">
        <v>2</v>
      </c>
      <c r="X1437">
        <v>828.01</v>
      </c>
      <c r="Y1437">
        <v>1000</v>
      </c>
      <c r="Z1437">
        <f>AVERAGEIFS(Table1[FinalElo], Table1[Country], Table1[[#This Row],[Country]])</f>
        <v>980.52444444444427</v>
      </c>
      <c r="AA1437" cm="1">
        <f t="array" ref="AA1437">IF(COUNTIFS(Table1[Country],Table1[[#This Row],[Country]])=1,0, _xlfn.STDEV.S(IF(Table1[Country]=Table1[[#This Row],[Country]],Table1[FinalElo])))</f>
        <v>143.66034832022171</v>
      </c>
      <c r="AB1437">
        <f>IF(Table1[[#This Row],[CStd]]=0,0, (Table1[[#This Row],[FinalElo]]-Table1[[#This Row],[CAvg]]) / Table1[[#This Row],[CStd]])</f>
        <v>-1.0616321499129782</v>
      </c>
      <c r="AC1437" t="str">
        <f>IF(Table1[[#This Row],[CStd]]=0,"Normal", IF(ABS(Table1[[#This Row],[CZscore]])&gt;2,"Outlier","Normal"))</f>
        <v>Normal</v>
      </c>
    </row>
    <row r="1438" spans="1:29" x14ac:dyDescent="0.35">
      <c r="A1438" t="s">
        <v>327</v>
      </c>
      <c r="B1438">
        <v>77.099999999999994</v>
      </c>
      <c r="C1438">
        <v>180</v>
      </c>
      <c r="D1438" t="s">
        <v>174</v>
      </c>
      <c r="E1438">
        <v>34</v>
      </c>
      <c r="F1438" t="s">
        <v>328</v>
      </c>
      <c r="G1438" t="s">
        <v>40</v>
      </c>
      <c r="H1438" t="s">
        <v>29</v>
      </c>
      <c r="I1438" t="s">
        <v>30</v>
      </c>
      <c r="J1438">
        <v>1</v>
      </c>
      <c r="K1438">
        <v>1</v>
      </c>
      <c r="L1438">
        <v>0</v>
      </c>
      <c r="M1438">
        <v>0</v>
      </c>
      <c r="N1438">
        <v>0</v>
      </c>
      <c r="O1438">
        <v>0</v>
      </c>
      <c r="P1438">
        <v>1</v>
      </c>
      <c r="Q1438">
        <v>0</v>
      </c>
      <c r="R1438">
        <v>0</v>
      </c>
      <c r="S1438">
        <v>0</v>
      </c>
      <c r="T1438">
        <v>0</v>
      </c>
      <c r="U1438">
        <v>1</v>
      </c>
      <c r="V1438">
        <v>0</v>
      </c>
      <c r="W1438">
        <v>2</v>
      </c>
      <c r="X1438">
        <v>1052.69</v>
      </c>
      <c r="Y1438">
        <v>1052.69</v>
      </c>
      <c r="Z1438">
        <f>AVERAGEIFS(Table1[FinalElo], Table1[Country], Table1[[#This Row],[Country]])</f>
        <v>980.52444444444427</v>
      </c>
      <c r="AA1438" cm="1">
        <f t="array" ref="AA1438">IF(COUNTIFS(Table1[Country],Table1[[#This Row],[Country]])=1,0, _xlfn.STDEV.S(IF(Table1[Country]=Table1[[#This Row],[Country]],Table1[FinalElo])))</f>
        <v>143.66034832022171</v>
      </c>
      <c r="AB1438">
        <f>IF(Table1[[#This Row],[CStd]]=0,0, (Table1[[#This Row],[FinalElo]]-Table1[[#This Row],[CAvg]]) / Table1[[#This Row],[CStd]])</f>
        <v>0.50233454393899535</v>
      </c>
      <c r="AC1438" t="str">
        <f>IF(Table1[[#This Row],[CStd]]=0,"Normal", IF(ABS(Table1[[#This Row],[CZscore]])&gt;2,"Outlier","Normal"))</f>
        <v>Normal</v>
      </c>
    </row>
    <row r="1439" spans="1:29" x14ac:dyDescent="0.35">
      <c r="A1439" t="s">
        <v>325</v>
      </c>
      <c r="B1439">
        <v>70.31</v>
      </c>
      <c r="C1439">
        <v>183</v>
      </c>
      <c r="D1439" t="s">
        <v>321</v>
      </c>
      <c r="E1439">
        <v>27</v>
      </c>
      <c r="F1439" t="s">
        <v>326</v>
      </c>
      <c r="G1439" t="s">
        <v>40</v>
      </c>
      <c r="H1439" t="s">
        <v>29</v>
      </c>
      <c r="I1439" t="s">
        <v>30</v>
      </c>
      <c r="J1439">
        <v>0</v>
      </c>
      <c r="K1439">
        <v>1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1</v>
      </c>
      <c r="V1439">
        <v>0</v>
      </c>
      <c r="W1439">
        <v>1</v>
      </c>
      <c r="X1439">
        <v>900</v>
      </c>
      <c r="Y1439">
        <v>1000</v>
      </c>
      <c r="Z1439">
        <f>AVERAGEIFS(Table1[FinalElo], Table1[Country], Table1[[#This Row],[Country]])</f>
        <v>961.33999999999992</v>
      </c>
      <c r="AA1439" cm="1">
        <f t="array" ref="AA1439">IF(COUNTIFS(Table1[Country],Table1[[#This Row],[Country]])=1,0, _xlfn.STDEV.S(IF(Table1[Country]=Table1[[#This Row],[Country]],Table1[FinalElo])))</f>
        <v>86.427762032809824</v>
      </c>
      <c r="AB1439">
        <f>IF(Table1[[#This Row],[CStd]]=0,0, (Table1[[#This Row],[FinalElo]]-Table1[[#This Row],[CAvg]]) / Table1[[#This Row],[CStd]])</f>
        <v>-0.70972565478108696</v>
      </c>
      <c r="AC1439" t="str">
        <f>IF(Table1[[#This Row],[CStd]]=0,"Normal", IF(ABS(Table1[[#This Row],[CZscore]])&gt;2,"Outlier","Normal"))</f>
        <v>Normal</v>
      </c>
    </row>
    <row r="1440" spans="1:29" x14ac:dyDescent="0.35">
      <c r="A1440" t="s">
        <v>323</v>
      </c>
      <c r="B1440">
        <v>53.9</v>
      </c>
      <c r="C1440">
        <v>161</v>
      </c>
      <c r="D1440" t="s">
        <v>38</v>
      </c>
      <c r="E1440">
        <v>29</v>
      </c>
      <c r="F1440" t="s">
        <v>324</v>
      </c>
      <c r="G1440" t="s">
        <v>34</v>
      </c>
      <c r="H1440" t="s">
        <v>29</v>
      </c>
      <c r="I1440" t="s">
        <v>36</v>
      </c>
      <c r="J1440">
        <v>0</v>
      </c>
      <c r="K1440">
        <v>1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1</v>
      </c>
      <c r="V1440">
        <v>0</v>
      </c>
      <c r="W1440">
        <v>1</v>
      </c>
      <c r="X1440">
        <v>900</v>
      </c>
      <c r="Y1440">
        <v>1000</v>
      </c>
      <c r="Z1440">
        <f>AVERAGEIFS(Table1[FinalElo], Table1[Country], Table1[[#This Row],[Country]])</f>
        <v>1057.4495402298851</v>
      </c>
      <c r="AA1440" cm="1">
        <f t="array" ref="AA1440">IF(COUNTIFS(Table1[Country],Table1[[#This Row],[Country]])=1,0, _xlfn.STDEV.S(IF(Table1[Country]=Table1[[#This Row],[Country]],Table1[FinalElo])))</f>
        <v>156.98667602259493</v>
      </c>
      <c r="AB1440">
        <f>IF(Table1[[#This Row],[CStd]]=0,0, (Table1[[#This Row],[FinalElo]]-Table1[[#This Row],[CAvg]]) / Table1[[#This Row],[CStd]])</f>
        <v>-1.0029484298860085</v>
      </c>
      <c r="AC1440" t="str">
        <f>IF(Table1[[#This Row],[CStd]]=0,"Normal", IF(ABS(Table1[[#This Row],[CZscore]])&gt;2,"Outlier","Normal"))</f>
        <v>Normal</v>
      </c>
    </row>
    <row r="1441" spans="1:29" x14ac:dyDescent="0.35">
      <c r="A1441" t="s">
        <v>320</v>
      </c>
      <c r="B1441">
        <v>72.574719999999999</v>
      </c>
      <c r="C1441">
        <v>178</v>
      </c>
      <c r="D1441" t="s">
        <v>321</v>
      </c>
      <c r="E1441">
        <v>25</v>
      </c>
      <c r="F1441" t="s">
        <v>322</v>
      </c>
      <c r="G1441" t="s">
        <v>34</v>
      </c>
      <c r="H1441" t="s">
        <v>29</v>
      </c>
      <c r="I1441" t="s">
        <v>30</v>
      </c>
      <c r="J1441">
        <v>1</v>
      </c>
      <c r="K1441">
        <v>1</v>
      </c>
      <c r="L1441">
        <v>0</v>
      </c>
      <c r="M1441">
        <v>1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1</v>
      </c>
      <c r="V1441">
        <v>0</v>
      </c>
      <c r="W1441">
        <v>2</v>
      </c>
      <c r="X1441">
        <v>971.99</v>
      </c>
      <c r="Y1441">
        <v>1100</v>
      </c>
      <c r="Z1441">
        <f>AVERAGEIFS(Table1[FinalElo], Table1[Country], Table1[[#This Row],[Country]])</f>
        <v>961.33999999999992</v>
      </c>
      <c r="AA1441" cm="1">
        <f t="array" ref="AA1441">IF(COUNTIFS(Table1[Country],Table1[[#This Row],[Country]])=1,0, _xlfn.STDEV.S(IF(Table1[Country]=Table1[[#This Row],[Country]],Table1[FinalElo])))</f>
        <v>86.427762032809824</v>
      </c>
      <c r="AB1441">
        <f>IF(Table1[[#This Row],[CStd]]=0,0, (Table1[[#This Row],[FinalElo]]-Table1[[#This Row],[CAvg]]) / Table1[[#This Row],[CStd]])</f>
        <v>0.12322429448025188</v>
      </c>
      <c r="AC1441" t="str">
        <f>IF(Table1[[#This Row],[CStd]]=0,"Normal", IF(ABS(Table1[[#This Row],[CZscore]])&gt;2,"Outlier","Normal"))</f>
        <v>Normal</v>
      </c>
    </row>
    <row r="1442" spans="1:29" x14ac:dyDescent="0.35">
      <c r="A1442" t="s">
        <v>318</v>
      </c>
      <c r="B1442">
        <v>56.7</v>
      </c>
      <c r="C1442">
        <v>163</v>
      </c>
      <c r="D1442" t="s">
        <v>52</v>
      </c>
      <c r="E1442">
        <v>32</v>
      </c>
      <c r="F1442" t="s">
        <v>319</v>
      </c>
      <c r="G1442" t="s">
        <v>40</v>
      </c>
      <c r="H1442" t="s">
        <v>29</v>
      </c>
      <c r="I1442" t="s">
        <v>58</v>
      </c>
      <c r="J1442">
        <v>1</v>
      </c>
      <c r="K1442">
        <v>1</v>
      </c>
      <c r="L1442">
        <v>0</v>
      </c>
      <c r="M1442">
        <v>0</v>
      </c>
      <c r="N1442">
        <v>1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1</v>
      </c>
      <c r="V1442">
        <v>0</v>
      </c>
      <c r="W1442">
        <v>2</v>
      </c>
      <c r="X1442">
        <v>1014.2</v>
      </c>
      <c r="Y1442">
        <v>1014.2</v>
      </c>
      <c r="Z1442">
        <f>AVERAGEIFS(Table1[FinalElo], Table1[Country], Table1[[#This Row],[Country]])</f>
        <v>1039.8985714285714</v>
      </c>
      <c r="AA1442" cm="1">
        <f t="array" ref="AA1442">IF(COUNTIFS(Table1[Country],Table1[[#This Row],[Country]])=1,0, _xlfn.STDEV.S(IF(Table1[Country]=Table1[[#This Row],[Country]],Table1[FinalElo])))</f>
        <v>194.01778111336392</v>
      </c>
      <c r="AB1442">
        <f>IF(Table1[[#This Row],[CStd]]=0,0, (Table1[[#This Row],[FinalElo]]-Table1[[#This Row],[CAvg]]) / Table1[[#This Row],[CStd]])</f>
        <v>-0.13245472286664142</v>
      </c>
      <c r="AC1442" t="str">
        <f>IF(Table1[[#This Row],[CStd]]=0,"Normal", IF(ABS(Table1[[#This Row],[CZscore]])&gt;2,"Outlier","Normal"))</f>
        <v>Normal</v>
      </c>
    </row>
    <row r="1443" spans="1:29" x14ac:dyDescent="0.35">
      <c r="A1443" t="s">
        <v>315</v>
      </c>
      <c r="B1443">
        <v>65.400000000000006</v>
      </c>
      <c r="C1443">
        <v>183</v>
      </c>
      <c r="D1443" t="s">
        <v>316</v>
      </c>
      <c r="E1443">
        <v>26</v>
      </c>
      <c r="F1443" t="s">
        <v>317</v>
      </c>
      <c r="G1443" t="s">
        <v>34</v>
      </c>
      <c r="H1443" t="s">
        <v>29</v>
      </c>
      <c r="I1443" t="s">
        <v>73</v>
      </c>
      <c r="J1443">
        <v>6</v>
      </c>
      <c r="K1443">
        <v>3</v>
      </c>
      <c r="L1443">
        <v>0</v>
      </c>
      <c r="M1443">
        <v>0</v>
      </c>
      <c r="N1443">
        <v>0</v>
      </c>
      <c r="O1443">
        <v>0</v>
      </c>
      <c r="P1443">
        <v>1</v>
      </c>
      <c r="Q1443">
        <v>2</v>
      </c>
      <c r="R1443">
        <v>0</v>
      </c>
      <c r="S1443">
        <v>0</v>
      </c>
      <c r="T1443">
        <v>0</v>
      </c>
      <c r="U1443">
        <v>1</v>
      </c>
      <c r="V1443">
        <v>1</v>
      </c>
      <c r="W1443">
        <v>9</v>
      </c>
      <c r="X1443">
        <v>1323.86</v>
      </c>
      <c r="Y1443">
        <v>1323.86</v>
      </c>
      <c r="Z1443">
        <f>AVERAGEIFS(Table1[FinalElo], Table1[Country], Table1[[#This Row],[Country]])</f>
        <v>1323.86</v>
      </c>
      <c r="AA1443" cm="1">
        <f t="array" ref="AA1443">IF(COUNTIFS(Table1[Country],Table1[[#This Row],[Country]])=1,0, _xlfn.STDEV.S(IF(Table1[Country]=Table1[[#This Row],[Country]],Table1[FinalElo])))</f>
        <v>0</v>
      </c>
      <c r="AB1443">
        <f>IF(Table1[[#This Row],[CStd]]=0,0, (Table1[[#This Row],[FinalElo]]-Table1[[#This Row],[CAvg]]) / Table1[[#This Row],[CStd]])</f>
        <v>0</v>
      </c>
      <c r="AC1443" t="str">
        <f>IF(Table1[[#This Row],[CStd]]=0,"Normal", IF(ABS(Table1[[#This Row],[CZscore]])&gt;2,"Outlier","Normal"))</f>
        <v>Normal</v>
      </c>
    </row>
    <row r="1444" spans="1:29" x14ac:dyDescent="0.35">
      <c r="A1444" t="s">
        <v>314</v>
      </c>
      <c r="B1444">
        <v>53.523856000000002</v>
      </c>
      <c r="C1444">
        <v>163</v>
      </c>
      <c r="D1444" t="s">
        <v>89</v>
      </c>
      <c r="E1444">
        <v>24</v>
      </c>
      <c r="F1444">
        <v>1</v>
      </c>
      <c r="G1444" t="s">
        <v>34</v>
      </c>
      <c r="H1444" t="s">
        <v>29</v>
      </c>
      <c r="I1444" t="s">
        <v>36</v>
      </c>
      <c r="J1444">
        <v>1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1</v>
      </c>
      <c r="X1444">
        <v>1100</v>
      </c>
      <c r="Y1444">
        <v>1100</v>
      </c>
      <c r="Z1444">
        <f>AVERAGEIFS(Table1[FinalElo], Table1[Country], Table1[[#This Row],[Country]])</f>
        <v>1012.0629025423733</v>
      </c>
      <c r="AA1444" cm="1">
        <f t="array" ref="AA1444">IF(COUNTIFS(Table1[Country],Table1[[#This Row],[Country]])=1,0, _xlfn.STDEV.S(IF(Table1[Country]=Table1[[#This Row],[Country]],Table1[FinalElo])))</f>
        <v>148.42180446198614</v>
      </c>
      <c r="AB1444">
        <f>IF(Table1[[#This Row],[CStd]]=0,0, (Table1[[#This Row],[FinalElo]]-Table1[[#This Row],[CAvg]]) / Table1[[#This Row],[CStd]])</f>
        <v>0.59248098873605315</v>
      </c>
      <c r="AC1444" t="str">
        <f>IF(Table1[[#This Row],[CStd]]=0,"Normal", IF(ABS(Table1[[#This Row],[CZscore]])&gt;2,"Outlier","Normal"))</f>
        <v>Normal</v>
      </c>
    </row>
    <row r="1445" spans="1:29" x14ac:dyDescent="0.35">
      <c r="A1445" t="s">
        <v>313</v>
      </c>
      <c r="B1445">
        <v>52.16</v>
      </c>
      <c r="C1445">
        <v>167</v>
      </c>
      <c r="D1445" t="s">
        <v>226</v>
      </c>
      <c r="E1445">
        <v>34</v>
      </c>
      <c r="F1445" t="s">
        <v>248</v>
      </c>
      <c r="G1445" t="s">
        <v>28</v>
      </c>
      <c r="H1445" t="s">
        <v>29</v>
      </c>
      <c r="I1445" t="s">
        <v>36</v>
      </c>
      <c r="J1445">
        <v>0</v>
      </c>
      <c r="K1445">
        <v>1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1</v>
      </c>
      <c r="V1445">
        <v>0</v>
      </c>
      <c r="W1445">
        <v>1</v>
      </c>
      <c r="X1445">
        <v>921.8</v>
      </c>
      <c r="Y1445">
        <v>1000</v>
      </c>
      <c r="Z1445">
        <f>AVERAGEIFS(Table1[FinalElo], Table1[Country], Table1[[#This Row],[Country]])</f>
        <v>961.00176470588235</v>
      </c>
      <c r="AA1445" cm="1">
        <f t="array" ref="AA1445">IF(COUNTIFS(Table1[Country],Table1[[#This Row],[Country]])=1,0, _xlfn.STDEV.S(IF(Table1[Country]=Table1[[#This Row],[Country]],Table1[FinalElo])))</f>
        <v>117.15877454523515</v>
      </c>
      <c r="AB1445">
        <f>IF(Table1[[#This Row],[CStd]]=0,0, (Table1[[#This Row],[FinalElo]]-Table1[[#This Row],[CAvg]]) / Table1[[#This Row],[CStd]])</f>
        <v>-0.3346037448586196</v>
      </c>
      <c r="AC1445" t="str">
        <f>IF(Table1[[#This Row],[CStd]]=0,"Normal", IF(ABS(Table1[[#This Row],[CZscore]])&gt;2,"Outlier","Normal"))</f>
        <v>Normal</v>
      </c>
    </row>
    <row r="1446" spans="1:29" x14ac:dyDescent="0.35">
      <c r="A1446" t="s">
        <v>310</v>
      </c>
      <c r="B1446">
        <v>51.7</v>
      </c>
      <c r="C1446">
        <v>153</v>
      </c>
      <c r="D1446" t="s">
        <v>193</v>
      </c>
      <c r="E1446">
        <v>28</v>
      </c>
      <c r="F1446" t="s">
        <v>110</v>
      </c>
      <c r="G1446" t="s">
        <v>40</v>
      </c>
      <c r="H1446" t="s">
        <v>29</v>
      </c>
      <c r="I1446" t="s">
        <v>55</v>
      </c>
      <c r="J1446">
        <v>3</v>
      </c>
      <c r="K1446">
        <v>0</v>
      </c>
      <c r="L1446">
        <v>0</v>
      </c>
      <c r="M1446">
        <v>0</v>
      </c>
      <c r="N1446">
        <v>1</v>
      </c>
      <c r="O1446">
        <v>0</v>
      </c>
      <c r="P1446">
        <v>2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3</v>
      </c>
      <c r="X1446">
        <v>1226.17</v>
      </c>
      <c r="Y1446">
        <v>1226.17</v>
      </c>
      <c r="Z1446">
        <f>AVERAGEIFS(Table1[FinalElo], Table1[Country], Table1[[#This Row],[Country]])</f>
        <v>997.06500000000005</v>
      </c>
      <c r="AA1446" cm="1">
        <f t="array" ref="AA1446">IF(COUNTIFS(Table1[Country],Table1[[#This Row],[Country]])=1,0, _xlfn.STDEV.S(IF(Table1[Country]=Table1[[#This Row],[Country]],Table1[FinalElo])))</f>
        <v>135.83076329441192</v>
      </c>
      <c r="AB1446">
        <f>IF(Table1[[#This Row],[CStd]]=0,0, (Table1[[#This Row],[FinalElo]]-Table1[[#This Row],[CAvg]]) / Table1[[#This Row],[CStd]])</f>
        <v>1.6866944898440794</v>
      </c>
      <c r="AC1446" t="str">
        <f>IF(Table1[[#This Row],[CStd]]=0,"Normal", IF(ABS(Table1[[#This Row],[CZscore]])&gt;2,"Outlier","Normal"))</f>
        <v>Normal</v>
      </c>
    </row>
    <row r="1447" spans="1:29" x14ac:dyDescent="0.35">
      <c r="A1447" t="s">
        <v>305</v>
      </c>
      <c r="B1447">
        <v>56.7</v>
      </c>
      <c r="C1447">
        <v>167</v>
      </c>
      <c r="D1447" t="s">
        <v>306</v>
      </c>
      <c r="E1447">
        <v>32</v>
      </c>
      <c r="F1447" t="s">
        <v>307</v>
      </c>
      <c r="G1447" t="s">
        <v>34</v>
      </c>
      <c r="H1447" t="s">
        <v>29</v>
      </c>
      <c r="I1447" t="s">
        <v>58</v>
      </c>
      <c r="J1447">
        <v>0</v>
      </c>
      <c r="K1447">
        <v>2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2</v>
      </c>
      <c r="V1447">
        <v>0</v>
      </c>
      <c r="W1447">
        <v>2</v>
      </c>
      <c r="X1447">
        <v>795.43</v>
      </c>
      <c r="Y1447">
        <v>1000</v>
      </c>
      <c r="Z1447">
        <f>AVERAGEIFS(Table1[FinalElo], Table1[Country], Table1[[#This Row],[Country]])</f>
        <v>795.43</v>
      </c>
      <c r="AA1447" cm="1">
        <f t="array" ref="AA1447">IF(COUNTIFS(Table1[Country],Table1[[#This Row],[Country]])=1,0, _xlfn.STDEV.S(IF(Table1[Country]=Table1[[#This Row],[Country]],Table1[FinalElo])))</f>
        <v>0</v>
      </c>
      <c r="AB1447">
        <f>IF(Table1[[#This Row],[CStd]]=0,0, (Table1[[#This Row],[FinalElo]]-Table1[[#This Row],[CAvg]]) / Table1[[#This Row],[CStd]])</f>
        <v>0</v>
      </c>
      <c r="AC1447" t="str">
        <f>IF(Table1[[#This Row],[CStd]]=0,"Normal", IF(ABS(Table1[[#This Row],[CZscore]])&gt;2,"Outlier","Normal"))</f>
        <v>Normal</v>
      </c>
    </row>
    <row r="1448" spans="1:29" x14ac:dyDescent="0.35">
      <c r="A1448" t="s">
        <v>303</v>
      </c>
      <c r="B1448">
        <v>65.77</v>
      </c>
      <c r="C1448">
        <v>183</v>
      </c>
      <c r="D1448" t="s">
        <v>218</v>
      </c>
      <c r="E1448">
        <v>27</v>
      </c>
      <c r="F1448" t="s">
        <v>304</v>
      </c>
      <c r="G1448" t="s">
        <v>34</v>
      </c>
      <c r="H1448" t="s">
        <v>29</v>
      </c>
      <c r="I1448" t="s">
        <v>48</v>
      </c>
      <c r="J1448">
        <v>1</v>
      </c>
      <c r="K1448">
        <v>1</v>
      </c>
      <c r="L1448">
        <v>0</v>
      </c>
      <c r="M1448">
        <v>1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2</v>
      </c>
      <c r="X1448">
        <v>971.99</v>
      </c>
      <c r="Y1448">
        <v>1100</v>
      </c>
      <c r="Z1448">
        <f>AVERAGEIFS(Table1[FinalElo], Table1[Country], Table1[[#This Row],[Country]])</f>
        <v>953.02272727272725</v>
      </c>
      <c r="AA1448" cm="1">
        <f t="array" ref="AA1448">IF(COUNTIFS(Table1[Country],Table1[[#This Row],[Country]])=1,0, _xlfn.STDEV.S(IF(Table1[Country]=Table1[[#This Row],[Country]],Table1[FinalElo])))</f>
        <v>75.051454894746612</v>
      </c>
      <c r="AB1448">
        <f>IF(Table1[[#This Row],[CStd]]=0,0, (Table1[[#This Row],[FinalElo]]-Table1[[#This Row],[CAvg]]) / Table1[[#This Row],[CStd]])</f>
        <v>0.25272358482420854</v>
      </c>
      <c r="AC1448" t="str">
        <f>IF(Table1[[#This Row],[CStd]]=0,"Normal", IF(ABS(Table1[[#This Row],[CZscore]])&gt;2,"Outlier","Normal"))</f>
        <v>Normal</v>
      </c>
    </row>
    <row r="1449" spans="1:29" x14ac:dyDescent="0.35">
      <c r="A1449" t="s">
        <v>301</v>
      </c>
      <c r="B1449">
        <v>53.523856000000002</v>
      </c>
      <c r="C1449">
        <v>168</v>
      </c>
      <c r="D1449" t="s">
        <v>106</v>
      </c>
      <c r="E1449">
        <v>25</v>
      </c>
      <c r="F1449" t="s">
        <v>302</v>
      </c>
      <c r="G1449" t="s">
        <v>34</v>
      </c>
      <c r="H1449" t="s">
        <v>29</v>
      </c>
      <c r="I1449" t="s">
        <v>36</v>
      </c>
      <c r="J1449">
        <v>1</v>
      </c>
      <c r="K1449">
        <v>2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1</v>
      </c>
      <c r="R1449">
        <v>0</v>
      </c>
      <c r="S1449">
        <v>0</v>
      </c>
      <c r="T1449">
        <v>0</v>
      </c>
      <c r="U1449">
        <v>1</v>
      </c>
      <c r="V1449">
        <v>1</v>
      </c>
      <c r="W1449">
        <v>3</v>
      </c>
      <c r="X1449">
        <v>984.81</v>
      </c>
      <c r="Y1449">
        <v>1000</v>
      </c>
      <c r="Z1449">
        <f>AVERAGEIFS(Table1[FinalElo], Table1[Country], Table1[[#This Row],[Country]])</f>
        <v>1073.1599999999999</v>
      </c>
      <c r="AA1449" cm="1">
        <f t="array" ref="AA1449">IF(COUNTIFS(Table1[Country],Table1[[#This Row],[Country]])=1,0, _xlfn.STDEV.S(IF(Table1[Country]=Table1[[#This Row],[Country]],Table1[FinalElo])))</f>
        <v>207.614862425599</v>
      </c>
      <c r="AB1449">
        <f>IF(Table1[[#This Row],[CStd]]=0,0, (Table1[[#This Row],[FinalElo]]-Table1[[#This Row],[CAvg]]) / Table1[[#This Row],[CStd]])</f>
        <v>-0.42554756903138896</v>
      </c>
      <c r="AC1449" t="str">
        <f>IF(Table1[[#This Row],[CStd]]=0,"Normal", IF(ABS(Table1[[#This Row],[CZscore]])&gt;2,"Outlier","Normal"))</f>
        <v>Normal</v>
      </c>
    </row>
    <row r="1450" spans="1:29" x14ac:dyDescent="0.35">
      <c r="A1450" t="s">
        <v>299</v>
      </c>
      <c r="B1450">
        <v>66.678023999999994</v>
      </c>
      <c r="C1450">
        <v>181</v>
      </c>
      <c r="D1450" t="s">
        <v>38</v>
      </c>
      <c r="E1450">
        <v>34</v>
      </c>
      <c r="F1450" t="s">
        <v>300</v>
      </c>
      <c r="G1450" t="s">
        <v>34</v>
      </c>
      <c r="H1450" t="s">
        <v>29</v>
      </c>
      <c r="I1450" t="s">
        <v>48</v>
      </c>
      <c r="J1450">
        <v>0</v>
      </c>
      <c r="K1450">
        <v>1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1</v>
      </c>
      <c r="X1450">
        <v>950.41</v>
      </c>
      <c r="Y1450">
        <v>1000</v>
      </c>
      <c r="Z1450">
        <f>AVERAGEIFS(Table1[FinalElo], Table1[Country], Table1[[#This Row],[Country]])</f>
        <v>1057.4495402298851</v>
      </c>
      <c r="AA1450" cm="1">
        <f t="array" ref="AA1450">IF(COUNTIFS(Table1[Country],Table1[[#This Row],[Country]])=1,0, _xlfn.STDEV.S(IF(Table1[Country]=Table1[[#This Row],[Country]],Table1[FinalElo])))</f>
        <v>156.98667602259493</v>
      </c>
      <c r="AB1450">
        <f>IF(Table1[[#This Row],[CStd]]=0,0, (Table1[[#This Row],[FinalElo]]-Table1[[#This Row],[CAvg]]) / Table1[[#This Row],[CStd]])</f>
        <v>-0.68183837598089547</v>
      </c>
      <c r="AC1450" t="str">
        <f>IF(Table1[[#This Row],[CStd]]=0,"Normal", IF(ABS(Table1[[#This Row],[CZscore]])&gt;2,"Outlier","Normal"))</f>
        <v>Normal</v>
      </c>
    </row>
    <row r="1451" spans="1:29" x14ac:dyDescent="0.35">
      <c r="A1451" t="s">
        <v>298</v>
      </c>
      <c r="B1451">
        <v>56.7</v>
      </c>
      <c r="C1451">
        <v>166</v>
      </c>
      <c r="D1451" t="s">
        <v>38</v>
      </c>
      <c r="E1451">
        <v>31</v>
      </c>
      <c r="F1451" t="s">
        <v>133</v>
      </c>
      <c r="G1451" t="s">
        <v>40</v>
      </c>
      <c r="H1451" t="s">
        <v>29</v>
      </c>
      <c r="I1451" t="s">
        <v>58</v>
      </c>
      <c r="J1451">
        <v>1</v>
      </c>
      <c r="K1451">
        <v>1</v>
      </c>
      <c r="L1451">
        <v>0</v>
      </c>
      <c r="M1451">
        <v>0</v>
      </c>
      <c r="N1451">
        <v>0</v>
      </c>
      <c r="O1451">
        <v>0</v>
      </c>
      <c r="P1451">
        <v>1</v>
      </c>
      <c r="Q1451">
        <v>0</v>
      </c>
      <c r="R1451">
        <v>1</v>
      </c>
      <c r="S1451">
        <v>0</v>
      </c>
      <c r="T1451">
        <v>0</v>
      </c>
      <c r="U1451">
        <v>0</v>
      </c>
      <c r="V1451">
        <v>0</v>
      </c>
      <c r="W1451">
        <v>2</v>
      </c>
      <c r="X1451">
        <v>1032.71</v>
      </c>
      <c r="Y1451">
        <v>1145.82</v>
      </c>
      <c r="Z1451">
        <f>AVERAGEIFS(Table1[FinalElo], Table1[Country], Table1[[#This Row],[Country]])</f>
        <v>1057.4495402298851</v>
      </c>
      <c r="AA1451" cm="1">
        <f t="array" ref="AA1451">IF(COUNTIFS(Table1[Country],Table1[[#This Row],[Country]])=1,0, _xlfn.STDEV.S(IF(Table1[Country]=Table1[[#This Row],[Country]],Table1[FinalElo])))</f>
        <v>156.98667602259493</v>
      </c>
      <c r="AB1451">
        <f>IF(Table1[[#This Row],[CStd]]=0,0, (Table1[[#This Row],[FinalElo]]-Table1[[#This Row],[CAvg]]) / Table1[[#This Row],[CStd]])</f>
        <v>-0.15759006341611001</v>
      </c>
      <c r="AC1451" t="str">
        <f>IF(Table1[[#This Row],[CStd]]=0,"Normal", IF(ABS(Table1[[#This Row],[CZscore]])&gt;2,"Outlier","Normal"))</f>
        <v>Normal</v>
      </c>
    </row>
    <row r="1452" spans="1:29" x14ac:dyDescent="0.35">
      <c r="A1452" t="s">
        <v>295</v>
      </c>
      <c r="B1452">
        <v>100.6</v>
      </c>
      <c r="C1452">
        <v>188</v>
      </c>
      <c r="D1452" t="s">
        <v>230</v>
      </c>
      <c r="E1452">
        <v>38</v>
      </c>
      <c r="F1452" t="s">
        <v>296</v>
      </c>
      <c r="G1452" t="s">
        <v>28</v>
      </c>
      <c r="H1452" t="s">
        <v>29</v>
      </c>
      <c r="I1452" t="s">
        <v>297</v>
      </c>
      <c r="J1452">
        <v>3</v>
      </c>
      <c r="K1452">
        <v>3</v>
      </c>
      <c r="L1452">
        <v>0</v>
      </c>
      <c r="M1452">
        <v>0</v>
      </c>
      <c r="N1452">
        <v>0</v>
      </c>
      <c r="O1452">
        <v>0</v>
      </c>
      <c r="P1452">
        <v>1</v>
      </c>
      <c r="Q1452">
        <v>0</v>
      </c>
      <c r="R1452">
        <v>0</v>
      </c>
      <c r="S1452">
        <v>0</v>
      </c>
      <c r="T1452">
        <v>0</v>
      </c>
      <c r="U1452">
        <v>2</v>
      </c>
      <c r="V1452">
        <v>1</v>
      </c>
      <c r="W1452">
        <v>6</v>
      </c>
      <c r="X1452">
        <v>1023.15</v>
      </c>
      <c r="Y1452">
        <v>1168.08</v>
      </c>
      <c r="Z1452">
        <f>AVERAGEIFS(Table1[FinalElo], Table1[Country], Table1[[#This Row],[Country]])</f>
        <v>963.06500000000005</v>
      </c>
      <c r="AA1452" cm="1">
        <f t="array" ref="AA1452">IF(COUNTIFS(Table1[Country],Table1[[#This Row],[Country]])=1,0, _xlfn.STDEV.S(IF(Table1[Country]=Table1[[#This Row],[Country]],Table1[FinalElo])))</f>
        <v>123.22301205537823</v>
      </c>
      <c r="AB1452">
        <f>IF(Table1[[#This Row],[CStd]]=0,0, (Table1[[#This Row],[FinalElo]]-Table1[[#This Row],[CAvg]]) / Table1[[#This Row],[CStd]])</f>
        <v>0.48761184293236431</v>
      </c>
      <c r="AC1452" t="str">
        <f>IF(Table1[[#This Row],[CStd]]=0,"Normal", IF(ABS(Table1[[#This Row],[CZscore]])&gt;2,"Outlier","Normal"))</f>
        <v>Normal</v>
      </c>
    </row>
    <row r="1453" spans="1:29" x14ac:dyDescent="0.35">
      <c r="A1453" t="s">
        <v>293</v>
      </c>
      <c r="B1453">
        <v>92</v>
      </c>
      <c r="C1453">
        <v>170</v>
      </c>
      <c r="D1453" t="s">
        <v>32</v>
      </c>
      <c r="E1453">
        <v>42</v>
      </c>
      <c r="F1453" t="s">
        <v>294</v>
      </c>
      <c r="G1453" t="s">
        <v>54</v>
      </c>
      <c r="H1453" t="s">
        <v>29</v>
      </c>
      <c r="I1453" t="s">
        <v>41</v>
      </c>
      <c r="J1453">
        <v>0</v>
      </c>
      <c r="K1453">
        <v>0</v>
      </c>
      <c r="L1453">
        <v>1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1</v>
      </c>
      <c r="X1453">
        <v>1000</v>
      </c>
      <c r="Y1453">
        <v>1000</v>
      </c>
      <c r="Z1453">
        <f>AVERAGEIFS(Table1[FinalElo], Table1[Country], Table1[[#This Row],[Country]])</f>
        <v>1025.3786885245902</v>
      </c>
      <c r="AA1453" cm="1">
        <f t="array" ref="AA1453">IF(COUNTIFS(Table1[Country],Table1[[#This Row],[Country]])=1,0, _xlfn.STDEV.S(IF(Table1[Country]=Table1[[#This Row],[Country]],Table1[FinalElo])))</f>
        <v>144.71595558743479</v>
      </c>
      <c r="AB1453">
        <f>IF(Table1[[#This Row],[CStd]]=0,0, (Table1[[#This Row],[FinalElo]]-Table1[[#This Row],[CAvg]]) / Table1[[#This Row],[CStd]])</f>
        <v>-0.17536897311407268</v>
      </c>
      <c r="AC1453" t="str">
        <f>IF(Table1[[#This Row],[CStd]]=0,"Normal", IF(ABS(Table1[[#This Row],[CZscore]])&gt;2,"Outlier","Normal"))</f>
        <v>Normal</v>
      </c>
    </row>
    <row r="1454" spans="1:29" x14ac:dyDescent="0.35">
      <c r="A1454" t="s">
        <v>37</v>
      </c>
      <c r="B1454">
        <v>92.8</v>
      </c>
      <c r="C1454">
        <v>180</v>
      </c>
      <c r="D1454" t="s">
        <v>38</v>
      </c>
      <c r="E1454">
        <v>37</v>
      </c>
      <c r="F1454" t="s">
        <v>39</v>
      </c>
      <c r="G1454" t="s">
        <v>40</v>
      </c>
      <c r="H1454" t="s">
        <v>29</v>
      </c>
      <c r="I1454" t="s">
        <v>41</v>
      </c>
      <c r="J1454">
        <v>6</v>
      </c>
      <c r="K1454">
        <v>1</v>
      </c>
      <c r="L1454">
        <v>0</v>
      </c>
      <c r="M1454">
        <v>3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1</v>
      </c>
      <c r="W1454">
        <v>7</v>
      </c>
      <c r="X1454">
        <v>1356.83</v>
      </c>
      <c r="Y1454">
        <v>1493.64</v>
      </c>
      <c r="Z1454">
        <f>AVERAGEIFS(Table1[FinalElo], Table1[Country], Table1[[#This Row],[Country]])</f>
        <v>1057.4495402298851</v>
      </c>
      <c r="AA1454" cm="1">
        <f t="array" ref="AA1454">IF(COUNTIFS(Table1[Country],Table1[[#This Row],[Country]])=1,0, _xlfn.STDEV.S(IF(Table1[Country]=Table1[[#This Row],[Country]],Table1[FinalElo])))</f>
        <v>156.98667602259493</v>
      </c>
      <c r="AB1454">
        <f>IF(Table1[[#This Row],[CStd]]=0,0, (Table1[[#This Row],[FinalElo]]-Table1[[#This Row],[CAvg]]) / Table1[[#This Row],[CStd]])</f>
        <v>1.9070437527260296</v>
      </c>
      <c r="AC1454" t="str">
        <f>IF(Table1[[#This Row],[CStd]]=0,"Normal", IF(ABS(Table1[[#This Row],[CZscore]])&gt;2,"Outlier","Normal"))</f>
        <v>Normal</v>
      </c>
    </row>
    <row r="1455" spans="1:29" x14ac:dyDescent="0.35">
      <c r="A1455" t="s">
        <v>291</v>
      </c>
      <c r="B1455">
        <v>70</v>
      </c>
      <c r="C1455">
        <v>167</v>
      </c>
      <c r="D1455" t="s">
        <v>60</v>
      </c>
      <c r="E1455">
        <v>33</v>
      </c>
      <c r="F1455" t="s">
        <v>292</v>
      </c>
      <c r="G1455" t="s">
        <v>40</v>
      </c>
      <c r="H1455" t="s">
        <v>29</v>
      </c>
      <c r="I1455" t="s">
        <v>48</v>
      </c>
      <c r="J1455">
        <v>0</v>
      </c>
      <c r="K1455">
        <v>1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1</v>
      </c>
      <c r="T1455">
        <v>0</v>
      </c>
      <c r="U1455">
        <v>0</v>
      </c>
      <c r="V1455">
        <v>0</v>
      </c>
      <c r="W1455">
        <v>1</v>
      </c>
      <c r="X1455">
        <v>918.23</v>
      </c>
      <c r="Y1455">
        <v>1000</v>
      </c>
      <c r="Z1455">
        <f>AVERAGEIFS(Table1[FinalElo], Table1[Country], Table1[[#This Row],[Country]])</f>
        <v>1034.681315789474</v>
      </c>
      <c r="AA1455" cm="1">
        <f t="array" ref="AA1455">IF(COUNTIFS(Table1[Country],Table1[[#This Row],[Country]])=1,0, _xlfn.STDEV.S(IF(Table1[Country]=Table1[[#This Row],[Country]],Table1[FinalElo])))</f>
        <v>152.902810204692</v>
      </c>
      <c r="AB1455">
        <f>IF(Table1[[#This Row],[CStd]]=0,0, (Table1[[#This Row],[FinalElo]]-Table1[[#This Row],[CAvg]]) / Table1[[#This Row],[CStd]])</f>
        <v>-0.76160350247048958</v>
      </c>
      <c r="AC1455" t="str">
        <f>IF(Table1[[#This Row],[CStd]]=0,"Normal", IF(ABS(Table1[[#This Row],[CZscore]])&gt;2,"Outlier","Normal"))</f>
        <v>Normal</v>
      </c>
    </row>
    <row r="1456" spans="1:29" x14ac:dyDescent="0.35">
      <c r="A1456" t="s">
        <v>288</v>
      </c>
      <c r="B1456">
        <v>56.7</v>
      </c>
      <c r="C1456">
        <v>160</v>
      </c>
      <c r="D1456" t="s">
        <v>289</v>
      </c>
      <c r="E1456">
        <v>29</v>
      </c>
      <c r="F1456" t="s">
        <v>290</v>
      </c>
      <c r="G1456" t="s">
        <v>34</v>
      </c>
      <c r="H1456" t="s">
        <v>29</v>
      </c>
      <c r="I1456" t="s">
        <v>58</v>
      </c>
      <c r="J1456">
        <v>0</v>
      </c>
      <c r="K1456">
        <v>1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1</v>
      </c>
      <c r="S1456">
        <v>0</v>
      </c>
      <c r="T1456">
        <v>0</v>
      </c>
      <c r="U1456">
        <v>0</v>
      </c>
      <c r="V1456">
        <v>0</v>
      </c>
      <c r="W1456">
        <v>1</v>
      </c>
      <c r="X1456">
        <v>900</v>
      </c>
      <c r="Y1456">
        <v>1000</v>
      </c>
      <c r="Z1456">
        <f>AVERAGEIFS(Table1[FinalElo], Table1[Country], Table1[[#This Row],[Country]])</f>
        <v>905.81399999999996</v>
      </c>
      <c r="AA1456" cm="1">
        <f t="array" ref="AA1456">IF(COUNTIFS(Table1[Country],Table1[[#This Row],[Country]])=1,0, _xlfn.STDEV.S(IF(Table1[Country]=Table1[[#This Row],[Country]],Table1[FinalElo])))</f>
        <v>92.302429437149769</v>
      </c>
      <c r="AB1456">
        <f>IF(Table1[[#This Row],[CStd]]=0,0, (Table1[[#This Row],[FinalElo]]-Table1[[#This Row],[CAvg]]) / Table1[[#This Row],[CStd]])</f>
        <v>-6.2988591258682003E-2</v>
      </c>
      <c r="AC1456" t="str">
        <f>IF(Table1[[#This Row],[CStd]]=0,"Normal", IF(ABS(Table1[[#This Row],[CZscore]])&gt;2,"Outlier","Normal"))</f>
        <v>Normal</v>
      </c>
    </row>
    <row r="1457" spans="1:29" x14ac:dyDescent="0.35">
      <c r="A1457" t="s">
        <v>283</v>
      </c>
      <c r="B1457">
        <v>54.431040000000003</v>
      </c>
      <c r="C1457">
        <v>161</v>
      </c>
      <c r="D1457" t="s">
        <v>89</v>
      </c>
      <c r="E1457">
        <v>28</v>
      </c>
      <c r="F1457" t="s">
        <v>284</v>
      </c>
      <c r="G1457" t="s">
        <v>34</v>
      </c>
      <c r="H1457" t="s">
        <v>29</v>
      </c>
      <c r="I1457" t="s">
        <v>36</v>
      </c>
      <c r="J1457">
        <v>1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1</v>
      </c>
      <c r="X1457">
        <v>1100</v>
      </c>
      <c r="Y1457">
        <v>1100</v>
      </c>
      <c r="Z1457">
        <f>AVERAGEIFS(Table1[FinalElo], Table1[Country], Table1[[#This Row],[Country]])</f>
        <v>1012.0629025423733</v>
      </c>
      <c r="AA1457" cm="1">
        <f t="array" ref="AA1457">IF(COUNTIFS(Table1[Country],Table1[[#This Row],[Country]])=1,0, _xlfn.STDEV.S(IF(Table1[Country]=Table1[[#This Row],[Country]],Table1[FinalElo])))</f>
        <v>148.42180446198614</v>
      </c>
      <c r="AB1457">
        <f>IF(Table1[[#This Row],[CStd]]=0,0, (Table1[[#This Row],[FinalElo]]-Table1[[#This Row],[CAvg]]) / Table1[[#This Row],[CStd]])</f>
        <v>0.59248098873605315</v>
      </c>
      <c r="AC1457" t="str">
        <f>IF(Table1[[#This Row],[CStd]]=0,"Normal", IF(ABS(Table1[[#This Row],[CZscore]])&gt;2,"Outlier","Normal"))</f>
        <v>Normal</v>
      </c>
    </row>
    <row r="1458" spans="1:29" x14ac:dyDescent="0.35">
      <c r="A1458" t="s">
        <v>281</v>
      </c>
      <c r="B1458">
        <v>52.616672000000001</v>
      </c>
      <c r="C1458">
        <v>165</v>
      </c>
      <c r="D1458" t="s">
        <v>89</v>
      </c>
      <c r="E1458">
        <v>21</v>
      </c>
      <c r="F1458" t="s">
        <v>282</v>
      </c>
      <c r="G1458" t="s">
        <v>34</v>
      </c>
      <c r="H1458" t="s">
        <v>29</v>
      </c>
      <c r="I1458" t="s">
        <v>36</v>
      </c>
      <c r="J1458">
        <v>0</v>
      </c>
      <c r="K1458">
        <v>1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1</v>
      </c>
      <c r="S1458">
        <v>0</v>
      </c>
      <c r="T1458">
        <v>0</v>
      </c>
      <c r="U1458">
        <v>0</v>
      </c>
      <c r="V1458">
        <v>0</v>
      </c>
      <c r="W1458">
        <v>1</v>
      </c>
      <c r="X1458">
        <v>879.57</v>
      </c>
      <c r="Y1458">
        <v>1000</v>
      </c>
      <c r="Z1458">
        <f>AVERAGEIFS(Table1[FinalElo], Table1[Country], Table1[[#This Row],[Country]])</f>
        <v>1012.0629025423733</v>
      </c>
      <c r="AA1458" cm="1">
        <f t="array" ref="AA1458">IF(COUNTIFS(Table1[Country],Table1[[#This Row],[Country]])=1,0, _xlfn.STDEV.S(IF(Table1[Country]=Table1[[#This Row],[Country]],Table1[FinalElo])))</f>
        <v>148.42180446198614</v>
      </c>
      <c r="AB1458">
        <f>IF(Table1[[#This Row],[CStd]]=0,0, (Table1[[#This Row],[FinalElo]]-Table1[[#This Row],[CAvg]]) / Table1[[#This Row],[CStd]])</f>
        <v>-0.89267815482129786</v>
      </c>
      <c r="AC1458" t="str">
        <f>IF(Table1[[#This Row],[CStd]]=0,"Normal", IF(ABS(Table1[[#This Row],[CZscore]])&gt;2,"Outlier","Normal"))</f>
        <v>Normal</v>
      </c>
    </row>
    <row r="1459" spans="1:29" x14ac:dyDescent="0.35">
      <c r="A1459" t="s">
        <v>279</v>
      </c>
      <c r="B1459">
        <v>60.9</v>
      </c>
      <c r="C1459">
        <v>175</v>
      </c>
      <c r="D1459" t="s">
        <v>280</v>
      </c>
      <c r="E1459">
        <v>33</v>
      </c>
      <c r="F1459" t="s">
        <v>133</v>
      </c>
      <c r="G1459" t="s">
        <v>34</v>
      </c>
      <c r="H1459" t="s">
        <v>29</v>
      </c>
      <c r="I1459" t="s">
        <v>58</v>
      </c>
      <c r="J1459">
        <v>0</v>
      </c>
      <c r="K1459">
        <v>4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3</v>
      </c>
      <c r="V1459">
        <v>0</v>
      </c>
      <c r="W1459">
        <v>4</v>
      </c>
      <c r="X1459">
        <v>800.11</v>
      </c>
      <c r="Y1459">
        <v>1000</v>
      </c>
      <c r="Z1459">
        <f>AVERAGEIFS(Table1[FinalElo], Table1[Country], Table1[[#This Row],[Country]])</f>
        <v>800.11</v>
      </c>
      <c r="AA1459" cm="1">
        <f t="array" ref="AA1459">IF(COUNTIFS(Table1[Country],Table1[[#This Row],[Country]])=1,0, _xlfn.STDEV.S(IF(Table1[Country]=Table1[[#This Row],[Country]],Table1[FinalElo])))</f>
        <v>0</v>
      </c>
      <c r="AB1459">
        <f>IF(Table1[[#This Row],[CStd]]=0,0, (Table1[[#This Row],[FinalElo]]-Table1[[#This Row],[CAvg]]) / Table1[[#This Row],[CStd]])</f>
        <v>0</v>
      </c>
      <c r="AC1459" t="str">
        <f>IF(Table1[[#This Row],[CStd]]=0,"Normal", IF(ABS(Table1[[#This Row],[CZscore]])&gt;2,"Outlier","Normal"))</f>
        <v>Normal</v>
      </c>
    </row>
    <row r="1460" spans="1:29" x14ac:dyDescent="0.35">
      <c r="A1460" t="s">
        <v>277</v>
      </c>
      <c r="B1460">
        <v>76.7</v>
      </c>
      <c r="C1460">
        <v>180</v>
      </c>
      <c r="D1460" t="s">
        <v>278</v>
      </c>
      <c r="E1460">
        <v>30</v>
      </c>
      <c r="F1460" t="s">
        <v>90</v>
      </c>
      <c r="G1460" t="s">
        <v>40</v>
      </c>
      <c r="H1460" t="s">
        <v>29</v>
      </c>
      <c r="I1460" t="s">
        <v>30</v>
      </c>
      <c r="J1460">
        <v>13</v>
      </c>
      <c r="K1460">
        <v>9</v>
      </c>
      <c r="L1460">
        <v>0</v>
      </c>
      <c r="M1460">
        <v>5</v>
      </c>
      <c r="N1460">
        <v>2</v>
      </c>
      <c r="O1460">
        <v>0</v>
      </c>
      <c r="P1460">
        <v>1</v>
      </c>
      <c r="Q1460">
        <v>2</v>
      </c>
      <c r="R1460">
        <v>0</v>
      </c>
      <c r="S1460">
        <v>2</v>
      </c>
      <c r="T1460">
        <v>0</v>
      </c>
      <c r="U1460">
        <v>2</v>
      </c>
      <c r="V1460">
        <v>2</v>
      </c>
      <c r="W1460">
        <v>22</v>
      </c>
      <c r="X1460">
        <v>890.63</v>
      </c>
      <c r="Y1460">
        <v>1296.76</v>
      </c>
      <c r="Z1460">
        <f>AVERAGEIFS(Table1[FinalElo], Table1[Country], Table1[[#This Row],[Country]])</f>
        <v>1014.0250000000001</v>
      </c>
      <c r="AA1460" cm="1">
        <f t="array" ref="AA1460">IF(COUNTIFS(Table1[Country],Table1[[#This Row],[Country]])=1,0, _xlfn.STDEV.S(IF(Table1[Country]=Table1[[#This Row],[Country]],Table1[FinalElo])))</f>
        <v>234.33829911760722</v>
      </c>
      <c r="AB1460">
        <f>IF(Table1[[#This Row],[CStd]]=0,0, (Table1[[#This Row],[FinalElo]]-Table1[[#This Row],[CAvg]]) / Table1[[#This Row],[CStd]])</f>
        <v>-0.52656778881061994</v>
      </c>
      <c r="AC1460" t="str">
        <f>IF(Table1[[#This Row],[CStd]]=0,"Normal", IF(ABS(Table1[[#This Row],[CZscore]])&gt;2,"Outlier","Normal"))</f>
        <v>Normal</v>
      </c>
    </row>
    <row r="1461" spans="1:29" x14ac:dyDescent="0.35">
      <c r="A1461" t="s">
        <v>276</v>
      </c>
      <c r="B1461">
        <v>63.502879999999998</v>
      </c>
      <c r="C1461">
        <v>178</v>
      </c>
      <c r="D1461" t="s">
        <v>109</v>
      </c>
      <c r="E1461">
        <v>21</v>
      </c>
      <c r="F1461" t="s">
        <v>87</v>
      </c>
      <c r="G1461" t="s">
        <v>34</v>
      </c>
      <c r="H1461" t="s">
        <v>29</v>
      </c>
      <c r="I1461" t="s">
        <v>73</v>
      </c>
      <c r="J1461">
        <v>0</v>
      </c>
      <c r="K1461">
        <v>1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1</v>
      </c>
      <c r="V1461">
        <v>0</v>
      </c>
      <c r="W1461">
        <v>1</v>
      </c>
      <c r="X1461">
        <v>914.11</v>
      </c>
      <c r="Y1461">
        <v>1000</v>
      </c>
      <c r="Z1461">
        <f>AVERAGEIFS(Table1[FinalElo], Table1[Country], Table1[[#This Row],[Country]])</f>
        <v>1017.2428571428571</v>
      </c>
      <c r="AA1461" cm="1">
        <f t="array" ref="AA1461">IF(COUNTIFS(Table1[Country],Table1[[#This Row],[Country]])=1,0, _xlfn.STDEV.S(IF(Table1[Country]=Table1[[#This Row],[Country]],Table1[FinalElo])))</f>
        <v>205.21100910317449</v>
      </c>
      <c r="AB1461">
        <f>IF(Table1[[#This Row],[CStd]]=0,0, (Table1[[#This Row],[FinalElo]]-Table1[[#This Row],[CAvg]]) / Table1[[#This Row],[CStd]])</f>
        <v>-0.50256980653023708</v>
      </c>
      <c r="AC1461" t="str">
        <f>IF(Table1[[#This Row],[CStd]]=0,"Normal", IF(ABS(Table1[[#This Row],[CZscore]])&gt;2,"Outlier","Normal"))</f>
        <v>Normal</v>
      </c>
    </row>
    <row r="1462" spans="1:29" x14ac:dyDescent="0.35">
      <c r="A1462" t="s">
        <v>275</v>
      </c>
      <c r="B1462">
        <v>60.8</v>
      </c>
      <c r="C1462">
        <v>176</v>
      </c>
      <c r="D1462" t="s">
        <v>38</v>
      </c>
      <c r="E1462">
        <v>22</v>
      </c>
      <c r="F1462" t="s">
        <v>87</v>
      </c>
      <c r="G1462" t="s">
        <v>34</v>
      </c>
      <c r="H1462" t="s">
        <v>29</v>
      </c>
      <c r="I1462" t="s">
        <v>58</v>
      </c>
      <c r="J1462">
        <v>1</v>
      </c>
      <c r="K1462">
        <v>2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1</v>
      </c>
      <c r="V1462">
        <v>1</v>
      </c>
      <c r="W1462">
        <v>3</v>
      </c>
      <c r="X1462">
        <v>894.73</v>
      </c>
      <c r="Y1462">
        <v>1145.82</v>
      </c>
      <c r="Z1462">
        <f>AVERAGEIFS(Table1[FinalElo], Table1[Country], Table1[[#This Row],[Country]])</f>
        <v>1057.4495402298851</v>
      </c>
      <c r="AA1462" cm="1">
        <f t="array" ref="AA1462">IF(COUNTIFS(Table1[Country],Table1[[#This Row],[Country]])=1,0, _xlfn.STDEV.S(IF(Table1[Country]=Table1[[#This Row],[Country]],Table1[FinalElo])))</f>
        <v>156.98667602259493</v>
      </c>
      <c r="AB1462">
        <f>IF(Table1[[#This Row],[CStd]]=0,0, (Table1[[#This Row],[FinalElo]]-Table1[[#This Row],[CAvg]]) / Table1[[#This Row],[CStd]])</f>
        <v>-1.036518157798723</v>
      </c>
      <c r="AC1462" t="str">
        <f>IF(Table1[[#This Row],[CStd]]=0,"Normal", IF(ABS(Table1[[#This Row],[CZscore]])&gt;2,"Outlier","Normal"))</f>
        <v>Normal</v>
      </c>
    </row>
    <row r="1463" spans="1:29" x14ac:dyDescent="0.35">
      <c r="A1463" t="s">
        <v>274</v>
      </c>
      <c r="B1463">
        <v>56.7</v>
      </c>
      <c r="C1463">
        <v>174</v>
      </c>
      <c r="D1463" t="s">
        <v>202</v>
      </c>
      <c r="E1463">
        <v>30</v>
      </c>
      <c r="F1463" t="s">
        <v>133</v>
      </c>
      <c r="G1463" t="s">
        <v>34</v>
      </c>
      <c r="H1463" t="s">
        <v>29</v>
      </c>
      <c r="I1463" t="s">
        <v>58</v>
      </c>
      <c r="J1463">
        <v>0</v>
      </c>
      <c r="K1463">
        <v>2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1</v>
      </c>
      <c r="V1463">
        <v>0</v>
      </c>
      <c r="W1463">
        <v>2</v>
      </c>
      <c r="X1463">
        <v>843.27</v>
      </c>
      <c r="Y1463">
        <v>1000</v>
      </c>
      <c r="Z1463">
        <f>AVERAGEIFS(Table1[FinalElo], Table1[Country], Table1[[#This Row],[Country]])</f>
        <v>984.11142857142863</v>
      </c>
      <c r="AA1463" cm="1">
        <f t="array" ref="AA1463">IF(COUNTIFS(Table1[Country],Table1[[#This Row],[Country]])=1,0, _xlfn.STDEV.S(IF(Table1[Country]=Table1[[#This Row],[Country]],Table1[FinalElo])))</f>
        <v>173.54746521039206</v>
      </c>
      <c r="AB1463">
        <f>IF(Table1[[#This Row],[CStd]]=0,0, (Table1[[#This Row],[FinalElo]]-Table1[[#This Row],[CAvg]]) / Table1[[#This Row],[CStd]])</f>
        <v>-0.81154414096850225</v>
      </c>
      <c r="AC1463" t="str">
        <f>IF(Table1[[#This Row],[CStd]]=0,"Normal", IF(ABS(Table1[[#This Row],[CZscore]])&gt;2,"Outlier","Normal"))</f>
        <v>Normal</v>
      </c>
    </row>
    <row r="1464" spans="1:29" x14ac:dyDescent="0.35">
      <c r="A1464" t="s">
        <v>269</v>
      </c>
      <c r="B1464">
        <v>77.099999999999994</v>
      </c>
      <c r="C1464">
        <v>178</v>
      </c>
      <c r="D1464" t="s">
        <v>270</v>
      </c>
      <c r="E1464">
        <v>34</v>
      </c>
      <c r="F1464" t="s">
        <v>271</v>
      </c>
      <c r="G1464" t="s">
        <v>40</v>
      </c>
      <c r="H1464" t="s">
        <v>29</v>
      </c>
      <c r="I1464" t="s">
        <v>30</v>
      </c>
      <c r="J1464">
        <v>2</v>
      </c>
      <c r="K1464">
        <v>1</v>
      </c>
      <c r="L1464">
        <v>0</v>
      </c>
      <c r="M1464">
        <v>0</v>
      </c>
      <c r="N1464">
        <v>0</v>
      </c>
      <c r="O1464">
        <v>0</v>
      </c>
      <c r="P1464">
        <v>2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3</v>
      </c>
      <c r="X1464">
        <v>1125.1300000000001</v>
      </c>
      <c r="Y1464">
        <v>1130.43</v>
      </c>
      <c r="Z1464">
        <f>AVERAGEIFS(Table1[FinalElo], Table1[Country], Table1[[#This Row],[Country]])</f>
        <v>1084.24</v>
      </c>
      <c r="AA1464" cm="1">
        <f t="array" ref="AA1464">IF(COUNTIFS(Table1[Country],Table1[[#This Row],[Country]])=1,0, _xlfn.STDEV.S(IF(Table1[Country]=Table1[[#This Row],[Country]],Table1[FinalElo])))</f>
        <v>156.18548191173187</v>
      </c>
      <c r="AB1464">
        <f>IF(Table1[[#This Row],[CStd]]=0,0, (Table1[[#This Row],[FinalElo]]-Table1[[#This Row],[CAvg]]) / Table1[[#This Row],[CStd]])</f>
        <v>0.26180410304146617</v>
      </c>
      <c r="AC1464" t="str">
        <f>IF(Table1[[#This Row],[CStd]]=0,"Normal", IF(ABS(Table1[[#This Row],[CZscore]])&gt;2,"Outlier","Normal"))</f>
        <v>Normal</v>
      </c>
    </row>
    <row r="1465" spans="1:29" x14ac:dyDescent="0.35">
      <c r="A1465" t="s">
        <v>260</v>
      </c>
      <c r="B1465">
        <v>58.5</v>
      </c>
      <c r="C1465">
        <v>165</v>
      </c>
      <c r="D1465" t="s">
        <v>60</v>
      </c>
      <c r="E1465">
        <v>28</v>
      </c>
      <c r="F1465" t="s">
        <v>261</v>
      </c>
      <c r="G1465" t="s">
        <v>40</v>
      </c>
      <c r="H1465" t="s">
        <v>29</v>
      </c>
      <c r="I1465" t="s">
        <v>58</v>
      </c>
      <c r="J1465">
        <v>1</v>
      </c>
      <c r="K1465">
        <v>2</v>
      </c>
      <c r="L1465">
        <v>0</v>
      </c>
      <c r="M1465">
        <v>1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1</v>
      </c>
      <c r="V1465">
        <v>1</v>
      </c>
      <c r="W1465">
        <v>3</v>
      </c>
      <c r="X1465">
        <v>935.26</v>
      </c>
      <c r="Y1465">
        <v>1000</v>
      </c>
      <c r="Z1465">
        <f>AVERAGEIFS(Table1[FinalElo], Table1[Country], Table1[[#This Row],[Country]])</f>
        <v>1034.681315789474</v>
      </c>
      <c r="AA1465" cm="1">
        <f t="array" ref="AA1465">IF(COUNTIFS(Table1[Country],Table1[[#This Row],[Country]])=1,0, _xlfn.STDEV.S(IF(Table1[Country]=Table1[[#This Row],[Country]],Table1[FinalElo])))</f>
        <v>152.902810204692</v>
      </c>
      <c r="AB1465">
        <f>IF(Table1[[#This Row],[CStd]]=0,0, (Table1[[#This Row],[FinalElo]]-Table1[[#This Row],[CAvg]]) / Table1[[#This Row],[CStd]])</f>
        <v>-0.65022556260658648</v>
      </c>
      <c r="AC1465" t="str">
        <f>IF(Table1[[#This Row],[CStd]]=0,"Normal", IF(ABS(Table1[[#This Row],[CZscore]])&gt;2,"Outlier","Normal"))</f>
        <v>Normal</v>
      </c>
    </row>
    <row r="1466" spans="1:29" hidden="1" x14ac:dyDescent="0.35">
      <c r="A1466" t="s">
        <v>2539</v>
      </c>
      <c r="B1466">
        <v>52.2</v>
      </c>
      <c r="C1466">
        <v>166</v>
      </c>
      <c r="D1466" t="s">
        <v>43</v>
      </c>
      <c r="E1466">
        <v>-1</v>
      </c>
      <c r="F1466" t="s">
        <v>44</v>
      </c>
      <c r="G1466" t="s">
        <v>40</v>
      </c>
      <c r="H1466" t="s">
        <v>35</v>
      </c>
      <c r="I1466" t="s">
        <v>36</v>
      </c>
      <c r="J1466">
        <v>3</v>
      </c>
      <c r="K1466">
        <v>0</v>
      </c>
      <c r="L1466">
        <v>0</v>
      </c>
      <c r="M1466">
        <v>1</v>
      </c>
      <c r="N1466">
        <v>2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3</v>
      </c>
      <c r="X1466">
        <v>1232.5899999999999</v>
      </c>
      <c r="Y1466">
        <v>1232.5899999999999</v>
      </c>
      <c r="Z1466">
        <f>AVERAGEIFS(Table1[FinalElo], Table1[Country], Table1[[#This Row],[Country]])</f>
        <v>1334.6424999999999</v>
      </c>
      <c r="AA1466" cm="1">
        <f t="array" ref="AA1466">IF(COUNTIFS(Table1[Country],Table1[[#This Row],[Country]])=1,0, _xlfn.STDEV.S(IF(Table1[Country]=Table1[[#This Row],[Country]],Table1[FinalElo])))</f>
        <v>145.00121410411251</v>
      </c>
      <c r="AB1466">
        <f>IF(Table1[[#This Row],[CStd]]=0,0, (Table1[[#This Row],[FinalElo]]-Table1[[#This Row],[CAvg]]) / Table1[[#This Row],[CStd]])</f>
        <v>-0.70380445178014273</v>
      </c>
      <c r="AC1466" t="str">
        <f>IF(Table1[[#This Row],[CStd]]=0,"Normal", IF(ABS(Table1[[#This Row],[CZscore]])&gt;2,"Outlier","Normal"))</f>
        <v>Normal</v>
      </c>
    </row>
    <row r="1467" spans="1:29" hidden="1" x14ac:dyDescent="0.35">
      <c r="A1467" t="s">
        <v>2540</v>
      </c>
      <c r="B1467">
        <v>47.63</v>
      </c>
      <c r="C1467">
        <v>152</v>
      </c>
      <c r="D1467" t="s">
        <v>32</v>
      </c>
      <c r="E1467">
        <v>28</v>
      </c>
      <c r="F1467" t="s">
        <v>2541</v>
      </c>
      <c r="G1467" t="s">
        <v>40</v>
      </c>
      <c r="H1467" t="s">
        <v>35</v>
      </c>
      <c r="I1467" t="s">
        <v>55</v>
      </c>
      <c r="J1467">
        <v>3</v>
      </c>
      <c r="K1467">
        <v>2</v>
      </c>
      <c r="L1467">
        <v>0</v>
      </c>
      <c r="M1467">
        <v>0</v>
      </c>
      <c r="N1467">
        <v>1</v>
      </c>
      <c r="O1467">
        <v>0</v>
      </c>
      <c r="P1467">
        <v>2</v>
      </c>
      <c r="Q1467">
        <v>0</v>
      </c>
      <c r="R1467">
        <v>1</v>
      </c>
      <c r="S1467">
        <v>0</v>
      </c>
      <c r="T1467">
        <v>0</v>
      </c>
      <c r="U1467">
        <v>1</v>
      </c>
      <c r="V1467">
        <v>0</v>
      </c>
      <c r="W1467">
        <v>5</v>
      </c>
      <c r="X1467">
        <v>1159.92</v>
      </c>
      <c r="Y1467">
        <v>1159.92</v>
      </c>
      <c r="Z1467">
        <f>AVERAGEIFS(Table1[FinalElo], Table1[Country], Table1[[#This Row],[Country]])</f>
        <v>1025.3786885245902</v>
      </c>
      <c r="AA1467" cm="1">
        <f t="array" ref="AA1467">IF(COUNTIFS(Table1[Country],Table1[[#This Row],[Country]])=1,0, _xlfn.STDEV.S(IF(Table1[Country]=Table1[[#This Row],[Country]],Table1[FinalElo])))</f>
        <v>144.71595558743479</v>
      </c>
      <c r="AB1467">
        <f>IF(Table1[[#This Row],[CStd]]=0,0, (Table1[[#This Row],[FinalElo]]-Table1[[#This Row],[CAvg]]) / Table1[[#This Row],[CStd]])</f>
        <v>0.92969231298149724</v>
      </c>
      <c r="AC1467" t="str">
        <f>IF(Table1[[#This Row],[CStd]]=0,"Normal", IF(ABS(Table1[[#This Row],[CZscore]])&gt;2,"Outlier","Normal"))</f>
        <v>Normal</v>
      </c>
    </row>
    <row r="1468" spans="1:29" x14ac:dyDescent="0.35">
      <c r="A1468" t="s">
        <v>262</v>
      </c>
      <c r="B1468">
        <v>70.31</v>
      </c>
      <c r="C1468">
        <v>183</v>
      </c>
      <c r="D1468" t="s">
        <v>32</v>
      </c>
      <c r="E1468">
        <v>35</v>
      </c>
      <c r="F1468" t="s">
        <v>33</v>
      </c>
      <c r="G1468" t="s">
        <v>40</v>
      </c>
      <c r="H1468" t="s">
        <v>29</v>
      </c>
      <c r="I1468" t="s">
        <v>30</v>
      </c>
      <c r="J1468">
        <v>1</v>
      </c>
      <c r="K1468">
        <v>1</v>
      </c>
      <c r="L1468">
        <v>0</v>
      </c>
      <c r="M1468">
        <v>0</v>
      </c>
      <c r="N1468">
        <v>1</v>
      </c>
      <c r="O1468">
        <v>0</v>
      </c>
      <c r="P1468">
        <v>0</v>
      </c>
      <c r="Q1468">
        <v>0</v>
      </c>
      <c r="R1468">
        <v>1</v>
      </c>
      <c r="S1468">
        <v>0</v>
      </c>
      <c r="T1468">
        <v>0</v>
      </c>
      <c r="U1468">
        <v>0</v>
      </c>
      <c r="V1468">
        <v>0</v>
      </c>
      <c r="W1468">
        <v>2</v>
      </c>
      <c r="X1468">
        <v>940.97</v>
      </c>
      <c r="Y1468">
        <v>1057.32</v>
      </c>
      <c r="Z1468">
        <f>AVERAGEIFS(Table1[FinalElo], Table1[Country], Table1[[#This Row],[Country]])</f>
        <v>1025.3786885245902</v>
      </c>
      <c r="AA1468" cm="1">
        <f t="array" ref="AA1468">IF(COUNTIFS(Table1[Country],Table1[[#This Row],[Country]])=1,0, _xlfn.STDEV.S(IF(Table1[Country]=Table1[[#This Row],[Country]],Table1[FinalElo])))</f>
        <v>144.71595558743479</v>
      </c>
      <c r="AB1468">
        <f>IF(Table1[[#This Row],[CStd]]=0,0, (Table1[[#This Row],[FinalElo]]-Table1[[#This Row],[CAvg]]) / Table1[[#This Row],[CStd]])</f>
        <v>-0.58327147260270096</v>
      </c>
      <c r="AC1468" t="str">
        <f>IF(Table1[[#This Row],[CStd]]=0,"Normal", IF(ABS(Table1[[#This Row],[CZscore]])&gt;2,"Outlier","Normal"))</f>
        <v>Normal</v>
      </c>
    </row>
    <row r="1469" spans="1:29" x14ac:dyDescent="0.35">
      <c r="A1469" t="s">
        <v>245</v>
      </c>
      <c r="B1469">
        <v>63.502879999999998</v>
      </c>
      <c r="C1469">
        <v>178</v>
      </c>
      <c r="D1469" t="s">
        <v>140</v>
      </c>
      <c r="E1469">
        <v>23</v>
      </c>
      <c r="F1469" t="s">
        <v>133</v>
      </c>
      <c r="G1469" t="s">
        <v>34</v>
      </c>
      <c r="H1469" t="s">
        <v>29</v>
      </c>
      <c r="I1469" t="s">
        <v>73</v>
      </c>
      <c r="J1469">
        <v>0</v>
      </c>
      <c r="K1469">
        <v>1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1</v>
      </c>
      <c r="S1469">
        <v>0</v>
      </c>
      <c r="T1469">
        <v>0</v>
      </c>
      <c r="U1469">
        <v>0</v>
      </c>
      <c r="V1469">
        <v>0</v>
      </c>
      <c r="W1469">
        <v>1</v>
      </c>
      <c r="X1469">
        <v>900</v>
      </c>
      <c r="Y1469">
        <v>1000</v>
      </c>
      <c r="Z1469">
        <f>AVERAGEIFS(Table1[FinalElo], Table1[Country], Table1[[#This Row],[Country]])</f>
        <v>1002.675294117647</v>
      </c>
      <c r="AA1469" cm="1">
        <f t="array" ref="AA1469">IF(COUNTIFS(Table1[Country],Table1[[#This Row],[Country]])=1,0, _xlfn.STDEV.S(IF(Table1[Country]=Table1[[#This Row],[Country]],Table1[FinalElo])))</f>
        <v>171.59712028169514</v>
      </c>
      <c r="AB1469">
        <f>IF(Table1[[#This Row],[CStd]]=0,0, (Table1[[#This Row],[FinalElo]]-Table1[[#This Row],[CAvg]]) / Table1[[#This Row],[CStd]])</f>
        <v>-0.59835091608235891</v>
      </c>
      <c r="AC1469" t="str">
        <f>IF(Table1[[#This Row],[CStd]]=0,"Normal", IF(ABS(Table1[[#This Row],[CZscore]])&gt;2,"Outlier","Normal"))</f>
        <v>Normal</v>
      </c>
    </row>
    <row r="1470" spans="1:29" x14ac:dyDescent="0.35">
      <c r="A1470" t="s">
        <v>259</v>
      </c>
      <c r="B1470">
        <v>52.16</v>
      </c>
      <c r="C1470">
        <v>177</v>
      </c>
      <c r="D1470" t="s">
        <v>153</v>
      </c>
      <c r="E1470">
        <v>21</v>
      </c>
      <c r="F1470" t="s">
        <v>154</v>
      </c>
      <c r="G1470" t="s">
        <v>34</v>
      </c>
      <c r="H1470" t="s">
        <v>29</v>
      </c>
      <c r="I1470" t="s">
        <v>36</v>
      </c>
      <c r="J1470">
        <v>8</v>
      </c>
      <c r="K1470">
        <v>2</v>
      </c>
      <c r="L1470">
        <v>0</v>
      </c>
      <c r="M1470">
        <v>1</v>
      </c>
      <c r="N1470">
        <v>0</v>
      </c>
      <c r="O1470">
        <v>0</v>
      </c>
      <c r="P1470">
        <v>3</v>
      </c>
      <c r="Q1470">
        <v>0</v>
      </c>
      <c r="R1470">
        <v>0</v>
      </c>
      <c r="S1470">
        <v>0</v>
      </c>
      <c r="T1470">
        <v>0</v>
      </c>
      <c r="U1470">
        <v>1</v>
      </c>
      <c r="V1470">
        <v>1</v>
      </c>
      <c r="W1470">
        <v>10</v>
      </c>
      <c r="X1470">
        <v>1267.67</v>
      </c>
      <c r="Y1470">
        <v>1267.67</v>
      </c>
      <c r="Z1470">
        <f>AVERAGEIFS(Table1[FinalElo], Table1[Country], Table1[[#This Row],[Country]])</f>
        <v>1126.7850000000001</v>
      </c>
      <c r="AA1470" cm="1">
        <f t="array" ref="AA1470">IF(COUNTIFS(Table1[Country],Table1[[#This Row],[Country]])=1,0, _xlfn.STDEV.S(IF(Table1[Country]=Table1[[#This Row],[Country]],Table1[FinalElo])))</f>
        <v>199.24147773493326</v>
      </c>
      <c r="AB1470">
        <f>IF(Table1[[#This Row],[CStd]]=0,0, (Table1[[#This Row],[FinalElo]]-Table1[[#This Row],[CAvg]]) / Table1[[#This Row],[CStd]])</f>
        <v>0.70710678118654835</v>
      </c>
      <c r="AC1470" t="str">
        <f>IF(Table1[[#This Row],[CStd]]=0,"Normal", IF(ABS(Table1[[#This Row],[CZscore]])&gt;2,"Outlier","Normal"))</f>
        <v>Normal</v>
      </c>
    </row>
    <row r="1471" spans="1:29" x14ac:dyDescent="0.35">
      <c r="A1471" t="s">
        <v>257</v>
      </c>
      <c r="B1471">
        <v>70.31</v>
      </c>
      <c r="C1471">
        <v>184</v>
      </c>
      <c r="D1471" t="s">
        <v>247</v>
      </c>
      <c r="E1471">
        <v>32</v>
      </c>
      <c r="F1471" t="s">
        <v>258</v>
      </c>
      <c r="G1471" t="s">
        <v>40</v>
      </c>
      <c r="H1471" t="s">
        <v>29</v>
      </c>
      <c r="I1471" t="s">
        <v>30</v>
      </c>
      <c r="J1471">
        <v>1</v>
      </c>
      <c r="K1471">
        <v>0</v>
      </c>
      <c r="L1471">
        <v>1</v>
      </c>
      <c r="M1471">
        <v>0</v>
      </c>
      <c r="N1471">
        <v>0</v>
      </c>
      <c r="O1471">
        <v>0</v>
      </c>
      <c r="P1471">
        <v>1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2</v>
      </c>
      <c r="X1471">
        <v>1182.58</v>
      </c>
      <c r="Y1471">
        <v>1182.58</v>
      </c>
      <c r="Z1471">
        <f>AVERAGEIFS(Table1[FinalElo], Table1[Country], Table1[[#This Row],[Country]])</f>
        <v>1050.0176190476191</v>
      </c>
      <c r="AA1471" cm="1">
        <f t="array" ref="AA1471">IF(COUNTIFS(Table1[Country],Table1[[#This Row],[Country]])=1,0, _xlfn.STDEV.S(IF(Table1[Country]=Table1[[#This Row],[Country]],Table1[FinalElo])))</f>
        <v>127.00578096703971</v>
      </c>
      <c r="AB1471">
        <f>IF(Table1[[#This Row],[CStd]]=0,0, (Table1[[#This Row],[FinalElo]]-Table1[[#This Row],[CAvg]]) / Table1[[#This Row],[CStd]])</f>
        <v>1.0437507642804322</v>
      </c>
      <c r="AC1471" t="str">
        <f>IF(Table1[[#This Row],[CStd]]=0,"Normal", IF(ABS(Table1[[#This Row],[CZscore]])&gt;2,"Outlier","Normal"))</f>
        <v>Normal</v>
      </c>
    </row>
    <row r="1472" spans="1:29" x14ac:dyDescent="0.35">
      <c r="A1472" t="s">
        <v>255</v>
      </c>
      <c r="B1472">
        <v>61.23</v>
      </c>
      <c r="C1472">
        <v>176</v>
      </c>
      <c r="D1472" t="s">
        <v>146</v>
      </c>
      <c r="E1472">
        <v>28</v>
      </c>
      <c r="F1472" t="s">
        <v>256</v>
      </c>
      <c r="G1472" t="s">
        <v>28</v>
      </c>
      <c r="H1472" t="s">
        <v>29</v>
      </c>
      <c r="I1472" t="s">
        <v>73</v>
      </c>
      <c r="J1472">
        <v>0</v>
      </c>
      <c r="K1472">
        <v>1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1</v>
      </c>
      <c r="X1472">
        <v>975.27</v>
      </c>
      <c r="Y1472">
        <v>1000</v>
      </c>
      <c r="Z1472">
        <f>AVERAGEIFS(Table1[FinalElo], Table1[Country], Table1[[#This Row],[Country]])</f>
        <v>971.46103448275846</v>
      </c>
      <c r="AA1472" cm="1">
        <f t="array" ref="AA1472">IF(COUNTIFS(Table1[Country],Table1[[#This Row],[Country]])=1,0, _xlfn.STDEV.S(IF(Table1[Country]=Table1[[#This Row],[Country]],Table1[FinalElo])))</f>
        <v>107.62263899334665</v>
      </c>
      <c r="AB1472">
        <f>IF(Table1[[#This Row],[CStd]]=0,0, (Table1[[#This Row],[FinalElo]]-Table1[[#This Row],[CAvg]]) / Table1[[#This Row],[CStd]])</f>
        <v>3.5391861348772466E-2</v>
      </c>
      <c r="AC1472" t="str">
        <f>IF(Table1[[#This Row],[CStd]]=0,"Normal", IF(ABS(Table1[[#This Row],[CZscore]])&gt;2,"Outlier","Normal"))</f>
        <v>Normal</v>
      </c>
    </row>
    <row r="1473" spans="1:29" x14ac:dyDescent="0.35">
      <c r="A1473" t="s">
        <v>253</v>
      </c>
      <c r="B1473">
        <v>52.16</v>
      </c>
      <c r="C1473">
        <v>172</v>
      </c>
      <c r="D1473" t="s">
        <v>244</v>
      </c>
      <c r="E1473">
        <v>20</v>
      </c>
      <c r="F1473" t="s">
        <v>254</v>
      </c>
      <c r="G1473" t="s">
        <v>28</v>
      </c>
      <c r="H1473" t="s">
        <v>29</v>
      </c>
      <c r="I1473" t="s">
        <v>36</v>
      </c>
      <c r="J1473">
        <v>0</v>
      </c>
      <c r="K1473">
        <v>1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1</v>
      </c>
      <c r="X1473">
        <v>928.01</v>
      </c>
      <c r="Y1473">
        <v>1000</v>
      </c>
      <c r="Z1473">
        <f>AVERAGEIFS(Table1[FinalElo], Table1[Country], Table1[[#This Row],[Country]])</f>
        <v>1041.2214285714285</v>
      </c>
      <c r="AA1473" cm="1">
        <f t="array" ref="AA1473">IF(COUNTIFS(Table1[Country],Table1[[#This Row],[Country]])=1,0, _xlfn.STDEV.S(IF(Table1[Country]=Table1[[#This Row],[Country]],Table1[FinalElo])))</f>
        <v>242.01065578665347</v>
      </c>
      <c r="AB1473">
        <f>IF(Table1[[#This Row],[CStd]]=0,0, (Table1[[#This Row],[FinalElo]]-Table1[[#This Row],[CAvg]]) / Table1[[#This Row],[CStd]])</f>
        <v>-0.46779522250140515</v>
      </c>
      <c r="AC1473" t="str">
        <f>IF(Table1[[#This Row],[CStd]]=0,"Normal", IF(ABS(Table1[[#This Row],[CZscore]])&gt;2,"Outlier","Normal"))</f>
        <v>Normal</v>
      </c>
    </row>
    <row r="1474" spans="1:29" x14ac:dyDescent="0.35">
      <c r="A1474" t="s">
        <v>251</v>
      </c>
      <c r="B1474">
        <v>62.5</v>
      </c>
      <c r="C1474">
        <v>173</v>
      </c>
      <c r="D1474" t="s">
        <v>38</v>
      </c>
      <c r="E1474">
        <v>25</v>
      </c>
      <c r="F1474" t="s">
        <v>252</v>
      </c>
      <c r="G1474" t="s">
        <v>34</v>
      </c>
      <c r="H1474" t="s">
        <v>29</v>
      </c>
      <c r="I1474" t="s">
        <v>73</v>
      </c>
      <c r="J1474">
        <v>1</v>
      </c>
      <c r="K1474">
        <v>2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1</v>
      </c>
      <c r="V1474">
        <v>0</v>
      </c>
      <c r="W1474">
        <v>3</v>
      </c>
      <c r="X1474">
        <v>960.28</v>
      </c>
      <c r="Y1474">
        <v>1100</v>
      </c>
      <c r="Z1474">
        <f>AVERAGEIFS(Table1[FinalElo], Table1[Country], Table1[[#This Row],[Country]])</f>
        <v>1057.4495402298851</v>
      </c>
      <c r="AA1474" cm="1">
        <f t="array" ref="AA1474">IF(COUNTIFS(Table1[Country],Table1[[#This Row],[Country]])=1,0, _xlfn.STDEV.S(IF(Table1[Country]=Table1[[#This Row],[Country]],Table1[FinalElo])))</f>
        <v>156.98667602259493</v>
      </c>
      <c r="AB1474">
        <f>IF(Table1[[#This Row],[CStd]]=0,0, (Table1[[#This Row],[FinalElo]]-Table1[[#This Row],[CAvg]]) / Table1[[#This Row],[CStd]])</f>
        <v>-0.61896679827719647</v>
      </c>
      <c r="AC1474" t="str">
        <f>IF(Table1[[#This Row],[CStd]]=0,"Normal", IF(ABS(Table1[[#This Row],[CZscore]])&gt;2,"Outlier","Normal"))</f>
        <v>Normal</v>
      </c>
    </row>
    <row r="1475" spans="1:29" x14ac:dyDescent="0.35">
      <c r="A1475" t="s">
        <v>249</v>
      </c>
      <c r="B1475">
        <v>65.8</v>
      </c>
      <c r="C1475">
        <v>168</v>
      </c>
      <c r="D1475" t="s">
        <v>146</v>
      </c>
      <c r="E1475">
        <v>34</v>
      </c>
      <c r="F1475" t="s">
        <v>250</v>
      </c>
      <c r="G1475" t="s">
        <v>40</v>
      </c>
      <c r="H1475" t="s">
        <v>29</v>
      </c>
      <c r="I1475" t="s">
        <v>48</v>
      </c>
      <c r="J1475">
        <v>2</v>
      </c>
      <c r="K1475">
        <v>3</v>
      </c>
      <c r="L1475">
        <v>0</v>
      </c>
      <c r="M1475">
        <v>0</v>
      </c>
      <c r="N1475">
        <v>0</v>
      </c>
      <c r="O1475">
        <v>0</v>
      </c>
      <c r="P1475">
        <v>1</v>
      </c>
      <c r="Q1475">
        <v>1</v>
      </c>
      <c r="R1475">
        <v>3</v>
      </c>
      <c r="S1475">
        <v>0</v>
      </c>
      <c r="T1475">
        <v>0</v>
      </c>
      <c r="U1475">
        <v>0</v>
      </c>
      <c r="V1475">
        <v>0</v>
      </c>
      <c r="W1475">
        <v>5</v>
      </c>
      <c r="X1475">
        <v>917.52</v>
      </c>
      <c r="Y1475">
        <v>1131.32</v>
      </c>
      <c r="Z1475">
        <f>AVERAGEIFS(Table1[FinalElo], Table1[Country], Table1[[#This Row],[Country]])</f>
        <v>971.46103448275846</v>
      </c>
      <c r="AA1475" cm="1">
        <f t="array" ref="AA1475">IF(COUNTIFS(Table1[Country],Table1[[#This Row],[Country]])=1,0, _xlfn.STDEV.S(IF(Table1[Country]=Table1[[#This Row],[Country]],Table1[FinalElo])))</f>
        <v>107.62263899334665</v>
      </c>
      <c r="AB1475">
        <f>IF(Table1[[#This Row],[CStd]]=0,0, (Table1[[#This Row],[FinalElo]]-Table1[[#This Row],[CAvg]]) / Table1[[#This Row],[CStd]])</f>
        <v>-0.50120527602090459</v>
      </c>
      <c r="AC1475" t="str">
        <f>IF(Table1[[#This Row],[CStd]]=0,"Normal", IF(ABS(Table1[[#This Row],[CZscore]])&gt;2,"Outlier","Normal"))</f>
        <v>Normal</v>
      </c>
    </row>
    <row r="1476" spans="1:29" x14ac:dyDescent="0.35">
      <c r="A1476" t="s">
        <v>246</v>
      </c>
      <c r="B1476">
        <v>63.502879999999998</v>
      </c>
      <c r="C1476">
        <v>175</v>
      </c>
      <c r="D1476" t="s">
        <v>247</v>
      </c>
      <c r="E1476">
        <v>24</v>
      </c>
      <c r="F1476" t="s">
        <v>248</v>
      </c>
      <c r="G1476" t="s">
        <v>34</v>
      </c>
      <c r="H1476" t="s">
        <v>29</v>
      </c>
      <c r="I1476" t="s">
        <v>73</v>
      </c>
      <c r="J1476">
        <v>1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1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1</v>
      </c>
      <c r="X1476">
        <v>1128.01</v>
      </c>
      <c r="Y1476">
        <v>1128.01</v>
      </c>
      <c r="Z1476">
        <f>AVERAGEIFS(Table1[FinalElo], Table1[Country], Table1[[#This Row],[Country]])</f>
        <v>1050.0176190476191</v>
      </c>
      <c r="AA1476" cm="1">
        <f t="array" ref="AA1476">IF(COUNTIFS(Table1[Country],Table1[[#This Row],[Country]])=1,0, _xlfn.STDEV.S(IF(Table1[Country]=Table1[[#This Row],[Country]],Table1[FinalElo])))</f>
        <v>127.00578096703971</v>
      </c>
      <c r="AB1476">
        <f>IF(Table1[[#This Row],[CStd]]=0,0, (Table1[[#This Row],[FinalElo]]-Table1[[#This Row],[CAvg]]) / Table1[[#This Row],[CStd]])</f>
        <v>0.61408528303622145</v>
      </c>
      <c r="AC1476" t="str">
        <f>IF(Table1[[#This Row],[CStd]]=0,"Normal", IF(ABS(Table1[[#This Row],[CZscore]])&gt;2,"Outlier","Normal"))</f>
        <v>Normal</v>
      </c>
    </row>
    <row r="1477" spans="1:29" x14ac:dyDescent="0.35">
      <c r="A1477" t="s">
        <v>243</v>
      </c>
      <c r="B1477">
        <v>70.31</v>
      </c>
      <c r="C1477">
        <v>178</v>
      </c>
      <c r="D1477" t="s">
        <v>244</v>
      </c>
      <c r="E1477">
        <v>30</v>
      </c>
      <c r="F1477" t="s">
        <v>133</v>
      </c>
      <c r="G1477" t="s">
        <v>40</v>
      </c>
      <c r="H1477" t="s">
        <v>29</v>
      </c>
      <c r="I1477" t="s">
        <v>30</v>
      </c>
      <c r="J1477">
        <v>2</v>
      </c>
      <c r="K1477">
        <v>0</v>
      </c>
      <c r="L1477">
        <v>0</v>
      </c>
      <c r="M1477">
        <v>2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2</v>
      </c>
      <c r="X1477">
        <v>1211.6500000000001</v>
      </c>
      <c r="Y1477">
        <v>1211.6500000000001</v>
      </c>
      <c r="Z1477">
        <f>AVERAGEIFS(Table1[FinalElo], Table1[Country], Table1[[#This Row],[Country]])</f>
        <v>1041.2214285714285</v>
      </c>
      <c r="AA1477" cm="1">
        <f t="array" ref="AA1477">IF(COUNTIFS(Table1[Country],Table1[[#This Row],[Country]])=1,0, _xlfn.STDEV.S(IF(Table1[Country]=Table1[[#This Row],[Country]],Table1[FinalElo])))</f>
        <v>242.01065578665347</v>
      </c>
      <c r="AB1477">
        <f>IF(Table1[[#This Row],[CStd]]=0,0, (Table1[[#This Row],[FinalElo]]-Table1[[#This Row],[CAvg]]) / Table1[[#This Row],[CStd]])</f>
        <v>0.70421928685162649</v>
      </c>
      <c r="AC1477" t="str">
        <f>IF(Table1[[#This Row],[CStd]]=0,"Normal", IF(ABS(Table1[[#This Row],[CZscore]])&gt;2,"Outlier","Normal"))</f>
        <v>Normal</v>
      </c>
    </row>
    <row r="1478" spans="1:29" x14ac:dyDescent="0.35">
      <c r="A1478" t="s">
        <v>242</v>
      </c>
      <c r="B1478">
        <v>77.099999999999994</v>
      </c>
      <c r="C1478">
        <v>178</v>
      </c>
      <c r="D1478" t="s">
        <v>38</v>
      </c>
      <c r="E1478">
        <v>27</v>
      </c>
      <c r="F1478" t="s">
        <v>87</v>
      </c>
      <c r="G1478" t="s">
        <v>34</v>
      </c>
      <c r="H1478" t="s">
        <v>29</v>
      </c>
      <c r="I1478" t="s">
        <v>30</v>
      </c>
      <c r="J1478">
        <v>0</v>
      </c>
      <c r="K1478">
        <v>1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1</v>
      </c>
      <c r="V1478">
        <v>0</v>
      </c>
      <c r="W1478">
        <v>1</v>
      </c>
      <c r="X1478">
        <v>928.06</v>
      </c>
      <c r="Y1478">
        <v>1000</v>
      </c>
      <c r="Z1478">
        <f>AVERAGEIFS(Table1[FinalElo], Table1[Country], Table1[[#This Row],[Country]])</f>
        <v>1057.4495402298851</v>
      </c>
      <c r="AA1478" cm="1">
        <f t="array" ref="AA1478">IF(COUNTIFS(Table1[Country],Table1[[#This Row],[Country]])=1,0, _xlfn.STDEV.S(IF(Table1[Country]=Table1[[#This Row],[Country]],Table1[FinalElo])))</f>
        <v>156.98667602259493</v>
      </c>
      <c r="AB1478">
        <f>IF(Table1[[#This Row],[CStd]]=0,0, (Table1[[#This Row],[FinalElo]]-Table1[[#This Row],[CAvg]]) / Table1[[#This Row],[CStd]])</f>
        <v>-0.82420714616100432</v>
      </c>
      <c r="AC1478" t="str">
        <f>IF(Table1[[#This Row],[CStd]]=0,"Normal", IF(ABS(Table1[[#This Row],[CZscore]])&gt;2,"Outlier","Normal"))</f>
        <v>Normal</v>
      </c>
    </row>
    <row r="1479" spans="1:29" x14ac:dyDescent="0.35">
      <c r="A1479" t="s">
        <v>240</v>
      </c>
      <c r="B1479">
        <v>56.7</v>
      </c>
      <c r="C1479">
        <v>180</v>
      </c>
      <c r="D1479" t="s">
        <v>71</v>
      </c>
      <c r="E1479">
        <v>19</v>
      </c>
      <c r="F1479" t="s">
        <v>241</v>
      </c>
      <c r="G1479" t="s">
        <v>34</v>
      </c>
      <c r="H1479" t="s">
        <v>29</v>
      </c>
      <c r="I1479" t="s">
        <v>58</v>
      </c>
      <c r="J1479">
        <v>0</v>
      </c>
      <c r="K1479">
        <v>2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2</v>
      </c>
      <c r="X1479">
        <v>856.2</v>
      </c>
      <c r="Y1479">
        <v>1000</v>
      </c>
      <c r="Z1479">
        <f>AVERAGEIFS(Table1[FinalElo], Table1[Country], Table1[[#This Row],[Country]])</f>
        <v>991.47826086956536</v>
      </c>
      <c r="AA1479" cm="1">
        <f t="array" ref="AA1479">IF(COUNTIFS(Table1[Country],Table1[[#This Row],[Country]])=1,0, _xlfn.STDEV.S(IF(Table1[Country]=Table1[[#This Row],[Country]],Table1[FinalElo])))</f>
        <v>164.61500422203164</v>
      </c>
      <c r="AB1479">
        <f>IF(Table1[[#This Row],[CStd]]=0,0, (Table1[[#This Row],[FinalElo]]-Table1[[#This Row],[CAvg]]) / Table1[[#This Row],[CStd]])</f>
        <v>-0.82178572669537997</v>
      </c>
      <c r="AC1479" t="str">
        <f>IF(Table1[[#This Row],[CStd]]=0,"Normal", IF(ABS(Table1[[#This Row],[CZscore]])&gt;2,"Outlier","Normal"))</f>
        <v>Normal</v>
      </c>
    </row>
    <row r="1480" spans="1:29" x14ac:dyDescent="0.35">
      <c r="A1480" t="s">
        <v>239</v>
      </c>
      <c r="B1480">
        <v>70.31</v>
      </c>
      <c r="C1480">
        <v>180</v>
      </c>
      <c r="D1480" t="s">
        <v>38</v>
      </c>
      <c r="E1480">
        <v>31</v>
      </c>
      <c r="F1480" t="s">
        <v>133</v>
      </c>
      <c r="G1480" t="s">
        <v>40</v>
      </c>
      <c r="H1480" t="s">
        <v>29</v>
      </c>
      <c r="I1480" t="s">
        <v>30</v>
      </c>
      <c r="J1480">
        <v>0</v>
      </c>
      <c r="K1480">
        <v>1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1</v>
      </c>
      <c r="W1480">
        <v>1</v>
      </c>
      <c r="X1480">
        <v>900</v>
      </c>
      <c r="Y1480">
        <v>1000</v>
      </c>
      <c r="Z1480">
        <f>AVERAGEIFS(Table1[FinalElo], Table1[Country], Table1[[#This Row],[Country]])</f>
        <v>1057.4495402298851</v>
      </c>
      <c r="AA1480" cm="1">
        <f t="array" ref="AA1480">IF(COUNTIFS(Table1[Country],Table1[[#This Row],[Country]])=1,0, _xlfn.STDEV.S(IF(Table1[Country]=Table1[[#This Row],[Country]],Table1[FinalElo])))</f>
        <v>156.98667602259493</v>
      </c>
      <c r="AB1480">
        <f>IF(Table1[[#This Row],[CStd]]=0,0, (Table1[[#This Row],[FinalElo]]-Table1[[#This Row],[CAvg]]) / Table1[[#This Row],[CStd]])</f>
        <v>-1.0029484298860085</v>
      </c>
      <c r="AC1480" t="str">
        <f>IF(Table1[[#This Row],[CStd]]=0,"Normal", IF(ABS(Table1[[#This Row],[CZscore]])&gt;2,"Outlier","Normal"))</f>
        <v>Normal</v>
      </c>
    </row>
    <row r="1481" spans="1:29" x14ac:dyDescent="0.35">
      <c r="A1481" t="s">
        <v>25</v>
      </c>
      <c r="B1481">
        <v>76.599999999999994</v>
      </c>
      <c r="C1481">
        <v>183</v>
      </c>
      <c r="D1481" t="s">
        <v>26</v>
      </c>
      <c r="E1481">
        <v>27</v>
      </c>
      <c r="F1481" t="s">
        <v>27</v>
      </c>
      <c r="G1481" t="s">
        <v>28</v>
      </c>
      <c r="H1481" t="s">
        <v>29</v>
      </c>
      <c r="I1481" t="s">
        <v>30</v>
      </c>
      <c r="J1481">
        <v>2</v>
      </c>
      <c r="K1481">
        <v>2</v>
      </c>
      <c r="L1481">
        <v>0</v>
      </c>
      <c r="M1481">
        <v>0</v>
      </c>
      <c r="N1481">
        <v>0</v>
      </c>
      <c r="O1481">
        <v>0</v>
      </c>
      <c r="P1481">
        <v>2</v>
      </c>
      <c r="Q1481">
        <v>0</v>
      </c>
      <c r="R1481">
        <v>0</v>
      </c>
      <c r="S1481">
        <v>0</v>
      </c>
      <c r="T1481">
        <v>0</v>
      </c>
      <c r="U1481">
        <v>1</v>
      </c>
      <c r="V1481">
        <v>0</v>
      </c>
      <c r="W1481">
        <v>4</v>
      </c>
      <c r="X1481">
        <v>1134.4000000000001</v>
      </c>
      <c r="Y1481">
        <v>1257.1600000000001</v>
      </c>
      <c r="Z1481">
        <f>AVERAGEIFS(Table1[FinalElo], Table1[Country], Table1[[#This Row],[Country]])</f>
        <v>979.07416666666666</v>
      </c>
      <c r="AA1481" cm="1">
        <f t="array" ref="AA1481">IF(COUNTIFS(Table1[Country],Table1[[#This Row],[Country]])=1,0, _xlfn.STDEV.S(IF(Table1[Country]=Table1[[#This Row],[Country]],Table1[FinalElo])))</f>
        <v>130.18126931728986</v>
      </c>
      <c r="AB1481">
        <f>IF(Table1[[#This Row],[CStd]]=0,0, (Table1[[#This Row],[FinalElo]]-Table1[[#This Row],[CAvg]]) / Table1[[#This Row],[CStd]])</f>
        <v>1.1931503982708827</v>
      </c>
      <c r="AC1481" t="str">
        <f>IF(Table1[[#This Row],[CStd]]=0,"Normal", IF(ABS(Table1[[#This Row],[CZscore]])&gt;2,"Outlier","Normal"))</f>
        <v>Normal</v>
      </c>
    </row>
    <row r="1482" spans="1:29" x14ac:dyDescent="0.35">
      <c r="A1482" t="s">
        <v>238</v>
      </c>
      <c r="B1482">
        <v>63.1</v>
      </c>
      <c r="C1482">
        <v>170</v>
      </c>
      <c r="D1482" t="s">
        <v>38</v>
      </c>
      <c r="E1482">
        <v>32</v>
      </c>
      <c r="F1482" t="s">
        <v>133</v>
      </c>
      <c r="G1482" t="s">
        <v>34</v>
      </c>
      <c r="H1482" t="s">
        <v>29</v>
      </c>
      <c r="I1482" t="s">
        <v>73</v>
      </c>
      <c r="J1482">
        <v>3</v>
      </c>
      <c r="K1482">
        <v>4</v>
      </c>
      <c r="L1482">
        <v>0</v>
      </c>
      <c r="M1482">
        <v>0</v>
      </c>
      <c r="N1482">
        <v>0</v>
      </c>
      <c r="O1482">
        <v>0</v>
      </c>
      <c r="P1482">
        <v>1</v>
      </c>
      <c r="Q1482">
        <v>0</v>
      </c>
      <c r="R1482">
        <v>0</v>
      </c>
      <c r="S1482">
        <v>0</v>
      </c>
      <c r="T1482">
        <v>0</v>
      </c>
      <c r="U1482">
        <v>2</v>
      </c>
      <c r="V1482">
        <v>0</v>
      </c>
      <c r="W1482">
        <v>7</v>
      </c>
      <c r="X1482">
        <v>849.18</v>
      </c>
      <c r="Y1482">
        <v>1213.02</v>
      </c>
      <c r="Z1482">
        <f>AVERAGEIFS(Table1[FinalElo], Table1[Country], Table1[[#This Row],[Country]])</f>
        <v>1057.4495402298851</v>
      </c>
      <c r="AA1482" cm="1">
        <f t="array" ref="AA1482">IF(COUNTIFS(Table1[Country],Table1[[#This Row],[Country]])=1,0, _xlfn.STDEV.S(IF(Table1[Country]=Table1[[#This Row],[Country]],Table1[FinalElo])))</f>
        <v>156.98667602259493</v>
      </c>
      <c r="AB1482">
        <f>IF(Table1[[#This Row],[CStd]]=0,0, (Table1[[#This Row],[FinalElo]]-Table1[[#This Row],[CAvg]]) / Table1[[#This Row],[CStd]])</f>
        <v>-1.3266701704029271</v>
      </c>
      <c r="AC1482" t="str">
        <f>IF(Table1[[#This Row],[CStd]]=0,"Normal", IF(ABS(Table1[[#This Row],[CZscore]])&gt;2,"Outlier","Normal"))</f>
        <v>Normal</v>
      </c>
    </row>
    <row r="1483" spans="1:29" x14ac:dyDescent="0.35">
      <c r="A1483" t="s">
        <v>236</v>
      </c>
      <c r="B1483">
        <v>65.77</v>
      </c>
      <c r="C1483">
        <v>175</v>
      </c>
      <c r="D1483" t="s">
        <v>237</v>
      </c>
      <c r="E1483">
        <v>31</v>
      </c>
      <c r="F1483" t="s">
        <v>33</v>
      </c>
      <c r="G1483" t="s">
        <v>40</v>
      </c>
      <c r="H1483" t="s">
        <v>29</v>
      </c>
      <c r="I1483" t="s">
        <v>48</v>
      </c>
      <c r="J1483">
        <v>2</v>
      </c>
      <c r="K1483">
        <v>0</v>
      </c>
      <c r="L1483">
        <v>0</v>
      </c>
      <c r="M1483">
        <v>0</v>
      </c>
      <c r="N1483">
        <v>2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2</v>
      </c>
      <c r="X1483">
        <v>1171.99</v>
      </c>
      <c r="Y1483">
        <v>1171.99</v>
      </c>
      <c r="Z1483">
        <f>AVERAGEIFS(Table1[FinalElo], Table1[Country], Table1[[#This Row],[Country]])</f>
        <v>1086.655</v>
      </c>
      <c r="AA1483" cm="1">
        <f t="array" ref="AA1483">IF(COUNTIFS(Table1[Country],Table1[[#This Row],[Country]])=1,0, _xlfn.STDEV.S(IF(Table1[Country]=Table1[[#This Row],[Country]],Table1[FinalElo])))</f>
        <v>120.68191434510803</v>
      </c>
      <c r="AB1483">
        <f>IF(Table1[[#This Row],[CStd]]=0,0, (Table1[[#This Row],[FinalElo]]-Table1[[#This Row],[CAvg]]) / Table1[[#This Row],[CStd]])</f>
        <v>0.70710678118654802</v>
      </c>
      <c r="AC1483" t="str">
        <f>IF(Table1[[#This Row],[CStd]]=0,"Normal", IF(ABS(Table1[[#This Row],[CZscore]])&gt;2,"Outlier","Normal"))</f>
        <v>Normal</v>
      </c>
    </row>
    <row r="1484" spans="1:29" x14ac:dyDescent="0.35">
      <c r="A1484" t="s">
        <v>234</v>
      </c>
      <c r="B1484">
        <v>65.77</v>
      </c>
      <c r="C1484">
        <v>178</v>
      </c>
      <c r="D1484" t="s">
        <v>38</v>
      </c>
      <c r="E1484">
        <v>28</v>
      </c>
      <c r="F1484" t="s">
        <v>235</v>
      </c>
      <c r="G1484" t="s">
        <v>34</v>
      </c>
      <c r="H1484" t="s">
        <v>29</v>
      </c>
      <c r="I1484" t="s">
        <v>48</v>
      </c>
      <c r="J1484">
        <v>1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1</v>
      </c>
      <c r="X1484">
        <v>1100</v>
      </c>
      <c r="Y1484">
        <v>1100</v>
      </c>
      <c r="Z1484">
        <f>AVERAGEIFS(Table1[FinalElo], Table1[Country], Table1[[#This Row],[Country]])</f>
        <v>1057.4495402298851</v>
      </c>
      <c r="AA1484" cm="1">
        <f t="array" ref="AA1484">IF(COUNTIFS(Table1[Country],Table1[[#This Row],[Country]])=1,0, _xlfn.STDEV.S(IF(Table1[Country]=Table1[[#This Row],[Country]],Table1[FinalElo])))</f>
        <v>156.98667602259493</v>
      </c>
      <c r="AB1484">
        <f>IF(Table1[[#This Row],[CStd]]=0,0, (Table1[[#This Row],[FinalElo]]-Table1[[#This Row],[CAvg]]) / Table1[[#This Row],[CStd]])</f>
        <v>0.27104503928722373</v>
      </c>
      <c r="AC1484" t="str">
        <f>IF(Table1[[#This Row],[CStd]]=0,"Normal", IF(ABS(Table1[[#This Row],[CZscore]])&gt;2,"Outlier","Normal"))</f>
        <v>Normal</v>
      </c>
    </row>
    <row r="1485" spans="1:29" x14ac:dyDescent="0.35">
      <c r="A1485" t="s">
        <v>233</v>
      </c>
      <c r="B1485">
        <v>56.7</v>
      </c>
      <c r="C1485">
        <v>162</v>
      </c>
      <c r="D1485" t="s">
        <v>32</v>
      </c>
      <c r="E1485">
        <v>42</v>
      </c>
      <c r="F1485" t="s">
        <v>90</v>
      </c>
      <c r="G1485" t="s">
        <v>40</v>
      </c>
      <c r="H1485" t="s">
        <v>29</v>
      </c>
      <c r="I1485" t="s">
        <v>58</v>
      </c>
      <c r="J1485">
        <v>11</v>
      </c>
      <c r="K1485">
        <v>9</v>
      </c>
      <c r="L1485">
        <v>0</v>
      </c>
      <c r="M1485">
        <v>0</v>
      </c>
      <c r="N1485">
        <v>9</v>
      </c>
      <c r="O1485">
        <v>0</v>
      </c>
      <c r="P1485">
        <v>2</v>
      </c>
      <c r="Q1485">
        <v>0</v>
      </c>
      <c r="R1485">
        <v>1</v>
      </c>
      <c r="S1485">
        <v>0</v>
      </c>
      <c r="T1485">
        <v>0</v>
      </c>
      <c r="U1485">
        <v>4</v>
      </c>
      <c r="V1485">
        <v>4</v>
      </c>
      <c r="W1485">
        <v>20</v>
      </c>
      <c r="X1485">
        <v>951.72</v>
      </c>
      <c r="Y1485">
        <v>1364.72</v>
      </c>
      <c r="Z1485">
        <f>AVERAGEIFS(Table1[FinalElo], Table1[Country], Table1[[#This Row],[Country]])</f>
        <v>1025.3786885245902</v>
      </c>
      <c r="AA1485" cm="1">
        <f t="array" ref="AA1485">IF(COUNTIFS(Table1[Country],Table1[[#This Row],[Country]])=1,0, _xlfn.STDEV.S(IF(Table1[Country]=Table1[[#This Row],[Country]],Table1[FinalElo])))</f>
        <v>144.71595558743479</v>
      </c>
      <c r="AB1485">
        <f>IF(Table1[[#This Row],[CStd]]=0,0, (Table1[[#This Row],[FinalElo]]-Table1[[#This Row],[CAvg]]) / Table1[[#This Row],[CStd]])</f>
        <v>-0.50898802571971336</v>
      </c>
      <c r="AC1485" t="str">
        <f>IF(Table1[[#This Row],[CStd]]=0,"Normal", IF(ABS(Table1[[#This Row],[CZscore]])&gt;2,"Outlier","Normal"))</f>
        <v>Normal</v>
      </c>
    </row>
    <row r="1486" spans="1:29" x14ac:dyDescent="0.35">
      <c r="A1486" t="s">
        <v>231</v>
      </c>
      <c r="B1486">
        <v>102.06</v>
      </c>
      <c r="C1486">
        <v>192</v>
      </c>
      <c r="D1486" t="s">
        <v>174</v>
      </c>
      <c r="E1486">
        <v>36</v>
      </c>
      <c r="F1486" t="s">
        <v>232</v>
      </c>
      <c r="G1486" t="s">
        <v>34</v>
      </c>
      <c r="H1486" t="s">
        <v>29</v>
      </c>
      <c r="I1486" t="s">
        <v>94</v>
      </c>
      <c r="J1486">
        <v>0</v>
      </c>
      <c r="K1486">
        <v>2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1</v>
      </c>
      <c r="S1486">
        <v>0</v>
      </c>
      <c r="T1486">
        <v>0</v>
      </c>
      <c r="U1486">
        <v>0</v>
      </c>
      <c r="V1486">
        <v>0</v>
      </c>
      <c r="W1486">
        <v>2</v>
      </c>
      <c r="X1486">
        <v>911.06</v>
      </c>
      <c r="Y1486">
        <v>1000</v>
      </c>
      <c r="Z1486">
        <f>AVERAGEIFS(Table1[FinalElo], Table1[Country], Table1[[#This Row],[Country]])</f>
        <v>980.52444444444427</v>
      </c>
      <c r="AA1486" cm="1">
        <f t="array" ref="AA1486">IF(COUNTIFS(Table1[Country],Table1[[#This Row],[Country]])=1,0, _xlfn.STDEV.S(IF(Table1[Country]=Table1[[#This Row],[Country]],Table1[FinalElo])))</f>
        <v>143.66034832022171</v>
      </c>
      <c r="AB1486">
        <f>IF(Table1[[#This Row],[CStd]]=0,0, (Table1[[#This Row],[FinalElo]]-Table1[[#This Row],[CAvg]]) / Table1[[#This Row],[CStd]])</f>
        <v>-0.4835324796067369</v>
      </c>
      <c r="AC1486" t="str">
        <f>IF(Table1[[#This Row],[CStd]]=0,"Normal", IF(ABS(Table1[[#This Row],[CZscore]])&gt;2,"Outlier","Normal"))</f>
        <v>Normal</v>
      </c>
    </row>
    <row r="1487" spans="1:29" x14ac:dyDescent="0.35">
      <c r="A1487" t="s">
        <v>229</v>
      </c>
      <c r="B1487">
        <v>65.77</v>
      </c>
      <c r="C1487">
        <v>181</v>
      </c>
      <c r="D1487" t="s">
        <v>230</v>
      </c>
      <c r="E1487">
        <v>36</v>
      </c>
      <c r="F1487" t="s">
        <v>99</v>
      </c>
      <c r="G1487" t="s">
        <v>34</v>
      </c>
      <c r="H1487" t="s">
        <v>29</v>
      </c>
      <c r="I1487" t="s">
        <v>48</v>
      </c>
      <c r="J1487">
        <v>1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1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1</v>
      </c>
      <c r="X1487">
        <v>1100</v>
      </c>
      <c r="Y1487">
        <v>1100</v>
      </c>
      <c r="Z1487">
        <f>AVERAGEIFS(Table1[FinalElo], Table1[Country], Table1[[#This Row],[Country]])</f>
        <v>963.06500000000005</v>
      </c>
      <c r="AA1487" cm="1">
        <f t="array" ref="AA1487">IF(COUNTIFS(Table1[Country],Table1[[#This Row],[Country]])=1,0, _xlfn.STDEV.S(IF(Table1[Country]=Table1[[#This Row],[Country]],Table1[FinalElo])))</f>
        <v>123.22301205537823</v>
      </c>
      <c r="AB1487">
        <f>IF(Table1[[#This Row],[CStd]]=0,0, (Table1[[#This Row],[FinalElo]]-Table1[[#This Row],[CAvg]]) / Table1[[#This Row],[CStd]])</f>
        <v>1.1112778182898122</v>
      </c>
      <c r="AC1487" t="str">
        <f>IF(Table1[[#This Row],[CStd]]=0,"Normal", IF(ABS(Table1[[#This Row],[CZscore]])&gt;2,"Outlier","Normal"))</f>
        <v>Normal</v>
      </c>
    </row>
    <row r="1488" spans="1:29" x14ac:dyDescent="0.35">
      <c r="A1488" t="s">
        <v>227</v>
      </c>
      <c r="B1488">
        <v>67.7</v>
      </c>
      <c r="C1488">
        <v>175</v>
      </c>
      <c r="D1488" t="s">
        <v>226</v>
      </c>
      <c r="E1488">
        <v>23</v>
      </c>
      <c r="F1488" t="s">
        <v>228</v>
      </c>
      <c r="G1488" t="s">
        <v>34</v>
      </c>
      <c r="H1488" t="s">
        <v>29</v>
      </c>
      <c r="I1488" t="s">
        <v>48</v>
      </c>
      <c r="J1488">
        <v>3</v>
      </c>
      <c r="K1488">
        <v>3</v>
      </c>
      <c r="L1488">
        <v>0</v>
      </c>
      <c r="M1488">
        <v>1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2</v>
      </c>
      <c r="V1488">
        <v>0</v>
      </c>
      <c r="W1488">
        <v>6</v>
      </c>
      <c r="X1488">
        <v>1107.78</v>
      </c>
      <c r="Y1488">
        <v>1136.92</v>
      </c>
      <c r="Z1488">
        <f>AVERAGEIFS(Table1[FinalElo], Table1[Country], Table1[[#This Row],[Country]])</f>
        <v>961.00176470588235</v>
      </c>
      <c r="AA1488" cm="1">
        <f t="array" ref="AA1488">IF(COUNTIFS(Table1[Country],Table1[[#This Row],[Country]])=1,0, _xlfn.STDEV.S(IF(Table1[Country]=Table1[[#This Row],[Country]],Table1[FinalElo])))</f>
        <v>117.15877454523515</v>
      </c>
      <c r="AB1488">
        <f>IF(Table1[[#This Row],[CStd]]=0,0, (Table1[[#This Row],[FinalElo]]-Table1[[#This Row],[CAvg]]) / Table1[[#This Row],[CStd]])</f>
        <v>1.2528147026447973</v>
      </c>
      <c r="AC1488" t="str">
        <f>IF(Table1[[#This Row],[CStd]]=0,"Normal", IF(ABS(Table1[[#This Row],[CZscore]])&gt;2,"Outlier","Normal"))</f>
        <v>Normal</v>
      </c>
    </row>
    <row r="1489" spans="1:29" x14ac:dyDescent="0.35">
      <c r="A1489" t="s">
        <v>225</v>
      </c>
      <c r="B1489">
        <v>65.8</v>
      </c>
      <c r="C1489">
        <v>179</v>
      </c>
      <c r="D1489" t="s">
        <v>226</v>
      </c>
      <c r="E1489">
        <v>24</v>
      </c>
      <c r="F1489" t="s">
        <v>104</v>
      </c>
      <c r="G1489" t="s">
        <v>34</v>
      </c>
      <c r="H1489" t="s">
        <v>29</v>
      </c>
      <c r="I1489" t="s">
        <v>48</v>
      </c>
      <c r="J1489">
        <v>0</v>
      </c>
      <c r="K1489">
        <v>2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2</v>
      </c>
      <c r="X1489">
        <v>836.93</v>
      </c>
      <c r="Y1489">
        <v>1000</v>
      </c>
      <c r="Z1489">
        <f>AVERAGEIFS(Table1[FinalElo], Table1[Country], Table1[[#This Row],[Country]])</f>
        <v>961.00176470588235</v>
      </c>
      <c r="AA1489" cm="1">
        <f t="array" ref="AA1489">IF(COUNTIFS(Table1[Country],Table1[[#This Row],[Country]])=1,0, _xlfn.STDEV.S(IF(Table1[Country]=Table1[[#This Row],[Country]],Table1[FinalElo])))</f>
        <v>117.15877454523515</v>
      </c>
      <c r="AB1489">
        <f>IF(Table1[[#This Row],[CStd]]=0,0, (Table1[[#This Row],[FinalElo]]-Table1[[#This Row],[CAvg]]) / Table1[[#This Row],[CStd]])</f>
        <v>-1.0590053129821544</v>
      </c>
      <c r="AC1489" t="str">
        <f>IF(Table1[[#This Row],[CStd]]=0,"Normal", IF(ABS(Table1[[#This Row],[CZscore]])&gt;2,"Outlier","Normal"))</f>
        <v>Normal</v>
      </c>
    </row>
    <row r="1490" spans="1:29" x14ac:dyDescent="0.35">
      <c r="A1490" t="s">
        <v>223</v>
      </c>
      <c r="B1490">
        <v>52.16</v>
      </c>
      <c r="C1490">
        <v>165</v>
      </c>
      <c r="D1490" t="s">
        <v>38</v>
      </c>
      <c r="E1490">
        <v>27</v>
      </c>
      <c r="F1490" t="s">
        <v>224</v>
      </c>
      <c r="G1490" t="s">
        <v>40</v>
      </c>
      <c r="H1490" t="s">
        <v>29</v>
      </c>
      <c r="I1490" t="s">
        <v>36</v>
      </c>
      <c r="J1490">
        <v>1</v>
      </c>
      <c r="K1490">
        <v>1</v>
      </c>
      <c r="L1490">
        <v>0</v>
      </c>
      <c r="M1490">
        <v>1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1</v>
      </c>
      <c r="T1490">
        <v>0</v>
      </c>
      <c r="U1490">
        <v>0</v>
      </c>
      <c r="V1490">
        <v>0</v>
      </c>
      <c r="W1490">
        <v>2</v>
      </c>
      <c r="X1490">
        <v>953.01</v>
      </c>
      <c r="Y1490">
        <v>1073.99</v>
      </c>
      <c r="Z1490">
        <f>AVERAGEIFS(Table1[FinalElo], Table1[Country], Table1[[#This Row],[Country]])</f>
        <v>1057.4495402298851</v>
      </c>
      <c r="AA1490" cm="1">
        <f t="array" ref="AA1490">IF(COUNTIFS(Table1[Country],Table1[[#This Row],[Country]])=1,0, _xlfn.STDEV.S(IF(Table1[Country]=Table1[[#This Row],[Country]],Table1[FinalElo])))</f>
        <v>156.98667602259493</v>
      </c>
      <c r="AB1490">
        <f>IF(Table1[[#This Row],[CStd]]=0,0, (Table1[[#This Row],[FinalElo]]-Table1[[#This Row],[CAvg]]) / Table1[[#This Row],[CStd]])</f>
        <v>-0.66527646088164338</v>
      </c>
      <c r="AC1490" t="str">
        <f>IF(Table1[[#This Row],[CStd]]=0,"Normal", IF(ABS(Table1[[#This Row],[CZscore]])&gt;2,"Outlier","Normal"))</f>
        <v>Normal</v>
      </c>
    </row>
    <row r="1491" spans="1:29" x14ac:dyDescent="0.35">
      <c r="A1491" t="s">
        <v>221</v>
      </c>
      <c r="B1491">
        <v>63.049287999999997</v>
      </c>
      <c r="C1491">
        <v>170</v>
      </c>
      <c r="D1491" t="s">
        <v>32</v>
      </c>
      <c r="E1491">
        <v>28</v>
      </c>
      <c r="F1491" t="s">
        <v>222</v>
      </c>
      <c r="G1491" t="s">
        <v>28</v>
      </c>
      <c r="H1491" t="s">
        <v>29</v>
      </c>
      <c r="I1491" t="s">
        <v>73</v>
      </c>
      <c r="J1491">
        <v>0</v>
      </c>
      <c r="K1491">
        <v>4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2</v>
      </c>
      <c r="S1491">
        <v>1</v>
      </c>
      <c r="T1491">
        <v>0</v>
      </c>
      <c r="U1491">
        <v>0</v>
      </c>
      <c r="V1491">
        <v>0</v>
      </c>
      <c r="W1491">
        <v>4</v>
      </c>
      <c r="X1491">
        <v>788.91</v>
      </c>
      <c r="Y1491">
        <v>1000</v>
      </c>
      <c r="Z1491">
        <f>AVERAGEIFS(Table1[FinalElo], Table1[Country], Table1[[#This Row],[Country]])</f>
        <v>1025.3786885245902</v>
      </c>
      <c r="AA1491" cm="1">
        <f t="array" ref="AA1491">IF(COUNTIFS(Table1[Country],Table1[[#This Row],[Country]])=1,0, _xlfn.STDEV.S(IF(Table1[Country]=Table1[[#This Row],[Country]],Table1[FinalElo])))</f>
        <v>144.71595558743479</v>
      </c>
      <c r="AB1491">
        <f>IF(Table1[[#This Row],[CStd]]=0,0, (Table1[[#This Row],[FinalElo]]-Table1[[#This Row],[CAvg]]) / Table1[[#This Row],[CStd]])</f>
        <v>-1.6340194663726633</v>
      </c>
      <c r="AC1491" t="str">
        <f>IF(Table1[[#This Row],[CStd]]=0,"Normal", IF(ABS(Table1[[#This Row],[CZscore]])&gt;2,"Outlier","Normal"))</f>
        <v>Normal</v>
      </c>
    </row>
    <row r="1492" spans="1:29" x14ac:dyDescent="0.35">
      <c r="A1492" t="s">
        <v>220</v>
      </c>
      <c r="B1492">
        <v>65.5</v>
      </c>
      <c r="C1492">
        <v>180</v>
      </c>
      <c r="D1492" t="s">
        <v>38</v>
      </c>
      <c r="E1492">
        <v>30</v>
      </c>
      <c r="F1492" t="s">
        <v>87</v>
      </c>
      <c r="G1492" t="s">
        <v>28</v>
      </c>
      <c r="H1492" t="s">
        <v>29</v>
      </c>
      <c r="I1492" t="s">
        <v>73</v>
      </c>
      <c r="J1492">
        <v>7</v>
      </c>
      <c r="K1492">
        <v>6</v>
      </c>
      <c r="L1492">
        <v>0</v>
      </c>
      <c r="M1492">
        <v>1</v>
      </c>
      <c r="N1492">
        <v>0</v>
      </c>
      <c r="O1492">
        <v>0</v>
      </c>
      <c r="P1492">
        <v>2</v>
      </c>
      <c r="Q1492">
        <v>1</v>
      </c>
      <c r="R1492">
        <v>1</v>
      </c>
      <c r="S1492">
        <v>0</v>
      </c>
      <c r="T1492">
        <v>0</v>
      </c>
      <c r="U1492">
        <v>2</v>
      </c>
      <c r="V1492">
        <v>1</v>
      </c>
      <c r="W1492">
        <v>13</v>
      </c>
      <c r="X1492">
        <v>1012.31</v>
      </c>
      <c r="Y1492">
        <v>1226.76</v>
      </c>
      <c r="Z1492">
        <f>AVERAGEIFS(Table1[FinalElo], Table1[Country], Table1[[#This Row],[Country]])</f>
        <v>1057.4495402298851</v>
      </c>
      <c r="AA1492" cm="1">
        <f t="array" ref="AA1492">IF(COUNTIFS(Table1[Country],Table1[[#This Row],[Country]])=1,0, _xlfn.STDEV.S(IF(Table1[Country]=Table1[[#This Row],[Country]],Table1[FinalElo])))</f>
        <v>156.98667602259493</v>
      </c>
      <c r="AB1492">
        <f>IF(Table1[[#This Row],[CStd]]=0,0, (Table1[[#This Row],[FinalElo]]-Table1[[#This Row],[CAvg]]) / Table1[[#This Row],[CStd]])</f>
        <v>-0.28753739727178029</v>
      </c>
      <c r="AC1492" t="str">
        <f>IF(Table1[[#This Row],[CStd]]=0,"Normal", IF(ABS(Table1[[#This Row],[CZscore]])&gt;2,"Outlier","Normal"))</f>
        <v>Normal</v>
      </c>
    </row>
    <row r="1493" spans="1:29" x14ac:dyDescent="0.35">
      <c r="A1493" t="s">
        <v>217</v>
      </c>
      <c r="B1493">
        <v>65.77</v>
      </c>
      <c r="C1493">
        <v>173</v>
      </c>
      <c r="D1493" t="s">
        <v>218</v>
      </c>
      <c r="E1493">
        <v>28</v>
      </c>
      <c r="F1493" t="s">
        <v>219</v>
      </c>
      <c r="G1493" t="s">
        <v>34</v>
      </c>
      <c r="H1493" t="s">
        <v>29</v>
      </c>
      <c r="I1493" t="s">
        <v>48</v>
      </c>
      <c r="J1493">
        <v>0</v>
      </c>
      <c r="K1493">
        <v>1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1</v>
      </c>
      <c r="V1493">
        <v>0</v>
      </c>
      <c r="W1493">
        <v>1</v>
      </c>
      <c r="X1493">
        <v>900</v>
      </c>
      <c r="Y1493">
        <v>1000</v>
      </c>
      <c r="Z1493">
        <f>AVERAGEIFS(Table1[FinalElo], Table1[Country], Table1[[#This Row],[Country]])</f>
        <v>953.02272727272725</v>
      </c>
      <c r="AA1493" cm="1">
        <f t="array" ref="AA1493">IF(COUNTIFS(Table1[Country],Table1[[#This Row],[Country]])=1,0, _xlfn.STDEV.S(IF(Table1[Country]=Table1[[#This Row],[Country]],Table1[FinalElo])))</f>
        <v>75.051454894746612</v>
      </c>
      <c r="AB1493">
        <f>IF(Table1[[#This Row],[CStd]]=0,0, (Table1[[#This Row],[FinalElo]]-Table1[[#This Row],[CAvg]]) / Table1[[#This Row],[CStd]])</f>
        <v>-0.70648500215068699</v>
      </c>
      <c r="AC1493" t="str">
        <f>IF(Table1[[#This Row],[CStd]]=0,"Normal", IF(ABS(Table1[[#This Row],[CZscore]])&gt;2,"Outlier","Normal"))</f>
        <v>Normal</v>
      </c>
    </row>
    <row r="1494" spans="1:29" x14ac:dyDescent="0.35">
      <c r="A1494" t="s">
        <v>214</v>
      </c>
      <c r="B1494">
        <v>70.3</v>
      </c>
      <c r="C1494">
        <v>170</v>
      </c>
      <c r="D1494" t="s">
        <v>215</v>
      </c>
      <c r="E1494">
        <v>32</v>
      </c>
      <c r="F1494" t="s">
        <v>216</v>
      </c>
      <c r="G1494" t="s">
        <v>40</v>
      </c>
      <c r="H1494" t="s">
        <v>29</v>
      </c>
      <c r="I1494" t="s">
        <v>48</v>
      </c>
      <c r="J1494">
        <v>2</v>
      </c>
      <c r="K1494">
        <v>2</v>
      </c>
      <c r="L1494">
        <v>0</v>
      </c>
      <c r="M1494">
        <v>1</v>
      </c>
      <c r="N1494">
        <v>0</v>
      </c>
      <c r="O1494">
        <v>0</v>
      </c>
      <c r="P1494">
        <v>1</v>
      </c>
      <c r="Q1494">
        <v>0</v>
      </c>
      <c r="R1494">
        <v>0</v>
      </c>
      <c r="S1494">
        <v>2</v>
      </c>
      <c r="T1494">
        <v>0</v>
      </c>
      <c r="U1494">
        <v>0</v>
      </c>
      <c r="V1494">
        <v>0</v>
      </c>
      <c r="W1494">
        <v>4</v>
      </c>
      <c r="X1494">
        <v>972.83</v>
      </c>
      <c r="Y1494">
        <v>1101.1500000000001</v>
      </c>
      <c r="Z1494">
        <f>AVERAGEIFS(Table1[FinalElo], Table1[Country], Table1[[#This Row],[Country]])</f>
        <v>972.83</v>
      </c>
      <c r="AA1494" cm="1">
        <f t="array" ref="AA1494">IF(COUNTIFS(Table1[Country],Table1[[#This Row],[Country]])=1,0, _xlfn.STDEV.S(IF(Table1[Country]=Table1[[#This Row],[Country]],Table1[FinalElo])))</f>
        <v>0</v>
      </c>
      <c r="AB1494">
        <f>IF(Table1[[#This Row],[CStd]]=0,0, (Table1[[#This Row],[FinalElo]]-Table1[[#This Row],[CAvg]]) / Table1[[#This Row],[CStd]])</f>
        <v>0</v>
      </c>
      <c r="AC1494" t="str">
        <f>IF(Table1[[#This Row],[CStd]]=0,"Normal", IF(ABS(Table1[[#This Row],[CZscore]])&gt;2,"Outlier","Normal"))</f>
        <v>Normal</v>
      </c>
    </row>
    <row r="1495" spans="1:29" x14ac:dyDescent="0.35">
      <c r="A1495" t="s">
        <v>212</v>
      </c>
      <c r="B1495">
        <v>67.585207999999994</v>
      </c>
      <c r="C1495">
        <v>170</v>
      </c>
      <c r="D1495" t="s">
        <v>82</v>
      </c>
      <c r="E1495">
        <v>36</v>
      </c>
      <c r="F1495" t="s">
        <v>213</v>
      </c>
      <c r="G1495" t="s">
        <v>40</v>
      </c>
      <c r="H1495" t="s">
        <v>29</v>
      </c>
      <c r="I1495" t="s">
        <v>48</v>
      </c>
      <c r="J1495">
        <v>0</v>
      </c>
      <c r="K1495">
        <v>1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1</v>
      </c>
      <c r="V1495">
        <v>0</v>
      </c>
      <c r="W1495">
        <v>1</v>
      </c>
      <c r="X1495">
        <v>871.99</v>
      </c>
      <c r="Y1495">
        <v>1000</v>
      </c>
      <c r="Z1495">
        <f>AVERAGEIFS(Table1[FinalElo], Table1[Country], Table1[[#This Row],[Country]])</f>
        <v>1012.5275373134326</v>
      </c>
      <c r="AA1495" cm="1">
        <f t="array" ref="AA1495">IF(COUNTIFS(Table1[Country],Table1[[#This Row],[Country]])=1,0, _xlfn.STDEV.S(IF(Table1[Country]=Table1[[#This Row],[Country]],Table1[FinalElo])))</f>
        <v>135.61062237674741</v>
      </c>
      <c r="AB1495">
        <f>IF(Table1[[#This Row],[CStd]]=0,0, (Table1[[#This Row],[FinalElo]]-Table1[[#This Row],[CAvg]]) / Table1[[#This Row],[CStd]])</f>
        <v>-1.0363313348934973</v>
      </c>
      <c r="AC1495" t="str">
        <f>IF(Table1[[#This Row],[CStd]]=0,"Normal", IF(ABS(Table1[[#This Row],[CZscore]])&gt;2,"Outlier","Normal"))</f>
        <v>Normal</v>
      </c>
    </row>
    <row r="1496" spans="1:29" x14ac:dyDescent="0.35">
      <c r="A1496" t="s">
        <v>209</v>
      </c>
      <c r="B1496">
        <v>52.16</v>
      </c>
      <c r="C1496">
        <v>168</v>
      </c>
      <c r="D1496" t="s">
        <v>210</v>
      </c>
      <c r="E1496">
        <v>26</v>
      </c>
      <c r="F1496" t="s">
        <v>211</v>
      </c>
      <c r="G1496" t="s">
        <v>34</v>
      </c>
      <c r="H1496" t="s">
        <v>29</v>
      </c>
      <c r="I1496" t="s">
        <v>36</v>
      </c>
      <c r="J1496">
        <v>2</v>
      </c>
      <c r="K1496">
        <v>2</v>
      </c>
      <c r="L1496">
        <v>0</v>
      </c>
      <c r="M1496">
        <v>2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1</v>
      </c>
      <c r="V1496">
        <v>0</v>
      </c>
      <c r="W1496">
        <v>4</v>
      </c>
      <c r="X1496">
        <v>1054.53</v>
      </c>
      <c r="Y1496">
        <v>1183.74</v>
      </c>
      <c r="Z1496">
        <f>AVERAGEIFS(Table1[FinalElo], Table1[Country], Table1[[#This Row],[Country]])</f>
        <v>1013.9366666666666</v>
      </c>
      <c r="AA1496" cm="1">
        <f t="array" ref="AA1496">IF(COUNTIFS(Table1[Country],Table1[[#This Row],[Country]])=1,0, _xlfn.STDEV.S(IF(Table1[Country]=Table1[[#This Row],[Country]],Table1[FinalElo])))</f>
        <v>163.09937898921214</v>
      </c>
      <c r="AB1496">
        <f>IF(Table1[[#This Row],[CStd]]=0,0, (Table1[[#This Row],[FinalElo]]-Table1[[#This Row],[CAvg]]) / Table1[[#This Row],[CStd]])</f>
        <v>0.24888711155680318</v>
      </c>
      <c r="AC1496" t="str">
        <f>IF(Table1[[#This Row],[CStd]]=0,"Normal", IF(ABS(Table1[[#This Row],[CZscore]])&gt;2,"Outlier","Normal"))</f>
        <v>Normal</v>
      </c>
    </row>
    <row r="1497" spans="1:29" x14ac:dyDescent="0.35">
      <c r="A1497" t="s">
        <v>207</v>
      </c>
      <c r="B1497">
        <v>51.8</v>
      </c>
      <c r="C1497">
        <v>163</v>
      </c>
      <c r="D1497" t="s">
        <v>89</v>
      </c>
      <c r="E1497">
        <v>24</v>
      </c>
      <c r="F1497" t="s">
        <v>208</v>
      </c>
      <c r="G1497" t="s">
        <v>34</v>
      </c>
      <c r="H1497" t="s">
        <v>29</v>
      </c>
      <c r="I1497" t="s">
        <v>55</v>
      </c>
      <c r="J1497">
        <v>0</v>
      </c>
      <c r="K1497">
        <v>1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1</v>
      </c>
      <c r="X1497">
        <v>900</v>
      </c>
      <c r="Y1497">
        <v>1000</v>
      </c>
      <c r="Z1497">
        <f>AVERAGEIFS(Table1[FinalElo], Table1[Country], Table1[[#This Row],[Country]])</f>
        <v>1012.0629025423733</v>
      </c>
      <c r="AA1497" cm="1">
        <f t="array" ref="AA1497">IF(COUNTIFS(Table1[Country],Table1[[#This Row],[Country]])=1,0, _xlfn.STDEV.S(IF(Table1[Country]=Table1[[#This Row],[Country]],Table1[FinalElo])))</f>
        <v>148.42180446198614</v>
      </c>
      <c r="AB1497">
        <f>IF(Table1[[#This Row],[CStd]]=0,0, (Table1[[#This Row],[FinalElo]]-Table1[[#This Row],[CAvg]]) / Table1[[#This Row],[CStd]])</f>
        <v>-0.75502991591154589</v>
      </c>
      <c r="AC1497" t="str">
        <f>IF(Table1[[#This Row],[CStd]]=0,"Normal", IF(ABS(Table1[[#This Row],[CZscore]])&gt;2,"Outlier","Normal"))</f>
        <v>Normal</v>
      </c>
    </row>
    <row r="1498" spans="1:29" x14ac:dyDescent="0.35">
      <c r="A1498" t="s">
        <v>205</v>
      </c>
      <c r="B1498">
        <v>52.16</v>
      </c>
      <c r="C1498">
        <v>175</v>
      </c>
      <c r="D1498" t="s">
        <v>82</v>
      </c>
      <c r="E1498">
        <v>18</v>
      </c>
      <c r="F1498" t="s">
        <v>206</v>
      </c>
      <c r="G1498" t="s">
        <v>28</v>
      </c>
      <c r="H1498" t="s">
        <v>29</v>
      </c>
      <c r="I1498" t="s">
        <v>36</v>
      </c>
      <c r="J1498">
        <v>1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1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1</v>
      </c>
      <c r="X1498">
        <v>1100</v>
      </c>
      <c r="Y1498">
        <v>1100</v>
      </c>
      <c r="Z1498">
        <f>AVERAGEIFS(Table1[FinalElo], Table1[Country], Table1[[#This Row],[Country]])</f>
        <v>1012.5275373134326</v>
      </c>
      <c r="AA1498" cm="1">
        <f t="array" ref="AA1498">IF(COUNTIFS(Table1[Country],Table1[[#This Row],[Country]])=1,0, _xlfn.STDEV.S(IF(Table1[Country]=Table1[[#This Row],[Country]],Table1[FinalElo])))</f>
        <v>135.61062237674741</v>
      </c>
      <c r="AB1498">
        <f>IF(Table1[[#This Row],[CStd]]=0,0, (Table1[[#This Row],[FinalElo]]-Table1[[#This Row],[CAvg]]) / Table1[[#This Row],[CStd]])</f>
        <v>0.64502662957740331</v>
      </c>
      <c r="AC1498" t="str">
        <f>IF(Table1[[#This Row],[CStd]]=0,"Normal", IF(ABS(Table1[[#This Row],[CZscore]])&gt;2,"Outlier","Normal"))</f>
        <v>Normal</v>
      </c>
    </row>
    <row r="1499" spans="1:29" x14ac:dyDescent="0.35">
      <c r="A1499" t="s">
        <v>203</v>
      </c>
      <c r="B1499">
        <v>59.5</v>
      </c>
      <c r="C1499">
        <v>165</v>
      </c>
      <c r="D1499" t="s">
        <v>82</v>
      </c>
      <c r="E1499">
        <v>45</v>
      </c>
      <c r="F1499" t="s">
        <v>204</v>
      </c>
      <c r="G1499" t="s">
        <v>40</v>
      </c>
      <c r="H1499" t="s">
        <v>29</v>
      </c>
      <c r="I1499" t="s">
        <v>58</v>
      </c>
      <c r="J1499">
        <v>3</v>
      </c>
      <c r="K1499">
        <v>4</v>
      </c>
      <c r="L1499">
        <v>0</v>
      </c>
      <c r="M1499">
        <v>1</v>
      </c>
      <c r="N1499">
        <v>1</v>
      </c>
      <c r="O1499">
        <v>0</v>
      </c>
      <c r="P1499">
        <v>0</v>
      </c>
      <c r="Q1499">
        <v>0</v>
      </c>
      <c r="R1499">
        <v>0</v>
      </c>
      <c r="S1499">
        <v>3</v>
      </c>
      <c r="T1499">
        <v>0</v>
      </c>
      <c r="U1499">
        <v>0</v>
      </c>
      <c r="V1499">
        <v>0</v>
      </c>
      <c r="W1499">
        <v>7</v>
      </c>
      <c r="X1499">
        <v>873.42</v>
      </c>
      <c r="Y1499">
        <v>1171.99</v>
      </c>
      <c r="Z1499">
        <f>AVERAGEIFS(Table1[FinalElo], Table1[Country], Table1[[#This Row],[Country]])</f>
        <v>1012.5275373134326</v>
      </c>
      <c r="AA1499" cm="1">
        <f t="array" ref="AA1499">IF(COUNTIFS(Table1[Country],Table1[[#This Row],[Country]])=1,0, _xlfn.STDEV.S(IF(Table1[Country]=Table1[[#This Row],[Country]],Table1[FinalElo])))</f>
        <v>135.61062237674741</v>
      </c>
      <c r="AB1499">
        <f>IF(Table1[[#This Row],[CStd]]=0,0, (Table1[[#This Row],[FinalElo]]-Table1[[#This Row],[CAvg]]) / Table1[[#This Row],[CStd]])</f>
        <v>-1.0257864382258366</v>
      </c>
      <c r="AC1499" t="str">
        <f>IF(Table1[[#This Row],[CStd]]=0,"Normal", IF(ABS(Table1[[#This Row],[CZscore]])&gt;2,"Outlier","Normal"))</f>
        <v>Normal</v>
      </c>
    </row>
    <row r="1500" spans="1:29" x14ac:dyDescent="0.35">
      <c r="A1500" t="s">
        <v>201</v>
      </c>
      <c r="B1500">
        <v>57.9</v>
      </c>
      <c r="C1500">
        <v>176</v>
      </c>
      <c r="D1500" t="s">
        <v>202</v>
      </c>
      <c r="E1500">
        <v>20</v>
      </c>
      <c r="F1500" t="s">
        <v>87</v>
      </c>
      <c r="G1500" t="s">
        <v>34</v>
      </c>
      <c r="H1500" t="s">
        <v>29</v>
      </c>
      <c r="I1500" t="s">
        <v>58</v>
      </c>
      <c r="J1500">
        <v>4</v>
      </c>
      <c r="K1500">
        <v>0</v>
      </c>
      <c r="L1500">
        <v>0</v>
      </c>
      <c r="M1500">
        <v>1</v>
      </c>
      <c r="N1500">
        <v>0</v>
      </c>
      <c r="O1500">
        <v>0</v>
      </c>
      <c r="P1500">
        <v>2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4</v>
      </c>
      <c r="X1500">
        <v>1359.4</v>
      </c>
      <c r="Y1500">
        <v>1359.4</v>
      </c>
      <c r="Z1500">
        <f>AVERAGEIFS(Table1[FinalElo], Table1[Country], Table1[[#This Row],[Country]])</f>
        <v>984.11142857142863</v>
      </c>
      <c r="AA1500" cm="1">
        <f t="array" ref="AA1500">IF(COUNTIFS(Table1[Country],Table1[[#This Row],[Country]])=1,0, _xlfn.STDEV.S(IF(Table1[Country]=Table1[[#This Row],[Country]],Table1[FinalElo])))</f>
        <v>173.54746521039206</v>
      </c>
      <c r="AB1500">
        <f>IF(Table1[[#This Row],[CStd]]=0,0, (Table1[[#This Row],[FinalElo]]-Table1[[#This Row],[CAvg]]) / Table1[[#This Row],[CStd]])</f>
        <v>2.1624549282446051</v>
      </c>
      <c r="AC1500" t="str">
        <f>IF(Table1[[#This Row],[CStd]]=0,"Normal", IF(ABS(Table1[[#This Row],[CZscore]])&gt;2,"Outlier","Normal"))</f>
        <v>Outlier</v>
      </c>
    </row>
    <row r="1501" spans="1:29" x14ac:dyDescent="0.35">
      <c r="A1501" t="s">
        <v>199</v>
      </c>
      <c r="B1501">
        <v>70.3</v>
      </c>
      <c r="C1501">
        <v>177</v>
      </c>
      <c r="D1501" t="s">
        <v>140</v>
      </c>
      <c r="E1501">
        <v>27</v>
      </c>
      <c r="F1501" t="s">
        <v>200</v>
      </c>
      <c r="G1501" t="s">
        <v>40</v>
      </c>
      <c r="H1501" t="s">
        <v>29</v>
      </c>
      <c r="I1501" t="s">
        <v>48</v>
      </c>
      <c r="J1501">
        <v>4</v>
      </c>
      <c r="K1501">
        <v>0</v>
      </c>
      <c r="L1501">
        <v>0</v>
      </c>
      <c r="M1501">
        <v>3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4</v>
      </c>
      <c r="X1501">
        <v>1480.18</v>
      </c>
      <c r="Y1501">
        <v>1480.18</v>
      </c>
      <c r="Z1501">
        <f>AVERAGEIFS(Table1[FinalElo], Table1[Country], Table1[[#This Row],[Country]])</f>
        <v>1002.675294117647</v>
      </c>
      <c r="AA1501" cm="1">
        <f t="array" ref="AA1501">IF(COUNTIFS(Table1[Country],Table1[[#This Row],[Country]])=1,0, _xlfn.STDEV.S(IF(Table1[Country]=Table1[[#This Row],[Country]],Table1[FinalElo])))</f>
        <v>171.59712028169514</v>
      </c>
      <c r="AB1501">
        <f>IF(Table1[[#This Row],[CStd]]=0,0, (Table1[[#This Row],[FinalElo]]-Table1[[#This Row],[CAvg]]) / Table1[[#This Row],[CStd]])</f>
        <v>2.7827081544170302</v>
      </c>
      <c r="AC1501" t="str">
        <f>IF(Table1[[#This Row],[CStd]]=0,"Normal", IF(ABS(Table1[[#This Row],[CZscore]])&gt;2,"Outlier","Normal"))</f>
        <v>Outlier</v>
      </c>
    </row>
    <row r="1502" spans="1:29" x14ac:dyDescent="0.35">
      <c r="A1502" t="s">
        <v>197</v>
      </c>
      <c r="B1502">
        <v>73.3</v>
      </c>
      <c r="C1502">
        <v>173</v>
      </c>
      <c r="D1502" t="s">
        <v>82</v>
      </c>
      <c r="E1502">
        <v>34</v>
      </c>
      <c r="F1502" t="s">
        <v>198</v>
      </c>
      <c r="G1502" t="s">
        <v>40</v>
      </c>
      <c r="H1502" t="s">
        <v>29</v>
      </c>
      <c r="I1502" t="s">
        <v>30</v>
      </c>
      <c r="J1502">
        <v>1</v>
      </c>
      <c r="K1502">
        <v>0</v>
      </c>
      <c r="L1502">
        <v>0</v>
      </c>
      <c r="M1502">
        <v>1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1</v>
      </c>
      <c r="X1502">
        <v>1100</v>
      </c>
      <c r="Y1502">
        <v>1100</v>
      </c>
      <c r="Z1502">
        <f>AVERAGEIFS(Table1[FinalElo], Table1[Country], Table1[[#This Row],[Country]])</f>
        <v>1012.5275373134326</v>
      </c>
      <c r="AA1502" cm="1">
        <f t="array" ref="AA1502">IF(COUNTIFS(Table1[Country],Table1[[#This Row],[Country]])=1,0, _xlfn.STDEV.S(IF(Table1[Country]=Table1[[#This Row],[Country]],Table1[FinalElo])))</f>
        <v>135.61062237674741</v>
      </c>
      <c r="AB1502">
        <f>IF(Table1[[#This Row],[CStd]]=0,0, (Table1[[#This Row],[FinalElo]]-Table1[[#This Row],[CAvg]]) / Table1[[#This Row],[CStd]])</f>
        <v>0.64502662957740331</v>
      </c>
      <c r="AC1502" t="str">
        <f>IF(Table1[[#This Row],[CStd]]=0,"Normal", IF(ABS(Table1[[#This Row],[CZscore]])&gt;2,"Outlier","Normal"))</f>
        <v>Normal</v>
      </c>
    </row>
    <row r="1503" spans="1:29" x14ac:dyDescent="0.35">
      <c r="A1503" t="s">
        <v>192</v>
      </c>
      <c r="B1503">
        <v>77.099999999999994</v>
      </c>
      <c r="C1503">
        <v>181</v>
      </c>
      <c r="D1503" t="s">
        <v>193</v>
      </c>
      <c r="E1503">
        <v>32</v>
      </c>
      <c r="F1503" t="s">
        <v>194</v>
      </c>
      <c r="G1503" t="s">
        <v>40</v>
      </c>
      <c r="H1503" t="s">
        <v>29</v>
      </c>
      <c r="I1503" t="s">
        <v>30</v>
      </c>
      <c r="J1503">
        <v>4</v>
      </c>
      <c r="K1503">
        <v>5</v>
      </c>
      <c r="L1503">
        <v>0</v>
      </c>
      <c r="M1503">
        <v>0</v>
      </c>
      <c r="N1503">
        <v>1</v>
      </c>
      <c r="O1503">
        <v>1</v>
      </c>
      <c r="P1503">
        <v>1</v>
      </c>
      <c r="Q1503">
        <v>0</v>
      </c>
      <c r="R1503">
        <v>1</v>
      </c>
      <c r="S1503">
        <v>4</v>
      </c>
      <c r="T1503">
        <v>0</v>
      </c>
      <c r="U1503">
        <v>0</v>
      </c>
      <c r="V1503">
        <v>0</v>
      </c>
      <c r="W1503">
        <v>9</v>
      </c>
      <c r="X1503">
        <v>963.64</v>
      </c>
      <c r="Y1503">
        <v>1205.8599999999999</v>
      </c>
      <c r="Z1503">
        <f>AVERAGEIFS(Table1[FinalElo], Table1[Country], Table1[[#This Row],[Country]])</f>
        <v>997.06500000000005</v>
      </c>
      <c r="AA1503" cm="1">
        <f t="array" ref="AA1503">IF(COUNTIFS(Table1[Country],Table1[[#This Row],[Country]])=1,0, _xlfn.STDEV.S(IF(Table1[Country]=Table1[[#This Row],[Country]],Table1[FinalElo])))</f>
        <v>135.83076329441192</v>
      </c>
      <c r="AB1503">
        <f>IF(Table1[[#This Row],[CStd]]=0,0, (Table1[[#This Row],[FinalElo]]-Table1[[#This Row],[CAvg]]) / Table1[[#This Row],[CStd]])</f>
        <v>-0.2460782755637741</v>
      </c>
      <c r="AC1503" t="str">
        <f>IF(Table1[[#This Row],[CStd]]=0,"Normal", IF(ABS(Table1[[#This Row],[CZscore]])&gt;2,"Outlier","Normal"))</f>
        <v>Normal</v>
      </c>
    </row>
    <row r="1504" spans="1:29" x14ac:dyDescent="0.35">
      <c r="A1504" t="s">
        <v>189</v>
      </c>
      <c r="B1504">
        <v>102.06</v>
      </c>
      <c r="C1504">
        <v>194</v>
      </c>
      <c r="D1504" t="s">
        <v>190</v>
      </c>
      <c r="E1504">
        <v>28</v>
      </c>
      <c r="F1504" t="s">
        <v>191</v>
      </c>
      <c r="G1504" t="s">
        <v>28</v>
      </c>
      <c r="H1504" t="s">
        <v>29</v>
      </c>
      <c r="I1504" t="s">
        <v>94</v>
      </c>
      <c r="J1504">
        <v>1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1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1</v>
      </c>
      <c r="X1504">
        <v>1100</v>
      </c>
      <c r="Y1504">
        <v>1100</v>
      </c>
      <c r="Z1504">
        <f>AVERAGEIFS(Table1[FinalElo], Table1[Country], Table1[[#This Row],[Country]])</f>
        <v>1100</v>
      </c>
      <c r="AA1504" cm="1">
        <f t="array" ref="AA1504">IF(COUNTIFS(Table1[Country],Table1[[#This Row],[Country]])=1,0, _xlfn.STDEV.S(IF(Table1[Country]=Table1[[#This Row],[Country]],Table1[FinalElo])))</f>
        <v>0</v>
      </c>
      <c r="AB1504">
        <f>IF(Table1[[#This Row],[CStd]]=0,0, (Table1[[#This Row],[FinalElo]]-Table1[[#This Row],[CAvg]]) / Table1[[#This Row],[CStd]])</f>
        <v>0</v>
      </c>
      <c r="AC1504" t="str">
        <f>IF(Table1[[#This Row],[CStd]]=0,"Normal", IF(ABS(Table1[[#This Row],[CZscore]])&gt;2,"Outlier","Normal"))</f>
        <v>Normal</v>
      </c>
    </row>
    <row r="1505" spans="1:29" x14ac:dyDescent="0.35">
      <c r="A1505" t="s">
        <v>184</v>
      </c>
      <c r="B1505">
        <v>65.8</v>
      </c>
      <c r="C1505">
        <v>166</v>
      </c>
      <c r="D1505" t="s">
        <v>185</v>
      </c>
      <c r="E1505">
        <v>36</v>
      </c>
      <c r="F1505" t="s">
        <v>186</v>
      </c>
      <c r="G1505" t="s">
        <v>40</v>
      </c>
      <c r="H1505" t="s">
        <v>29</v>
      </c>
      <c r="I1505" t="s">
        <v>48</v>
      </c>
      <c r="J1505">
        <v>1</v>
      </c>
      <c r="K1505">
        <v>2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1</v>
      </c>
      <c r="S1505">
        <v>1</v>
      </c>
      <c r="T1505">
        <v>0</v>
      </c>
      <c r="U1505">
        <v>0</v>
      </c>
      <c r="V1505">
        <v>0</v>
      </c>
      <c r="W1505">
        <v>3</v>
      </c>
      <c r="X1505">
        <v>931.26</v>
      </c>
      <c r="Y1505">
        <v>1000</v>
      </c>
      <c r="Z1505">
        <f>AVERAGEIFS(Table1[FinalElo], Table1[Country], Table1[[#This Row],[Country]])</f>
        <v>998.10500000000002</v>
      </c>
      <c r="AA1505" cm="1">
        <f t="array" ref="AA1505">IF(COUNTIFS(Table1[Country],Table1[[#This Row],[Country]])=1,0, _xlfn.STDEV.S(IF(Table1[Country]=Table1[[#This Row],[Country]],Table1[FinalElo])))</f>
        <v>94.533105576829584</v>
      </c>
      <c r="AB1505">
        <f>IF(Table1[[#This Row],[CStd]]=0,0, (Table1[[#This Row],[FinalElo]]-Table1[[#This Row],[CAvg]]) / Table1[[#This Row],[CStd]])</f>
        <v>-0.70710678118654746</v>
      </c>
      <c r="AC1505" t="str">
        <f>IF(Table1[[#This Row],[CStd]]=0,"Normal", IF(ABS(Table1[[#This Row],[CZscore]])&gt;2,"Outlier","Normal"))</f>
        <v>Normal</v>
      </c>
    </row>
    <row r="1506" spans="1:29" x14ac:dyDescent="0.35">
      <c r="A1506" t="s">
        <v>182</v>
      </c>
      <c r="B1506">
        <v>65.8</v>
      </c>
      <c r="C1506">
        <v>176</v>
      </c>
      <c r="D1506" t="s">
        <v>116</v>
      </c>
      <c r="E1506">
        <v>26</v>
      </c>
      <c r="F1506" t="s">
        <v>183</v>
      </c>
      <c r="G1506" t="s">
        <v>40</v>
      </c>
      <c r="H1506" t="s">
        <v>29</v>
      </c>
      <c r="I1506" t="s">
        <v>48</v>
      </c>
      <c r="J1506">
        <v>2</v>
      </c>
      <c r="K1506">
        <v>0</v>
      </c>
      <c r="L1506">
        <v>0</v>
      </c>
      <c r="M1506">
        <v>2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2</v>
      </c>
      <c r="X1506">
        <v>1148.05</v>
      </c>
      <c r="Y1506">
        <v>1148.05</v>
      </c>
      <c r="Z1506">
        <f>AVERAGEIFS(Table1[FinalElo], Table1[Country], Table1[[#This Row],[Country]])</f>
        <v>980.88090909090931</v>
      </c>
      <c r="AA1506" cm="1">
        <f t="array" ref="AA1506">IF(COUNTIFS(Table1[Country],Table1[[#This Row],[Country]])=1,0, _xlfn.STDEV.S(IF(Table1[Country]=Table1[[#This Row],[Country]],Table1[FinalElo])))</f>
        <v>133.41794796376408</v>
      </c>
      <c r="AB1506">
        <f>IF(Table1[[#This Row],[CStd]]=0,0, (Table1[[#This Row],[FinalElo]]-Table1[[#This Row],[CAvg]]) / Table1[[#This Row],[CStd]])</f>
        <v>1.2529730329422641</v>
      </c>
      <c r="AC1506" t="str">
        <f>IF(Table1[[#This Row],[CStd]]=0,"Normal", IF(ABS(Table1[[#This Row],[CZscore]])&gt;2,"Outlier","Normal"))</f>
        <v>Normal</v>
      </c>
    </row>
    <row r="1507" spans="1:29" x14ac:dyDescent="0.35">
      <c r="A1507" t="s">
        <v>180</v>
      </c>
      <c r="B1507">
        <v>56.7</v>
      </c>
      <c r="C1507">
        <v>172</v>
      </c>
      <c r="D1507" t="s">
        <v>52</v>
      </c>
      <c r="E1507">
        <v>19</v>
      </c>
      <c r="F1507" t="s">
        <v>181</v>
      </c>
      <c r="G1507" t="s">
        <v>34</v>
      </c>
      <c r="H1507" t="s">
        <v>29</v>
      </c>
      <c r="I1507" t="s">
        <v>58</v>
      </c>
      <c r="J1507">
        <v>2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2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2</v>
      </c>
      <c r="X1507">
        <v>1226.51</v>
      </c>
      <c r="Y1507">
        <v>1226.51</v>
      </c>
      <c r="Z1507">
        <f>AVERAGEIFS(Table1[FinalElo], Table1[Country], Table1[[#This Row],[Country]])</f>
        <v>1039.8985714285714</v>
      </c>
      <c r="AA1507" cm="1">
        <f t="array" ref="AA1507">IF(COUNTIFS(Table1[Country],Table1[[#This Row],[Country]])=1,0, _xlfn.STDEV.S(IF(Table1[Country]=Table1[[#This Row],[Country]],Table1[FinalElo])))</f>
        <v>194.01778111336392</v>
      </c>
      <c r="AB1507">
        <f>IF(Table1[[#This Row],[CStd]]=0,0, (Table1[[#This Row],[FinalElo]]-Table1[[#This Row],[CAvg]]) / Table1[[#This Row],[CStd]])</f>
        <v>0.96182642384922556</v>
      </c>
      <c r="AC1507" t="str">
        <f>IF(Table1[[#This Row],[CStd]]=0,"Normal", IF(ABS(Table1[[#This Row],[CZscore]])&gt;2,"Outlier","Normal"))</f>
        <v>Normal</v>
      </c>
    </row>
    <row r="1508" spans="1:29" x14ac:dyDescent="0.35">
      <c r="A1508" t="s">
        <v>178</v>
      </c>
      <c r="B1508">
        <v>56</v>
      </c>
      <c r="C1508">
        <v>170</v>
      </c>
      <c r="D1508" t="s">
        <v>89</v>
      </c>
      <c r="E1508">
        <v>26</v>
      </c>
      <c r="F1508" t="s">
        <v>179</v>
      </c>
      <c r="G1508" t="s">
        <v>34</v>
      </c>
      <c r="H1508" t="s">
        <v>29</v>
      </c>
      <c r="I1508" t="s">
        <v>36</v>
      </c>
      <c r="J1508">
        <v>2</v>
      </c>
      <c r="K1508">
        <v>1</v>
      </c>
      <c r="L1508">
        <v>0</v>
      </c>
      <c r="M1508">
        <v>0</v>
      </c>
      <c r="N1508">
        <v>0</v>
      </c>
      <c r="O1508">
        <v>0</v>
      </c>
      <c r="P1508">
        <v>1</v>
      </c>
      <c r="Q1508">
        <v>0</v>
      </c>
      <c r="R1508">
        <v>0</v>
      </c>
      <c r="S1508">
        <v>0</v>
      </c>
      <c r="T1508">
        <v>0</v>
      </c>
      <c r="U1508">
        <v>1</v>
      </c>
      <c r="V1508">
        <v>0</v>
      </c>
      <c r="W1508">
        <v>3</v>
      </c>
      <c r="X1508">
        <v>1119.97</v>
      </c>
      <c r="Y1508">
        <v>1119.97</v>
      </c>
      <c r="Z1508">
        <f>AVERAGEIFS(Table1[FinalElo], Table1[Country], Table1[[#This Row],[Country]])</f>
        <v>1012.0629025423733</v>
      </c>
      <c r="AA1508" cm="1">
        <f t="array" ref="AA1508">IF(COUNTIFS(Table1[Country],Table1[[#This Row],[Country]])=1,0, _xlfn.STDEV.S(IF(Table1[Country]=Table1[[#This Row],[Country]],Table1[FinalElo])))</f>
        <v>148.42180446198614</v>
      </c>
      <c r="AB1508">
        <f>IF(Table1[[#This Row],[CStd]]=0,0, (Table1[[#This Row],[FinalElo]]-Table1[[#This Row],[CAvg]]) / Table1[[#This Row],[CStd]])</f>
        <v>0.72702995256511604</v>
      </c>
      <c r="AC1508" t="str">
        <f>IF(Table1[[#This Row],[CStd]]=0,"Normal", IF(ABS(Table1[[#This Row],[CZscore]])&gt;2,"Outlier","Normal"))</f>
        <v>Normal</v>
      </c>
    </row>
    <row r="1509" spans="1:29" x14ac:dyDescent="0.35">
      <c r="A1509" t="s">
        <v>176</v>
      </c>
      <c r="B1509">
        <v>60.8</v>
      </c>
      <c r="C1509">
        <v>172</v>
      </c>
      <c r="D1509" t="s">
        <v>32</v>
      </c>
      <c r="E1509">
        <v>37</v>
      </c>
      <c r="F1509" t="s">
        <v>177</v>
      </c>
      <c r="G1509" t="s">
        <v>40</v>
      </c>
      <c r="H1509" t="s">
        <v>29</v>
      </c>
      <c r="I1509" t="s">
        <v>58</v>
      </c>
      <c r="J1509">
        <v>11</v>
      </c>
      <c r="K1509">
        <v>6</v>
      </c>
      <c r="L1509">
        <v>0</v>
      </c>
      <c r="M1509">
        <v>0</v>
      </c>
      <c r="N1509">
        <v>7</v>
      </c>
      <c r="O1509">
        <v>0</v>
      </c>
      <c r="P1509">
        <v>3</v>
      </c>
      <c r="Q1509">
        <v>0</v>
      </c>
      <c r="R1509">
        <v>1</v>
      </c>
      <c r="S1509">
        <v>0</v>
      </c>
      <c r="T1509">
        <v>0</v>
      </c>
      <c r="U1509">
        <v>1</v>
      </c>
      <c r="V1509">
        <v>3</v>
      </c>
      <c r="W1509">
        <v>17</v>
      </c>
      <c r="X1509">
        <v>1311.39</v>
      </c>
      <c r="Y1509">
        <v>1537.27</v>
      </c>
      <c r="Z1509">
        <f>AVERAGEIFS(Table1[FinalElo], Table1[Country], Table1[[#This Row],[Country]])</f>
        <v>1025.3786885245902</v>
      </c>
      <c r="AA1509" cm="1">
        <f t="array" ref="AA1509">IF(COUNTIFS(Table1[Country],Table1[[#This Row],[Country]])=1,0, _xlfn.STDEV.S(IF(Table1[Country]=Table1[[#This Row],[Country]],Table1[FinalElo])))</f>
        <v>144.71595558743479</v>
      </c>
      <c r="AB1509">
        <f>IF(Table1[[#This Row],[CStd]]=0,0, (Table1[[#This Row],[FinalElo]]-Table1[[#This Row],[CAvg]]) / Table1[[#This Row],[CStd]])</f>
        <v>1.9763633547829975</v>
      </c>
      <c r="AC1509" t="str">
        <f>IF(Table1[[#This Row],[CStd]]=0,"Normal", IF(ABS(Table1[[#This Row],[CZscore]])&gt;2,"Outlier","Normal"))</f>
        <v>Normal</v>
      </c>
    </row>
    <row r="1510" spans="1:29" x14ac:dyDescent="0.35">
      <c r="A1510" t="s">
        <v>173</v>
      </c>
      <c r="B1510">
        <v>77.099999999999994</v>
      </c>
      <c r="C1510">
        <v>174</v>
      </c>
      <c r="D1510" t="s">
        <v>174</v>
      </c>
      <c r="E1510">
        <v>47</v>
      </c>
      <c r="F1510" t="s">
        <v>175</v>
      </c>
      <c r="G1510" t="s">
        <v>40</v>
      </c>
      <c r="H1510" t="s">
        <v>29</v>
      </c>
      <c r="I1510" t="s">
        <v>30</v>
      </c>
      <c r="J1510">
        <v>2</v>
      </c>
      <c r="K1510">
        <v>5</v>
      </c>
      <c r="L1510">
        <v>0</v>
      </c>
      <c r="M1510">
        <v>1</v>
      </c>
      <c r="N1510">
        <v>1</v>
      </c>
      <c r="O1510">
        <v>0</v>
      </c>
      <c r="P1510">
        <v>0</v>
      </c>
      <c r="Q1510">
        <v>0</v>
      </c>
      <c r="R1510">
        <v>1</v>
      </c>
      <c r="S1510">
        <v>0</v>
      </c>
      <c r="T1510">
        <v>0</v>
      </c>
      <c r="U1510">
        <v>2</v>
      </c>
      <c r="V1510">
        <v>2</v>
      </c>
      <c r="W1510">
        <v>7</v>
      </c>
      <c r="X1510">
        <v>841.29</v>
      </c>
      <c r="Y1510">
        <v>1063.43</v>
      </c>
      <c r="Z1510">
        <f>AVERAGEIFS(Table1[FinalElo], Table1[Country], Table1[[#This Row],[Country]])</f>
        <v>980.52444444444427</v>
      </c>
      <c r="AA1510" cm="1">
        <f t="array" ref="AA1510">IF(COUNTIFS(Table1[Country],Table1[[#This Row],[Country]])=1,0, _xlfn.STDEV.S(IF(Table1[Country]=Table1[[#This Row],[Country]],Table1[FinalElo])))</f>
        <v>143.66034832022171</v>
      </c>
      <c r="AB1510">
        <f>IF(Table1[[#This Row],[CStd]]=0,0, (Table1[[#This Row],[FinalElo]]-Table1[[#This Row],[CAvg]]) / Table1[[#This Row],[CStd]])</f>
        <v>-0.96919188956780211</v>
      </c>
      <c r="AC1510" t="str">
        <f>IF(Table1[[#This Row],[CStd]]=0,"Normal", IF(ABS(Table1[[#This Row],[CZscore]])&gt;2,"Outlier","Normal"))</f>
        <v>Normal</v>
      </c>
    </row>
    <row r="1511" spans="1:29" x14ac:dyDescent="0.35">
      <c r="A1511" t="s">
        <v>171</v>
      </c>
      <c r="B1511">
        <v>56.7</v>
      </c>
      <c r="C1511">
        <v>163</v>
      </c>
      <c r="D1511" t="s">
        <v>150</v>
      </c>
      <c r="E1511">
        <v>32</v>
      </c>
      <c r="F1511" t="s">
        <v>172</v>
      </c>
      <c r="G1511" t="s">
        <v>40</v>
      </c>
      <c r="H1511" t="s">
        <v>29</v>
      </c>
      <c r="I1511" t="s">
        <v>58</v>
      </c>
      <c r="J1511">
        <v>9</v>
      </c>
      <c r="K1511">
        <v>7</v>
      </c>
      <c r="L1511">
        <v>0</v>
      </c>
      <c r="M1511">
        <v>4</v>
      </c>
      <c r="N1511">
        <v>4</v>
      </c>
      <c r="O1511">
        <v>0</v>
      </c>
      <c r="P1511">
        <v>1</v>
      </c>
      <c r="Q1511">
        <v>0</v>
      </c>
      <c r="R1511">
        <v>1</v>
      </c>
      <c r="S1511">
        <v>4</v>
      </c>
      <c r="T1511">
        <v>0</v>
      </c>
      <c r="U1511">
        <v>1</v>
      </c>
      <c r="V1511">
        <v>0</v>
      </c>
      <c r="W1511">
        <v>16</v>
      </c>
      <c r="X1511">
        <v>1035.1300000000001</v>
      </c>
      <c r="Y1511">
        <v>1345.02</v>
      </c>
      <c r="Z1511">
        <f>AVERAGEIFS(Table1[FinalElo], Table1[Country], Table1[[#This Row],[Country]])</f>
        <v>983.37272727272716</v>
      </c>
      <c r="AA1511" cm="1">
        <f t="array" ref="AA1511">IF(COUNTIFS(Table1[Country],Table1[[#This Row],[Country]])=1,0, _xlfn.STDEV.S(IF(Table1[Country]=Table1[[#This Row],[Country]],Table1[FinalElo])))</f>
        <v>121.78204088377996</v>
      </c>
      <c r="AB1511">
        <f>IF(Table1[[#This Row],[CStd]]=0,0, (Table1[[#This Row],[FinalElo]]-Table1[[#This Row],[CAvg]]) / Table1[[#This Row],[CStd]])</f>
        <v>0.42499922280549046</v>
      </c>
      <c r="AC1511" t="str">
        <f>IF(Table1[[#This Row],[CStd]]=0,"Normal", IF(ABS(Table1[[#This Row],[CZscore]])&gt;2,"Outlier","Normal"))</f>
        <v>Normal</v>
      </c>
    </row>
    <row r="1512" spans="1:29" x14ac:dyDescent="0.35">
      <c r="A1512" t="s">
        <v>169</v>
      </c>
      <c r="B1512">
        <v>70.31</v>
      </c>
      <c r="C1512">
        <v>180</v>
      </c>
      <c r="D1512" t="s">
        <v>43</v>
      </c>
      <c r="E1512">
        <v>19</v>
      </c>
      <c r="F1512" t="s">
        <v>170</v>
      </c>
      <c r="G1512" t="s">
        <v>40</v>
      </c>
      <c r="H1512" t="s">
        <v>29</v>
      </c>
      <c r="I1512" t="s">
        <v>30</v>
      </c>
      <c r="J1512">
        <v>3</v>
      </c>
      <c r="K1512">
        <v>0</v>
      </c>
      <c r="L1512">
        <v>0</v>
      </c>
      <c r="M1512">
        <v>0</v>
      </c>
      <c r="N1512">
        <v>3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3</v>
      </c>
      <c r="X1512">
        <v>1226.17</v>
      </c>
      <c r="Y1512">
        <v>1226.17</v>
      </c>
      <c r="Z1512">
        <f>AVERAGEIFS(Table1[FinalElo], Table1[Country], Table1[[#This Row],[Country]])</f>
        <v>1334.6424999999999</v>
      </c>
      <c r="AA1512" cm="1">
        <f t="array" ref="AA1512">IF(COUNTIFS(Table1[Country],Table1[[#This Row],[Country]])=1,0, _xlfn.STDEV.S(IF(Table1[Country]=Table1[[#This Row],[Country]],Table1[FinalElo])))</f>
        <v>145.00121410411251</v>
      </c>
      <c r="AB1512">
        <f>IF(Table1[[#This Row],[CStd]]=0,0, (Table1[[#This Row],[FinalElo]]-Table1[[#This Row],[CAvg]]) / Table1[[#This Row],[CStd]])</f>
        <v>-0.74807994312458226</v>
      </c>
      <c r="AC1512" t="str">
        <f>IF(Table1[[#This Row],[CStd]]=0,"Normal", IF(ABS(Table1[[#This Row],[CZscore]])&gt;2,"Outlier","Normal"))</f>
        <v>Normal</v>
      </c>
    </row>
    <row r="1513" spans="1:29" x14ac:dyDescent="0.35">
      <c r="A1513" t="s">
        <v>167</v>
      </c>
      <c r="B1513">
        <v>65.7</v>
      </c>
      <c r="C1513">
        <v>170</v>
      </c>
      <c r="D1513" t="s">
        <v>60</v>
      </c>
      <c r="E1513">
        <v>32</v>
      </c>
      <c r="F1513" t="s">
        <v>168</v>
      </c>
      <c r="G1513" t="s">
        <v>40</v>
      </c>
      <c r="H1513" t="s">
        <v>29</v>
      </c>
      <c r="I1513" t="s">
        <v>73</v>
      </c>
      <c r="J1513">
        <v>0</v>
      </c>
      <c r="K1513">
        <v>2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2</v>
      </c>
      <c r="V1513">
        <v>0</v>
      </c>
      <c r="W1513">
        <v>2</v>
      </c>
      <c r="X1513">
        <v>850.4</v>
      </c>
      <c r="Y1513">
        <v>1000</v>
      </c>
      <c r="Z1513">
        <f>AVERAGEIFS(Table1[FinalElo], Table1[Country], Table1[[#This Row],[Country]])</f>
        <v>1034.681315789474</v>
      </c>
      <c r="AA1513" cm="1">
        <f t="array" ref="AA1513">IF(COUNTIFS(Table1[Country],Table1[[#This Row],[Country]])=1,0, _xlfn.STDEV.S(IF(Table1[Country]=Table1[[#This Row],[Country]],Table1[FinalElo])))</f>
        <v>152.902810204692</v>
      </c>
      <c r="AB1513">
        <f>IF(Table1[[#This Row],[CStd]]=0,0, (Table1[[#This Row],[FinalElo]]-Table1[[#This Row],[CAvg]]) / Table1[[#This Row],[CStd]])</f>
        <v>-1.2052186322983558</v>
      </c>
      <c r="AC1513" t="str">
        <f>IF(Table1[[#This Row],[CStd]]=0,"Normal", IF(ABS(Table1[[#This Row],[CZscore]])&gt;2,"Outlier","Normal"))</f>
        <v>Normal</v>
      </c>
    </row>
    <row r="1514" spans="1:29" x14ac:dyDescent="0.35">
      <c r="A1514" t="s">
        <v>164</v>
      </c>
      <c r="B1514">
        <v>120</v>
      </c>
      <c r="C1514">
        <v>189</v>
      </c>
      <c r="D1514" t="s">
        <v>165</v>
      </c>
      <c r="E1514">
        <v>33</v>
      </c>
      <c r="F1514" t="s">
        <v>166</v>
      </c>
      <c r="G1514" t="s">
        <v>40</v>
      </c>
      <c r="H1514" t="s">
        <v>29</v>
      </c>
      <c r="I1514" t="s">
        <v>94</v>
      </c>
      <c r="J1514">
        <v>0</v>
      </c>
      <c r="K1514">
        <v>1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1</v>
      </c>
      <c r="S1514">
        <v>0</v>
      </c>
      <c r="T1514">
        <v>0</v>
      </c>
      <c r="U1514">
        <v>0</v>
      </c>
      <c r="V1514">
        <v>0</v>
      </c>
      <c r="W1514">
        <v>1</v>
      </c>
      <c r="X1514">
        <v>900</v>
      </c>
      <c r="Y1514">
        <v>1000</v>
      </c>
      <c r="Z1514">
        <f>AVERAGEIFS(Table1[FinalElo], Table1[Country], Table1[[#This Row],[Country]])</f>
        <v>902.68</v>
      </c>
      <c r="AA1514" cm="1">
        <f t="array" ref="AA1514">IF(COUNTIFS(Table1[Country],Table1[[#This Row],[Country]])=1,0, _xlfn.STDEV.S(IF(Table1[Country]=Table1[[#This Row],[Country]],Table1[FinalElo])))</f>
        <v>24.102010289600333</v>
      </c>
      <c r="AB1514">
        <f>IF(Table1[[#This Row],[CStd]]=0,0, (Table1[[#This Row],[FinalElo]]-Table1[[#This Row],[CAvg]]) / Table1[[#This Row],[CStd]])</f>
        <v>-0.11119404430577025</v>
      </c>
      <c r="AC1514" t="str">
        <f>IF(Table1[[#This Row],[CStd]]=0,"Normal", IF(ABS(Table1[[#This Row],[CZscore]])&gt;2,"Outlier","Normal"))</f>
        <v>Normal</v>
      </c>
    </row>
    <row r="1515" spans="1:29" x14ac:dyDescent="0.35">
      <c r="A1515" t="s">
        <v>162</v>
      </c>
      <c r="B1515">
        <v>65.77</v>
      </c>
      <c r="C1515">
        <v>175</v>
      </c>
      <c r="D1515" t="s">
        <v>140</v>
      </c>
      <c r="E1515">
        <v>28</v>
      </c>
      <c r="F1515" t="s">
        <v>163</v>
      </c>
      <c r="G1515" t="s">
        <v>40</v>
      </c>
      <c r="H1515" t="s">
        <v>29</v>
      </c>
      <c r="I1515" t="s">
        <v>48</v>
      </c>
      <c r="J1515">
        <v>1</v>
      </c>
      <c r="K1515">
        <v>0</v>
      </c>
      <c r="L1515">
        <v>0</v>
      </c>
      <c r="M1515">
        <v>1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1</v>
      </c>
      <c r="X1515">
        <v>1076.6099999999999</v>
      </c>
      <c r="Y1515">
        <v>1076.6099999999999</v>
      </c>
      <c r="Z1515">
        <f>AVERAGEIFS(Table1[FinalElo], Table1[Country], Table1[[#This Row],[Country]])</f>
        <v>1002.675294117647</v>
      </c>
      <c r="AA1515" cm="1">
        <f t="array" ref="AA1515">IF(COUNTIFS(Table1[Country],Table1[[#This Row],[Country]])=1,0, _xlfn.STDEV.S(IF(Table1[Country]=Table1[[#This Row],[Country]],Table1[FinalElo])))</f>
        <v>171.59712028169514</v>
      </c>
      <c r="AB1515">
        <f>IF(Table1[[#This Row],[CStd]]=0,0, (Table1[[#This Row],[FinalElo]]-Table1[[#This Row],[CAvg]]) / Table1[[#This Row],[CStd]])</f>
        <v>0.43086215993007987</v>
      </c>
      <c r="AC1515" t="str">
        <f>IF(Table1[[#This Row],[CStd]]=0,"Normal", IF(ABS(Table1[[#This Row],[CZscore]])&gt;2,"Outlier","Normal"))</f>
        <v>Normal</v>
      </c>
    </row>
    <row r="1516" spans="1:29" x14ac:dyDescent="0.35">
      <c r="A1516" t="s">
        <v>160</v>
      </c>
      <c r="B1516">
        <v>60.7</v>
      </c>
      <c r="C1516">
        <v>178</v>
      </c>
      <c r="D1516" t="s">
        <v>140</v>
      </c>
      <c r="E1516">
        <v>21</v>
      </c>
      <c r="F1516" t="s">
        <v>161</v>
      </c>
      <c r="G1516" t="s">
        <v>40</v>
      </c>
      <c r="H1516" t="s">
        <v>29</v>
      </c>
      <c r="I1516" t="s">
        <v>58</v>
      </c>
      <c r="J1516">
        <v>0</v>
      </c>
      <c r="K1516">
        <v>1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1</v>
      </c>
      <c r="S1516">
        <v>0</v>
      </c>
      <c r="T1516">
        <v>0</v>
      </c>
      <c r="U1516">
        <v>0</v>
      </c>
      <c r="V1516">
        <v>0</v>
      </c>
      <c r="W1516">
        <v>1</v>
      </c>
      <c r="X1516">
        <v>900</v>
      </c>
      <c r="Y1516">
        <v>1000</v>
      </c>
      <c r="Z1516">
        <f>AVERAGEIFS(Table1[FinalElo], Table1[Country], Table1[[#This Row],[Country]])</f>
        <v>1002.675294117647</v>
      </c>
      <c r="AA1516" cm="1">
        <f t="array" ref="AA1516">IF(COUNTIFS(Table1[Country],Table1[[#This Row],[Country]])=1,0, _xlfn.STDEV.S(IF(Table1[Country]=Table1[[#This Row],[Country]],Table1[FinalElo])))</f>
        <v>171.59712028169514</v>
      </c>
      <c r="AB1516">
        <f>IF(Table1[[#This Row],[CStd]]=0,0, (Table1[[#This Row],[FinalElo]]-Table1[[#This Row],[CAvg]]) / Table1[[#This Row],[CStd]])</f>
        <v>-0.59835091608235891</v>
      </c>
      <c r="AC1516" t="str">
        <f>IF(Table1[[#This Row],[CStd]]=0,"Normal", IF(ABS(Table1[[#This Row],[CZscore]])&gt;2,"Outlier","Normal"))</f>
        <v>Normal</v>
      </c>
    </row>
    <row r="1517" spans="1:29" x14ac:dyDescent="0.35">
      <c r="A1517" t="s">
        <v>158</v>
      </c>
      <c r="B1517">
        <v>65.77</v>
      </c>
      <c r="C1517">
        <v>175</v>
      </c>
      <c r="D1517" t="s">
        <v>140</v>
      </c>
      <c r="E1517">
        <v>23</v>
      </c>
      <c r="F1517" t="s">
        <v>159</v>
      </c>
      <c r="G1517" t="s">
        <v>40</v>
      </c>
      <c r="H1517" t="s">
        <v>29</v>
      </c>
      <c r="I1517" t="s">
        <v>48</v>
      </c>
      <c r="J1517">
        <v>1</v>
      </c>
      <c r="K1517">
        <v>0</v>
      </c>
      <c r="L1517">
        <v>0</v>
      </c>
      <c r="M1517">
        <v>0</v>
      </c>
      <c r="N1517">
        <v>1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1</v>
      </c>
      <c r="X1517">
        <v>1100</v>
      </c>
      <c r="Y1517">
        <v>1100</v>
      </c>
      <c r="Z1517">
        <f>AVERAGEIFS(Table1[FinalElo], Table1[Country], Table1[[#This Row],[Country]])</f>
        <v>1002.675294117647</v>
      </c>
      <c r="AA1517" cm="1">
        <f t="array" ref="AA1517">IF(COUNTIFS(Table1[Country],Table1[[#This Row],[Country]])=1,0, _xlfn.STDEV.S(IF(Table1[Country]=Table1[[#This Row],[Country]],Table1[FinalElo])))</f>
        <v>171.59712028169514</v>
      </c>
      <c r="AB1517">
        <f>IF(Table1[[#This Row],[CStd]]=0,0, (Table1[[#This Row],[FinalElo]]-Table1[[#This Row],[CAvg]]) / Table1[[#This Row],[CStd]])</f>
        <v>0.56716980869250022</v>
      </c>
      <c r="AC1517" t="str">
        <f>IF(Table1[[#This Row],[CStd]]=0,"Normal", IF(ABS(Table1[[#This Row],[CZscore]])&gt;2,"Outlier","Normal"))</f>
        <v>Normal</v>
      </c>
    </row>
    <row r="1518" spans="1:29" x14ac:dyDescent="0.35">
      <c r="A1518" t="s">
        <v>155</v>
      </c>
      <c r="B1518">
        <v>56.7</v>
      </c>
      <c r="C1518">
        <v>163</v>
      </c>
      <c r="D1518" t="s">
        <v>156</v>
      </c>
      <c r="E1518">
        <v>34</v>
      </c>
      <c r="F1518" t="s">
        <v>157</v>
      </c>
      <c r="G1518" t="s">
        <v>40</v>
      </c>
      <c r="H1518" t="s">
        <v>29</v>
      </c>
      <c r="I1518" t="s">
        <v>58</v>
      </c>
      <c r="J1518">
        <v>2</v>
      </c>
      <c r="K1518">
        <v>1</v>
      </c>
      <c r="L1518">
        <v>0</v>
      </c>
      <c r="M1518">
        <v>2</v>
      </c>
      <c r="N1518">
        <v>0</v>
      </c>
      <c r="O1518">
        <v>0</v>
      </c>
      <c r="P1518">
        <v>0</v>
      </c>
      <c r="Q1518">
        <v>0</v>
      </c>
      <c r="R1518">
        <v>1</v>
      </c>
      <c r="S1518">
        <v>0</v>
      </c>
      <c r="T1518">
        <v>0</v>
      </c>
      <c r="U1518">
        <v>0</v>
      </c>
      <c r="V1518">
        <v>0</v>
      </c>
      <c r="W1518">
        <v>3</v>
      </c>
      <c r="X1518">
        <v>1071.99</v>
      </c>
      <c r="Y1518">
        <v>1100</v>
      </c>
      <c r="Z1518">
        <f>AVERAGEIFS(Table1[FinalElo], Table1[Country], Table1[[#This Row],[Country]])</f>
        <v>1071.99</v>
      </c>
      <c r="AA1518" cm="1">
        <f t="array" ref="AA1518">IF(COUNTIFS(Table1[Country],Table1[[#This Row],[Country]])=1,0, _xlfn.STDEV.S(IF(Table1[Country]=Table1[[#This Row],[Country]],Table1[FinalElo])))</f>
        <v>100</v>
      </c>
      <c r="AB1518">
        <f>IF(Table1[[#This Row],[CStd]]=0,0, (Table1[[#This Row],[FinalElo]]-Table1[[#This Row],[CAvg]]) / Table1[[#This Row],[CStd]])</f>
        <v>0</v>
      </c>
      <c r="AC1518" t="str">
        <f>IF(Table1[[#This Row],[CStd]]=0,"Normal", IF(ABS(Table1[[#This Row],[CZscore]])&gt;2,"Outlier","Normal"))</f>
        <v>Normal</v>
      </c>
    </row>
    <row r="1519" spans="1:29" x14ac:dyDescent="0.35">
      <c r="A1519" t="s">
        <v>152</v>
      </c>
      <c r="B1519">
        <v>50.5</v>
      </c>
      <c r="C1519">
        <v>170</v>
      </c>
      <c r="D1519" t="s">
        <v>153</v>
      </c>
      <c r="E1519">
        <v>17</v>
      </c>
      <c r="F1519" t="s">
        <v>154</v>
      </c>
      <c r="G1519" t="s">
        <v>34</v>
      </c>
      <c r="H1519" t="s">
        <v>29</v>
      </c>
      <c r="I1519" t="s">
        <v>55</v>
      </c>
      <c r="J1519">
        <v>1</v>
      </c>
      <c r="K1519">
        <v>1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1</v>
      </c>
      <c r="R1519">
        <v>1</v>
      </c>
      <c r="S1519">
        <v>0</v>
      </c>
      <c r="T1519">
        <v>0</v>
      </c>
      <c r="U1519">
        <v>0</v>
      </c>
      <c r="V1519">
        <v>0</v>
      </c>
      <c r="W1519">
        <v>2</v>
      </c>
      <c r="X1519">
        <v>985.9</v>
      </c>
      <c r="Y1519">
        <v>1128.01</v>
      </c>
      <c r="Z1519">
        <f>AVERAGEIFS(Table1[FinalElo], Table1[Country], Table1[[#This Row],[Country]])</f>
        <v>1126.7850000000001</v>
      </c>
      <c r="AA1519" cm="1">
        <f t="array" ref="AA1519">IF(COUNTIFS(Table1[Country],Table1[[#This Row],[Country]])=1,0, _xlfn.STDEV.S(IF(Table1[Country]=Table1[[#This Row],[Country]],Table1[FinalElo])))</f>
        <v>199.24147773493326</v>
      </c>
      <c r="AB1519">
        <f>IF(Table1[[#This Row],[CStd]]=0,0, (Table1[[#This Row],[FinalElo]]-Table1[[#This Row],[CAvg]]) / Table1[[#This Row],[CStd]])</f>
        <v>-0.70710678118654891</v>
      </c>
      <c r="AC1519" t="str">
        <f>IF(Table1[[#This Row],[CStd]]=0,"Normal", IF(ABS(Table1[[#This Row],[CZscore]])&gt;2,"Outlier","Normal"))</f>
        <v>Normal</v>
      </c>
    </row>
    <row r="1520" spans="1:29" x14ac:dyDescent="0.35">
      <c r="A1520" t="s">
        <v>147</v>
      </c>
      <c r="B1520">
        <v>76.400000000000006</v>
      </c>
      <c r="C1520">
        <v>174</v>
      </c>
      <c r="D1520" t="s">
        <v>32</v>
      </c>
      <c r="E1520">
        <v>39</v>
      </c>
      <c r="F1520" t="s">
        <v>148</v>
      </c>
      <c r="G1520" t="s">
        <v>40</v>
      </c>
      <c r="H1520" t="s">
        <v>29</v>
      </c>
      <c r="I1520" t="s">
        <v>30</v>
      </c>
      <c r="J1520">
        <v>1</v>
      </c>
      <c r="K1520">
        <v>2</v>
      </c>
      <c r="L1520">
        <v>0</v>
      </c>
      <c r="M1520">
        <v>1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2</v>
      </c>
      <c r="T1520">
        <v>0</v>
      </c>
      <c r="U1520">
        <v>0</v>
      </c>
      <c r="V1520">
        <v>0</v>
      </c>
      <c r="W1520">
        <v>3</v>
      </c>
      <c r="X1520">
        <v>987.11</v>
      </c>
      <c r="Y1520">
        <v>1172.8800000000001</v>
      </c>
      <c r="Z1520">
        <f>AVERAGEIFS(Table1[FinalElo], Table1[Country], Table1[[#This Row],[Country]])</f>
        <v>1025.3786885245902</v>
      </c>
      <c r="AA1520" cm="1">
        <f t="array" ref="AA1520">IF(COUNTIFS(Table1[Country],Table1[[#This Row],[Country]])=1,0, _xlfn.STDEV.S(IF(Table1[Country]=Table1[[#This Row],[Country]],Table1[FinalElo])))</f>
        <v>144.71595558743479</v>
      </c>
      <c r="AB1520">
        <f>IF(Table1[[#This Row],[CStd]]=0,0, (Table1[[#This Row],[FinalElo]]-Table1[[#This Row],[CAvg]]) / Table1[[#This Row],[CStd]])</f>
        <v>-0.26444000849283628</v>
      </c>
      <c r="AC1520" t="str">
        <f>IF(Table1[[#This Row],[CStd]]=0,"Normal", IF(ABS(Table1[[#This Row],[CZscore]])&gt;2,"Outlier","Normal"))</f>
        <v>Normal</v>
      </c>
    </row>
    <row r="1521" spans="1:29" x14ac:dyDescent="0.35">
      <c r="A1521" t="s">
        <v>145</v>
      </c>
      <c r="B1521">
        <v>70.31</v>
      </c>
      <c r="C1521">
        <v>180</v>
      </c>
      <c r="D1521" t="s">
        <v>146</v>
      </c>
      <c r="E1521">
        <v>-1</v>
      </c>
      <c r="F1521" t="s">
        <v>87</v>
      </c>
      <c r="G1521" t="s">
        <v>34</v>
      </c>
      <c r="H1521" t="s">
        <v>29</v>
      </c>
      <c r="I1521" t="s">
        <v>30</v>
      </c>
      <c r="J1521">
        <v>1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1</v>
      </c>
      <c r="X1521">
        <v>1104.28</v>
      </c>
      <c r="Y1521">
        <v>1104.28</v>
      </c>
      <c r="Z1521">
        <f>AVERAGEIFS(Table1[FinalElo], Table1[Country], Table1[[#This Row],[Country]])</f>
        <v>971.46103448275846</v>
      </c>
      <c r="AA1521" cm="1">
        <f t="array" ref="AA1521">IF(COUNTIFS(Table1[Country],Table1[[#This Row],[Country]])=1,0, _xlfn.STDEV.S(IF(Table1[Country]=Table1[[#This Row],[Country]],Table1[FinalElo])))</f>
        <v>107.62263899334665</v>
      </c>
      <c r="AB1521">
        <f>IF(Table1[[#This Row],[CStd]]=0,0, (Table1[[#This Row],[FinalElo]]-Table1[[#This Row],[CAvg]]) / Table1[[#This Row],[CStd]])</f>
        <v>1.2341173451940024</v>
      </c>
      <c r="AC1521" t="str">
        <f>IF(Table1[[#This Row],[CStd]]=0,"Normal", IF(ABS(Table1[[#This Row],[CZscore]])&gt;2,"Outlier","Normal"))</f>
        <v>Normal</v>
      </c>
    </row>
    <row r="1522" spans="1:29" x14ac:dyDescent="0.35">
      <c r="A1522" t="s">
        <v>143</v>
      </c>
      <c r="B1522">
        <v>70.31</v>
      </c>
      <c r="C1522">
        <v>-1</v>
      </c>
      <c r="D1522" t="s">
        <v>144</v>
      </c>
      <c r="E1522">
        <v>1</v>
      </c>
      <c r="F1522">
        <v>0</v>
      </c>
      <c r="G1522" t="s">
        <v>40</v>
      </c>
      <c r="H1522" t="s">
        <v>29</v>
      </c>
      <c r="I1522" t="s">
        <v>30</v>
      </c>
      <c r="J1522">
        <v>1</v>
      </c>
      <c r="K1522">
        <v>0</v>
      </c>
      <c r="L1522">
        <v>0</v>
      </c>
      <c r="M1522">
        <v>1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1</v>
      </c>
      <c r="X1522">
        <v>1100</v>
      </c>
      <c r="Y1522">
        <v>1100</v>
      </c>
      <c r="Z1522">
        <f>AVERAGEIFS(Table1[FinalElo], Table1[Country], Table1[[#This Row],[Country]])</f>
        <v>1100</v>
      </c>
      <c r="AA1522" cm="1">
        <f t="array" ref="AA1522">IF(COUNTIFS(Table1[Country],Table1[[#This Row],[Country]])=1,0, _xlfn.STDEV.S(IF(Table1[Country]=Table1[[#This Row],[Country]],Table1[FinalElo])))</f>
        <v>0</v>
      </c>
      <c r="AB1522">
        <f>IF(Table1[[#This Row],[CStd]]=0,0, (Table1[[#This Row],[FinalElo]]-Table1[[#This Row],[CAvg]]) / Table1[[#This Row],[CStd]])</f>
        <v>0</v>
      </c>
      <c r="AC1522" t="str">
        <f>IF(Table1[[#This Row],[CStd]]=0,"Normal", IF(ABS(Table1[[#This Row],[CZscore]])&gt;2,"Outlier","Normal"))</f>
        <v>Normal</v>
      </c>
    </row>
    <row r="1523" spans="1:29" x14ac:dyDescent="0.35">
      <c r="A1523" t="s">
        <v>142</v>
      </c>
      <c r="B1523">
        <v>65.77</v>
      </c>
      <c r="C1523">
        <v>179</v>
      </c>
      <c r="D1523" t="s">
        <v>38</v>
      </c>
      <c r="E1523">
        <v>23</v>
      </c>
      <c r="F1523" t="s">
        <v>87</v>
      </c>
      <c r="G1523" t="s">
        <v>34</v>
      </c>
      <c r="H1523" t="s">
        <v>29</v>
      </c>
      <c r="I1523" t="s">
        <v>48</v>
      </c>
      <c r="J1523">
        <v>8</v>
      </c>
      <c r="K1523">
        <v>1</v>
      </c>
      <c r="L1523">
        <v>0</v>
      </c>
      <c r="M1523">
        <v>1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1</v>
      </c>
      <c r="V1523">
        <v>0</v>
      </c>
      <c r="W1523">
        <v>9</v>
      </c>
      <c r="X1523">
        <v>1406.34</v>
      </c>
      <c r="Y1523">
        <v>1406.34</v>
      </c>
      <c r="Z1523">
        <f>AVERAGEIFS(Table1[FinalElo], Table1[Country], Table1[[#This Row],[Country]])</f>
        <v>1057.4495402298851</v>
      </c>
      <c r="AA1523" cm="1">
        <f t="array" ref="AA1523">IF(COUNTIFS(Table1[Country],Table1[[#This Row],[Country]])=1,0, _xlfn.STDEV.S(IF(Table1[Country]=Table1[[#This Row],[Country]],Table1[FinalElo])))</f>
        <v>156.98667602259493</v>
      </c>
      <c r="AB1523">
        <f>IF(Table1[[#This Row],[CStd]]=0,0, (Table1[[#This Row],[FinalElo]]-Table1[[#This Row],[CAvg]]) / Table1[[#This Row],[CStd]])</f>
        <v>2.2224208360198632</v>
      </c>
      <c r="AC1523" t="str">
        <f>IF(Table1[[#This Row],[CStd]]=0,"Normal", IF(ABS(Table1[[#This Row],[CZscore]])&gt;2,"Outlier","Normal"))</f>
        <v>Outlier</v>
      </c>
    </row>
    <row r="1524" spans="1:29" x14ac:dyDescent="0.35">
      <c r="A1524" t="s">
        <v>139</v>
      </c>
      <c r="B1524">
        <v>65.77</v>
      </c>
      <c r="C1524">
        <v>173</v>
      </c>
      <c r="D1524" t="s">
        <v>140</v>
      </c>
      <c r="E1524">
        <v>33</v>
      </c>
      <c r="F1524" t="s">
        <v>141</v>
      </c>
      <c r="G1524" t="s">
        <v>40</v>
      </c>
      <c r="H1524" t="s">
        <v>29</v>
      </c>
      <c r="I1524" t="s">
        <v>48</v>
      </c>
      <c r="J1524">
        <v>0</v>
      </c>
      <c r="K1524">
        <v>1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  <c r="W1524">
        <v>1</v>
      </c>
      <c r="X1524">
        <v>959.72</v>
      </c>
      <c r="Y1524">
        <v>1000</v>
      </c>
      <c r="Z1524">
        <f>AVERAGEIFS(Table1[FinalElo], Table1[Country], Table1[[#This Row],[Country]])</f>
        <v>1002.675294117647</v>
      </c>
      <c r="AA1524" cm="1">
        <f t="array" ref="AA1524">IF(COUNTIFS(Table1[Country],Table1[[#This Row],[Country]])=1,0, _xlfn.STDEV.S(IF(Table1[Country]=Table1[[#This Row],[Country]],Table1[FinalElo])))</f>
        <v>171.59712028169514</v>
      </c>
      <c r="AB1524">
        <f>IF(Table1[[#This Row],[CStd]]=0,0, (Table1[[#This Row],[FinalElo]]-Table1[[#This Row],[CAvg]]) / Table1[[#This Row],[CStd]])</f>
        <v>-0.25032642766458579</v>
      </c>
      <c r="AC1524" t="str">
        <f>IF(Table1[[#This Row],[CStd]]=0,"Normal", IF(ABS(Table1[[#This Row],[CZscore]])&gt;2,"Outlier","Normal"))</f>
        <v>Normal</v>
      </c>
    </row>
    <row r="1525" spans="1:29" x14ac:dyDescent="0.35">
      <c r="A1525" t="s">
        <v>137</v>
      </c>
      <c r="B1525">
        <v>52.16</v>
      </c>
      <c r="C1525">
        <v>176</v>
      </c>
      <c r="D1525" t="s">
        <v>135</v>
      </c>
      <c r="E1525">
        <v>18</v>
      </c>
      <c r="F1525" t="s">
        <v>138</v>
      </c>
      <c r="G1525" t="s">
        <v>34</v>
      </c>
      <c r="H1525" t="s">
        <v>29</v>
      </c>
      <c r="I1525" t="s">
        <v>36</v>
      </c>
      <c r="J1525">
        <v>1</v>
      </c>
      <c r="K1525">
        <v>1</v>
      </c>
      <c r="L1525">
        <v>0</v>
      </c>
      <c r="M1525">
        <v>1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1</v>
      </c>
      <c r="W1525">
        <v>2</v>
      </c>
      <c r="X1525">
        <v>1073.83</v>
      </c>
      <c r="Y1525">
        <v>1073.83</v>
      </c>
      <c r="Z1525">
        <f>AVERAGEIFS(Table1[FinalElo], Table1[Country], Table1[[#This Row],[Country]])</f>
        <v>1008.644</v>
      </c>
      <c r="AA1525" cm="1">
        <f t="array" ref="AA1525">IF(COUNTIFS(Table1[Country],Table1[[#This Row],[Country]])=1,0, _xlfn.STDEV.S(IF(Table1[Country]=Table1[[#This Row],[Country]],Table1[FinalElo])))</f>
        <v>73.31330002121031</v>
      </c>
      <c r="AB1525">
        <f>IF(Table1[[#This Row],[CStd]]=0,0, (Table1[[#This Row],[FinalElo]]-Table1[[#This Row],[CAvg]]) / Table1[[#This Row],[CStd]])</f>
        <v>0.88914289741617036</v>
      </c>
      <c r="AC1525" t="str">
        <f>IF(Table1[[#This Row],[CStd]]=0,"Normal", IF(ABS(Table1[[#This Row],[CZscore]])&gt;2,"Outlier","Normal"))</f>
        <v>Normal</v>
      </c>
    </row>
    <row r="1526" spans="1:29" x14ac:dyDescent="0.35">
      <c r="A1526" t="s">
        <v>134</v>
      </c>
      <c r="B1526">
        <v>71.099999999999994</v>
      </c>
      <c r="C1526">
        <v>186</v>
      </c>
      <c r="D1526" t="s">
        <v>135</v>
      </c>
      <c r="E1526">
        <v>26</v>
      </c>
      <c r="F1526" t="s">
        <v>136</v>
      </c>
      <c r="G1526" t="s">
        <v>28</v>
      </c>
      <c r="H1526" t="s">
        <v>29</v>
      </c>
      <c r="I1526" t="s">
        <v>30</v>
      </c>
      <c r="J1526">
        <v>1</v>
      </c>
      <c r="K1526">
        <v>1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  <c r="W1526">
        <v>2</v>
      </c>
      <c r="X1526">
        <v>1019.6</v>
      </c>
      <c r="Y1526">
        <v>1114.8399999999999</v>
      </c>
      <c r="Z1526">
        <f>AVERAGEIFS(Table1[FinalElo], Table1[Country], Table1[[#This Row],[Country]])</f>
        <v>1008.644</v>
      </c>
      <c r="AA1526" cm="1">
        <f t="array" ref="AA1526">IF(COUNTIFS(Table1[Country],Table1[[#This Row],[Country]])=1,0, _xlfn.STDEV.S(IF(Table1[Country]=Table1[[#This Row],[Country]],Table1[FinalElo])))</f>
        <v>73.31330002121031</v>
      </c>
      <c r="AB1526">
        <f>IF(Table1[[#This Row],[CStd]]=0,0, (Table1[[#This Row],[FinalElo]]-Table1[[#This Row],[CAvg]]) / Table1[[#This Row],[CStd]])</f>
        <v>0.14944082447291734</v>
      </c>
      <c r="AC1526" t="str">
        <f>IF(Table1[[#This Row],[CStd]]=0,"Normal", IF(ABS(Table1[[#This Row],[CZscore]])&gt;2,"Outlier","Normal"))</f>
        <v>Normal</v>
      </c>
    </row>
    <row r="1527" spans="1:29" x14ac:dyDescent="0.35">
      <c r="A1527" t="s">
        <v>131</v>
      </c>
      <c r="B1527">
        <v>56.7</v>
      </c>
      <c r="C1527">
        <v>173</v>
      </c>
      <c r="D1527" t="s">
        <v>132</v>
      </c>
      <c r="E1527">
        <v>24</v>
      </c>
      <c r="F1527" t="s">
        <v>133</v>
      </c>
      <c r="G1527" t="s">
        <v>34</v>
      </c>
      <c r="H1527" t="s">
        <v>29</v>
      </c>
      <c r="I1527" t="s">
        <v>58</v>
      </c>
      <c r="J1527">
        <v>6</v>
      </c>
      <c r="K1527">
        <v>1</v>
      </c>
      <c r="L1527">
        <v>0</v>
      </c>
      <c r="M1527">
        <v>0</v>
      </c>
      <c r="N1527">
        <v>0</v>
      </c>
      <c r="O1527">
        <v>0</v>
      </c>
      <c r="P1527">
        <v>1</v>
      </c>
      <c r="Q1527">
        <v>1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7</v>
      </c>
      <c r="X1527">
        <v>1367.36</v>
      </c>
      <c r="Y1527">
        <v>1367.36</v>
      </c>
      <c r="Z1527">
        <f>AVERAGEIFS(Table1[FinalElo], Table1[Country], Table1[[#This Row],[Country]])</f>
        <v>1177.8375000000001</v>
      </c>
      <c r="AA1527" cm="1">
        <f t="array" ref="AA1527">IF(COUNTIFS(Table1[Country],Table1[[#This Row],[Country]])=1,0, _xlfn.STDEV.S(IF(Table1[Country]=Table1[[#This Row],[Country]],Table1[FinalElo])))</f>
        <v>270.87013535087192</v>
      </c>
      <c r="AB1527">
        <f>IF(Table1[[#This Row],[CStd]]=0,0, (Table1[[#This Row],[FinalElo]]-Table1[[#This Row],[CAvg]]) / Table1[[#This Row],[CStd]])</f>
        <v>0.69968030899568034</v>
      </c>
      <c r="AC1527" t="str">
        <f>IF(Table1[[#This Row],[CStd]]=0,"Normal", IF(ABS(Table1[[#This Row],[CZscore]])&gt;2,"Outlier","Normal"))</f>
        <v>Normal</v>
      </c>
    </row>
    <row r="1528" spans="1:29" x14ac:dyDescent="0.35">
      <c r="A1528" t="s">
        <v>128</v>
      </c>
      <c r="B1528">
        <v>69.7</v>
      </c>
      <c r="C1528">
        <v>173</v>
      </c>
      <c r="D1528" t="s">
        <v>129</v>
      </c>
      <c r="E1528">
        <v>28</v>
      </c>
      <c r="F1528" t="s">
        <v>130</v>
      </c>
      <c r="G1528" t="s">
        <v>40</v>
      </c>
      <c r="H1528" t="s">
        <v>29</v>
      </c>
      <c r="I1528" t="s">
        <v>48</v>
      </c>
      <c r="J1528">
        <v>0</v>
      </c>
      <c r="K1528">
        <v>3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1</v>
      </c>
      <c r="S1528">
        <v>1</v>
      </c>
      <c r="T1528">
        <v>0</v>
      </c>
      <c r="U1528">
        <v>1</v>
      </c>
      <c r="V1528">
        <v>0</v>
      </c>
      <c r="W1528">
        <v>3</v>
      </c>
      <c r="X1528">
        <v>865.36</v>
      </c>
      <c r="Y1528">
        <v>1000</v>
      </c>
      <c r="Z1528">
        <f>AVERAGEIFS(Table1[FinalElo], Table1[Country], Table1[[#This Row],[Country]])</f>
        <v>968.67499999999995</v>
      </c>
      <c r="AA1528" cm="1">
        <f t="array" ref="AA1528">IF(COUNTIFS(Table1[Country],Table1[[#This Row],[Country]])=1,0, _xlfn.STDEV.S(IF(Table1[Country]=Table1[[#This Row],[Country]],Table1[FinalElo])))</f>
        <v>146.10947419657808</v>
      </c>
      <c r="AB1528">
        <f>IF(Table1[[#This Row],[CStd]]=0,0, (Table1[[#This Row],[FinalElo]]-Table1[[#This Row],[CAvg]]) / Table1[[#This Row],[CStd]])</f>
        <v>-0.70710678118653858</v>
      </c>
      <c r="AC1528" t="str">
        <f>IF(Table1[[#This Row],[CStd]]=0,"Normal", IF(ABS(Table1[[#This Row],[CZscore]])&gt;2,"Outlier","Normal"))</f>
        <v>Normal</v>
      </c>
    </row>
    <row r="1529" spans="1:29" x14ac:dyDescent="0.35">
      <c r="A1529" t="s">
        <v>126</v>
      </c>
      <c r="B1529">
        <v>58</v>
      </c>
      <c r="C1529">
        <v>168</v>
      </c>
      <c r="D1529" t="s">
        <v>116</v>
      </c>
      <c r="E1529">
        <v>26</v>
      </c>
      <c r="F1529" t="s">
        <v>127</v>
      </c>
      <c r="G1529" t="s">
        <v>40</v>
      </c>
      <c r="H1529" t="s">
        <v>29</v>
      </c>
      <c r="I1529" t="s">
        <v>58</v>
      </c>
      <c r="J1529">
        <v>0</v>
      </c>
      <c r="K1529">
        <v>1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1</v>
      </c>
      <c r="T1529">
        <v>0</v>
      </c>
      <c r="U1529">
        <v>0</v>
      </c>
      <c r="V1529">
        <v>0</v>
      </c>
      <c r="W1529">
        <v>1</v>
      </c>
      <c r="X1529">
        <v>917.31</v>
      </c>
      <c r="Y1529">
        <v>1000</v>
      </c>
      <c r="Z1529">
        <f>AVERAGEIFS(Table1[FinalElo], Table1[Country], Table1[[#This Row],[Country]])</f>
        <v>980.88090909090931</v>
      </c>
      <c r="AA1529" cm="1">
        <f t="array" ref="AA1529">IF(COUNTIFS(Table1[Country],Table1[[#This Row],[Country]])=1,0, _xlfn.STDEV.S(IF(Table1[Country]=Table1[[#This Row],[Country]],Table1[FinalElo])))</f>
        <v>133.41794796376408</v>
      </c>
      <c r="AB1529">
        <f>IF(Table1[[#This Row],[CStd]]=0,0, (Table1[[#This Row],[FinalElo]]-Table1[[#This Row],[CAvg]]) / Table1[[#This Row],[CStd]])</f>
        <v>-0.47647943969408851</v>
      </c>
      <c r="AC1529" t="str">
        <f>IF(Table1[[#This Row],[CStd]]=0,"Normal", IF(ABS(Table1[[#This Row],[CZscore]])&gt;2,"Outlier","Normal"))</f>
        <v>Normal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1A4FF11FA110B4293FBCBEAE120D84A" ma:contentTypeVersion="5" ma:contentTypeDescription="Create a new document." ma:contentTypeScope="" ma:versionID="a07935cb332fa39503a89547cb0c900f">
  <xsd:schema xmlns:xsd="http://www.w3.org/2001/XMLSchema" xmlns:xs="http://www.w3.org/2001/XMLSchema" xmlns:p="http://schemas.microsoft.com/office/2006/metadata/properties" xmlns:ns3="b774d3a3-68ae-4555-b47b-c53f639da2e3" targetNamespace="http://schemas.microsoft.com/office/2006/metadata/properties" ma:root="true" ma:fieldsID="9272ae02d85ff2e58120237dca0d585f" ns3:_="">
    <xsd:import namespace="b774d3a3-68ae-4555-b47b-c53f639da2e3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774d3a3-68ae-4555-b47b-c53f639da2e3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01D8A7F-8A5D-4456-9877-08E3F3E738D8}">
  <ds:schemaRefs>
    <ds:schemaRef ds:uri="http://purl.org/dc/terms/"/>
    <ds:schemaRef ds:uri="b774d3a3-68ae-4555-b47b-c53f639da2e3"/>
    <ds:schemaRef ds:uri="http://schemas.microsoft.com/office/2006/metadata/properties"/>
    <ds:schemaRef ds:uri="http://purl.org/dc/dcmitype/"/>
    <ds:schemaRef ds:uri="http://purl.org/dc/elements/1.1/"/>
    <ds:schemaRef ds:uri="http://www.w3.org/XML/1998/namespace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1B48B0B6-BC53-4666-8863-2D352AEB57C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774d3a3-68ae-4555-b47b-c53f639da2e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656B27F-A625-4BBF-A330-061F91BD1B2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merged_clean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Ethan Tran</cp:lastModifiedBy>
  <dcterms:created xsi:type="dcterms:W3CDTF">2025-08-24T22:36:30Z</dcterms:created>
  <dcterms:modified xsi:type="dcterms:W3CDTF">2025-08-26T23:35:44Z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0x01010001A4FF11FA110B4293FBCBEAE120D84A</vt:lpwstr>
  </property>
</Properties>
</file>